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PPTT\"/>
    </mc:Choice>
  </mc:AlternateContent>
  <xr:revisionPtr revIDLastSave="0" documentId="13_ncr:1_{C3F5C473-BC91-4FD8-8398-6AB87A4188DB}" xr6:coauthVersionLast="47" xr6:coauthVersionMax="47" xr10:uidLastSave="{00000000-0000-0000-0000-000000000000}"/>
  <bookViews>
    <workbookView xWindow="-108" yWindow="-108" windowWidth="23256" windowHeight="12456" xr2:uid="{4E58D39D-46BD-4D0C-97F8-57B321949E2C}"/>
  </bookViews>
  <sheets>
    <sheet name="Yuran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8" i="1" l="1"/>
  <c r="R97" i="1"/>
  <c r="R96" i="1" l="1"/>
  <c r="Q143" i="1" l="1"/>
  <c r="P143" i="1"/>
  <c r="O143" i="1"/>
  <c r="N143" i="1"/>
  <c r="M143" i="1"/>
  <c r="L143" i="1"/>
  <c r="K143" i="1"/>
  <c r="J143" i="1"/>
  <c r="I143" i="1"/>
  <c r="H143" i="1"/>
  <c r="G143" i="1"/>
  <c r="F143" i="1"/>
  <c r="E143" i="1"/>
  <c r="E144" i="1" s="1"/>
  <c r="R141" i="1"/>
  <c r="R140" i="1"/>
  <c r="R139" i="1"/>
  <c r="R138" i="1"/>
  <c r="R137" i="1"/>
  <c r="R136" i="1"/>
  <c r="R135" i="1"/>
  <c r="R134" i="1"/>
  <c r="R133" i="1"/>
  <c r="R132" i="1"/>
  <c r="R131" i="1"/>
  <c r="R129" i="1"/>
  <c r="R127" i="1"/>
  <c r="R126" i="1"/>
  <c r="R118" i="1"/>
  <c r="R117" i="1"/>
  <c r="R111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X6" i="1"/>
  <c r="X8" i="1" s="1"/>
  <c r="R143" i="1" l="1"/>
  <c r="C3" i="1" s="1"/>
</calcChain>
</file>

<file path=xl/sharedStrings.xml><?xml version="1.0" encoding="utf-8"?>
<sst xmlns="http://schemas.openxmlformats.org/spreadsheetml/2006/main" count="402" uniqueCount="389">
  <si>
    <t>Yuran Keahlian Tahunan dan Bulanan Tracker</t>
  </si>
  <si>
    <t>Grand total</t>
  </si>
  <si>
    <t>No</t>
  </si>
  <si>
    <t>No Keahlian</t>
  </si>
  <si>
    <t>Nama</t>
  </si>
  <si>
    <t>No Rumah</t>
  </si>
  <si>
    <t>Yuran Keahlian</t>
  </si>
  <si>
    <t>Yuran Bulanan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</si>
  <si>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</si>
  <si>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</si>
  <si>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</si>
  <si>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</si>
  <si>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</si>
  <si>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</si>
  <si>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</si>
  <si>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</si>
  <si>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</si>
  <si>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</si>
  <si>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</si>
  <si>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</si>
  <si>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Jumlah</t>
  </si>
  <si>
    <t>001</t>
  </si>
  <si>
    <t>Mohd Rosdi Naim B. Mat</t>
  </si>
  <si>
    <t>43/5</t>
  </si>
  <si>
    <t>002</t>
  </si>
  <si>
    <t>Saiful Irwan bin Zubairi (Anis)</t>
  </si>
  <si>
    <t>8/5</t>
  </si>
  <si>
    <t>003</t>
  </si>
  <si>
    <t>Zaidi Mohamad</t>
  </si>
  <si>
    <t>1/3</t>
  </si>
  <si>
    <t>004</t>
  </si>
  <si>
    <t>Mohd Halim bin Omar (Zaiton)</t>
  </si>
  <si>
    <t>1/4</t>
  </si>
  <si>
    <t>005</t>
  </si>
  <si>
    <t>Wan Yusnirfan bin Wan Yusoff (Lin)</t>
  </si>
  <si>
    <t>5/2</t>
  </si>
  <si>
    <t>006</t>
  </si>
  <si>
    <t>Ismail bin Mohamed Wahi</t>
  </si>
  <si>
    <t>19/3</t>
  </si>
  <si>
    <t>007</t>
  </si>
  <si>
    <t>Farhan Abdul Rahim</t>
  </si>
  <si>
    <t>32/4</t>
  </si>
  <si>
    <t>008</t>
  </si>
  <si>
    <t>Mohamad Yusrey Mahat</t>
  </si>
  <si>
    <t>7/2</t>
  </si>
  <si>
    <t>009</t>
  </si>
  <si>
    <t>Noor Azam Mohd Noor</t>
  </si>
  <si>
    <t>2/5</t>
  </si>
  <si>
    <t>010</t>
  </si>
  <si>
    <t>Rozi Zakaria</t>
  </si>
  <si>
    <t>3/5</t>
  </si>
  <si>
    <t>011</t>
  </si>
  <si>
    <t xml:space="preserve">Alzuhari bin Hasan </t>
  </si>
  <si>
    <t>11/2</t>
  </si>
  <si>
    <t>012</t>
  </si>
  <si>
    <t>Abdul Rahim Bin Md Arshad</t>
  </si>
  <si>
    <t>16/4</t>
  </si>
  <si>
    <t>013</t>
  </si>
  <si>
    <t>Musa bin Abd. Rahman</t>
  </si>
  <si>
    <t>19/5</t>
  </si>
  <si>
    <t>014</t>
  </si>
  <si>
    <t>Mohd Yusof Abas</t>
  </si>
  <si>
    <t>26/4</t>
  </si>
  <si>
    <t>015</t>
  </si>
  <si>
    <t>Zainal Abidin hj Saari</t>
  </si>
  <si>
    <t>12/2</t>
  </si>
  <si>
    <t>016</t>
  </si>
  <si>
    <t>Hafiz Al-Asadi Bin Ahmad Murad</t>
  </si>
  <si>
    <t>27/3</t>
  </si>
  <si>
    <t>017</t>
  </si>
  <si>
    <t>Mohd Naim Norman</t>
  </si>
  <si>
    <t>17/5</t>
  </si>
  <si>
    <t>018</t>
  </si>
  <si>
    <t>Masli Irwan Bin Rosli</t>
  </si>
  <si>
    <t>25/5</t>
  </si>
  <si>
    <t>019</t>
  </si>
  <si>
    <t>Faisol Mubarak Ismail</t>
  </si>
  <si>
    <t>35/5</t>
  </si>
  <si>
    <t>020</t>
  </si>
  <si>
    <t>Hasril Hasini</t>
  </si>
  <si>
    <t>20/5</t>
  </si>
  <si>
    <t>021</t>
  </si>
  <si>
    <t>Mohammad Asmadi Bin Misbah</t>
  </si>
  <si>
    <t>21/5</t>
  </si>
  <si>
    <t>022</t>
  </si>
  <si>
    <t>Muhammad Nizar Manshor</t>
  </si>
  <si>
    <t>22A/5</t>
  </si>
  <si>
    <t>023</t>
  </si>
  <si>
    <t>Hj Bukhari Yahya</t>
  </si>
  <si>
    <t>42A/5</t>
  </si>
  <si>
    <t>024</t>
  </si>
  <si>
    <t>Mohd Nazul Karnine Muhamad</t>
  </si>
  <si>
    <t>22/4</t>
  </si>
  <si>
    <t>025</t>
  </si>
  <si>
    <t>Mohammad Farhan Mansor</t>
  </si>
  <si>
    <t>9/5</t>
  </si>
  <si>
    <t>026</t>
  </si>
  <si>
    <t>Azhar Ahmad (Asmini)</t>
  </si>
  <si>
    <t>26/3</t>
  </si>
  <si>
    <t>027</t>
  </si>
  <si>
    <t>Mohd Nazri b Hashim</t>
  </si>
  <si>
    <t>13/4</t>
  </si>
  <si>
    <t>028</t>
  </si>
  <si>
    <t>Mazlan abdullah</t>
  </si>
  <si>
    <t>13/3</t>
  </si>
  <si>
    <t>029</t>
  </si>
  <si>
    <t>Mohammad Zuhardy bin Abdul Manaf</t>
  </si>
  <si>
    <t>20/4</t>
  </si>
  <si>
    <t>030</t>
  </si>
  <si>
    <t>Azrol Arshad</t>
  </si>
  <si>
    <t>15/2</t>
  </si>
  <si>
    <t>031</t>
  </si>
  <si>
    <t>Zainal Adnan B Hawari</t>
  </si>
  <si>
    <t>28/5</t>
  </si>
  <si>
    <t>032</t>
  </si>
  <si>
    <t>Abdullah Bin Muhammed</t>
  </si>
  <si>
    <t>3/2</t>
  </si>
  <si>
    <t>033</t>
  </si>
  <si>
    <t>Marwelies Bin Mohd Yusoff</t>
  </si>
  <si>
    <t>3/3</t>
  </si>
  <si>
    <t>034</t>
  </si>
  <si>
    <t>Mohd Rizal Yaakop</t>
  </si>
  <si>
    <t>6/5</t>
  </si>
  <si>
    <t>035</t>
  </si>
  <si>
    <t>Mohd Narang Abu Bakar</t>
  </si>
  <si>
    <t>33/3</t>
  </si>
  <si>
    <t>036</t>
  </si>
  <si>
    <t>syamsul arifin bin muhd irpan</t>
  </si>
  <si>
    <t>9/2</t>
  </si>
  <si>
    <t>037</t>
  </si>
  <si>
    <t>6/2</t>
  </si>
  <si>
    <t>038</t>
  </si>
  <si>
    <t>Khairul Bin Mohd Anua</t>
  </si>
  <si>
    <t>27/4</t>
  </si>
  <si>
    <t>039</t>
  </si>
  <si>
    <t>Zainal Abidin Bin Abu Bakar</t>
  </si>
  <si>
    <t>18/5</t>
  </si>
  <si>
    <t>040</t>
  </si>
  <si>
    <t>Azizi Umar</t>
  </si>
  <si>
    <t>11/3</t>
  </si>
  <si>
    <t>041</t>
  </si>
  <si>
    <t>Jamalullail Abdul Wahab</t>
  </si>
  <si>
    <t>33/5</t>
  </si>
  <si>
    <t>042</t>
  </si>
  <si>
    <t>Mohamad Nizam Jaafar</t>
  </si>
  <si>
    <t>40/5</t>
  </si>
  <si>
    <t>043</t>
  </si>
  <si>
    <t>Mohd Razali Mohamad</t>
  </si>
  <si>
    <t>2/2</t>
  </si>
  <si>
    <t>044</t>
  </si>
  <si>
    <t>Othman Mohamed</t>
  </si>
  <si>
    <t>2/3</t>
  </si>
  <si>
    <t>045</t>
  </si>
  <si>
    <t>Shahrizal Bin Ishak</t>
  </si>
  <si>
    <t>6/3</t>
  </si>
  <si>
    <t>046</t>
  </si>
  <si>
    <t>Saiful Azlin Maskan</t>
  </si>
  <si>
    <t>18/3</t>
  </si>
  <si>
    <t>047</t>
  </si>
  <si>
    <t>Meor Nazrin Shah Bin Md Nasir</t>
  </si>
  <si>
    <t>12/4</t>
  </si>
  <si>
    <t>048</t>
  </si>
  <si>
    <t>Noramzaidy bin Ramli</t>
  </si>
  <si>
    <t>7/5</t>
  </si>
  <si>
    <t>049</t>
  </si>
  <si>
    <t xml:space="preserve">Mohd. Nizam bin pujaman </t>
  </si>
  <si>
    <t>32A/5</t>
  </si>
  <si>
    <t>050</t>
  </si>
  <si>
    <t>Prof. Madya Dr. Zaini Sakawi</t>
  </si>
  <si>
    <t>31/3</t>
  </si>
  <si>
    <t>051</t>
  </si>
  <si>
    <t>Badli Abu Hassan</t>
  </si>
  <si>
    <t>23/4</t>
  </si>
  <si>
    <t>052</t>
  </si>
  <si>
    <t>Muhamad Azhanudin Bin Kasdi</t>
  </si>
  <si>
    <t>15/5</t>
  </si>
  <si>
    <t>053</t>
  </si>
  <si>
    <t>Yusof Said</t>
  </si>
  <si>
    <t>5/3</t>
  </si>
  <si>
    <t>054</t>
  </si>
  <si>
    <t>Dato' Mohd Fadly Bin Hashim</t>
  </si>
  <si>
    <t>28/3</t>
  </si>
  <si>
    <t>055</t>
  </si>
  <si>
    <t>HasanolZamri Bin Ahmad</t>
  </si>
  <si>
    <t>30/3</t>
  </si>
  <si>
    <t>056</t>
  </si>
  <si>
    <t>Wan Zulkifli Wan Hassan</t>
  </si>
  <si>
    <t>29/4</t>
  </si>
  <si>
    <t>057</t>
  </si>
  <si>
    <t>Md Noor Azman Musa</t>
  </si>
  <si>
    <t>10/3</t>
  </si>
  <si>
    <t>058</t>
  </si>
  <si>
    <t>Mohammad Iqwhanus Syaffa Amir</t>
  </si>
  <si>
    <t>5/5</t>
  </si>
  <si>
    <t>059</t>
  </si>
  <si>
    <t>Roslimi bin Ramlee</t>
  </si>
  <si>
    <t>9/4</t>
  </si>
  <si>
    <t>060</t>
  </si>
  <si>
    <t>Lukman Abdul Mutalib</t>
  </si>
  <si>
    <t>25/3</t>
  </si>
  <si>
    <t>061</t>
  </si>
  <si>
    <t>Khairul Anuar Ali</t>
  </si>
  <si>
    <t>7 /4</t>
  </si>
  <si>
    <t>062</t>
  </si>
  <si>
    <t>Hakim Zainal</t>
  </si>
  <si>
    <t>19/4</t>
  </si>
  <si>
    <t>063</t>
  </si>
  <si>
    <t>Mohamad Nazri Bin Shahadan</t>
  </si>
  <si>
    <t>3/4</t>
  </si>
  <si>
    <t>064</t>
  </si>
  <si>
    <t>Zariman</t>
  </si>
  <si>
    <t>39/5</t>
  </si>
  <si>
    <t>065</t>
  </si>
  <si>
    <t>Ustaz Khairul Anuar b. Abu Othman</t>
  </si>
  <si>
    <t>23/5</t>
  </si>
  <si>
    <t>066</t>
  </si>
  <si>
    <t>Termizi Hj Yusof</t>
  </si>
  <si>
    <t>13/5</t>
  </si>
  <si>
    <t>067</t>
  </si>
  <si>
    <t>Rizalman Darus</t>
  </si>
  <si>
    <t>17/3</t>
  </si>
  <si>
    <t>068</t>
  </si>
  <si>
    <t>Esmet Sidqie bin A. Muttalib</t>
  </si>
  <si>
    <t>3A/3</t>
  </si>
  <si>
    <t>069</t>
  </si>
  <si>
    <t>Ahmad Shairul Akram bin Sabli</t>
  </si>
  <si>
    <t>26/5</t>
  </si>
  <si>
    <t>070</t>
  </si>
  <si>
    <t>Mustafa salleh</t>
  </si>
  <si>
    <t>42/5</t>
  </si>
  <si>
    <t>071</t>
  </si>
  <si>
    <t>Zaki</t>
  </si>
  <si>
    <t>31/4</t>
  </si>
  <si>
    <t>072</t>
  </si>
  <si>
    <t>Abdul Aziz Mohd Zohdi</t>
  </si>
  <si>
    <t>20/2</t>
  </si>
  <si>
    <t>073</t>
  </si>
  <si>
    <t>Badrol Hisham Ibrahim</t>
  </si>
  <si>
    <t>18/4</t>
  </si>
  <si>
    <t>074</t>
  </si>
  <si>
    <t xml:space="preserve">Zainul Alam </t>
  </si>
  <si>
    <t>3A/2</t>
  </si>
  <si>
    <t>075</t>
  </si>
  <si>
    <t>Buslima</t>
  </si>
  <si>
    <t>7/3</t>
  </si>
  <si>
    <t>076</t>
  </si>
  <si>
    <t>Jusmawardi</t>
  </si>
  <si>
    <t>2A/4</t>
  </si>
  <si>
    <t>077</t>
  </si>
  <si>
    <t>Noraidi Nordin</t>
  </si>
  <si>
    <t>1/5</t>
  </si>
  <si>
    <t>078</t>
  </si>
  <si>
    <t>Noor Asna Mokhtar</t>
  </si>
  <si>
    <t>22/3</t>
  </si>
  <si>
    <t>079</t>
  </si>
  <si>
    <t>Fithri Bin Yahaya</t>
  </si>
  <si>
    <t>32/5</t>
  </si>
  <si>
    <t>080</t>
  </si>
  <si>
    <t>Norbaiti Binti Sidik</t>
  </si>
  <si>
    <t>6/4</t>
  </si>
  <si>
    <t>081</t>
  </si>
  <si>
    <t>Tawfiq</t>
  </si>
  <si>
    <t>15/4</t>
  </si>
  <si>
    <t>082</t>
  </si>
  <si>
    <t xml:space="preserve">Lina Ahmad </t>
  </si>
  <si>
    <t>11/5</t>
  </si>
  <si>
    <t>083</t>
  </si>
  <si>
    <t>Mustapha Kamal Bin Md Salleh</t>
  </si>
  <si>
    <t>8/3</t>
  </si>
  <si>
    <t>084</t>
  </si>
  <si>
    <t>Mohaamad Hardi bin Abdullah</t>
  </si>
  <si>
    <t>27/5</t>
  </si>
  <si>
    <t>085</t>
  </si>
  <si>
    <t>Abdul Hanif Bin Che Hamid</t>
  </si>
  <si>
    <t>086</t>
  </si>
  <si>
    <t>Md azmi Mohamad Sukaimi</t>
  </si>
  <si>
    <t>21/3</t>
  </si>
  <si>
    <t>087</t>
  </si>
  <si>
    <t>Sarizah Binti Sulaiman</t>
  </si>
  <si>
    <t>13A/3</t>
  </si>
  <si>
    <t>088</t>
  </si>
  <si>
    <t>Zul @ Zulkifli Ahamid</t>
  </si>
  <si>
    <t>12A/5</t>
  </si>
  <si>
    <t>089</t>
  </si>
  <si>
    <t>Dr Husaini Bin Hussin</t>
  </si>
  <si>
    <t>17/4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</si>
  <si>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</si>
  <si>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</si>
  <si>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</si>
  <si>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</si>
  <si>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</si>
  <si>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</si>
  <si>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</si>
  <si>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</si>
  <si>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</si>
  <si>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</si>
  <si>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</si>
  <si>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</si>
  <si>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</si>
  <si>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</si>
  <si>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</si>
  <si>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</si>
  <si>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Adi Fazuli bin Mamat</t>
  </si>
  <si>
    <t>10/5</t>
  </si>
  <si>
    <t>106</t>
  </si>
  <si>
    <t>107</t>
  </si>
  <si>
    <t>108</t>
  </si>
  <si>
    <t>109</t>
  </si>
  <si>
    <t>110</t>
  </si>
  <si>
    <t>111</t>
  </si>
  <si>
    <t>M. Fadzel Selamat</t>
  </si>
  <si>
    <t>41/5</t>
  </si>
  <si>
    <t>112</t>
  </si>
  <si>
    <t>Saiful Ezral Bin Arifiin</t>
  </si>
  <si>
    <t>20/3</t>
  </si>
  <si>
    <t>113</t>
  </si>
  <si>
    <t>114</t>
  </si>
  <si>
    <t>115</t>
  </si>
  <si>
    <t>116</t>
  </si>
  <si>
    <t>117</t>
  </si>
  <si>
    <t>118</t>
  </si>
  <si>
    <t>119</t>
  </si>
  <si>
    <t>120</t>
  </si>
  <si>
    <t xml:space="preserve">Mohamed Fauzi bin Mohamed Salleh </t>
  </si>
  <si>
    <t>29/3</t>
  </si>
  <si>
    <t>121</t>
  </si>
  <si>
    <t>Azhan</t>
  </si>
  <si>
    <t>22/5</t>
  </si>
  <si>
    <t>122</t>
  </si>
  <si>
    <t>123</t>
  </si>
  <si>
    <t>Azamin Nordin</t>
  </si>
  <si>
    <t>12/3</t>
  </si>
  <si>
    <t>124</t>
  </si>
  <si>
    <t>125</t>
  </si>
  <si>
    <t>Azlan Iskandar Ishak</t>
  </si>
  <si>
    <t>12/5</t>
  </si>
  <si>
    <t>200</t>
  </si>
  <si>
    <t>Muadz</t>
  </si>
  <si>
    <t>28/4</t>
  </si>
  <si>
    <t>201</t>
  </si>
  <si>
    <t xml:space="preserve">Norazli Mohamad Nor </t>
  </si>
  <si>
    <t>2A/5</t>
  </si>
  <si>
    <t>202</t>
  </si>
  <si>
    <t>Khairudin bin Hj Mohd Ali</t>
  </si>
  <si>
    <t>16/5 (31/5)</t>
  </si>
  <si>
    <t>203</t>
  </si>
  <si>
    <t>Fauzi</t>
  </si>
  <si>
    <t>1/2</t>
  </si>
  <si>
    <t>204</t>
  </si>
  <si>
    <t>Najmi Dawami Abdul Hamid</t>
  </si>
  <si>
    <t>205</t>
  </si>
  <si>
    <t>Khairul Amin b Mohd Jamri</t>
  </si>
  <si>
    <t>23A/4</t>
  </si>
  <si>
    <t>206</t>
  </si>
  <si>
    <t>Zainul</t>
  </si>
  <si>
    <t>207</t>
  </si>
  <si>
    <t>Ustaz Faizal (Mustafa Mohd Yassin)</t>
  </si>
  <si>
    <t>30/5</t>
  </si>
  <si>
    <t>208</t>
  </si>
  <si>
    <t>Amir Shukri Kamaruizaman Bin Sahol Hamid</t>
  </si>
  <si>
    <t>13/2</t>
  </si>
  <si>
    <t>209</t>
  </si>
  <si>
    <t>Muhammad Fitri Muhammad Hashim</t>
  </si>
  <si>
    <t>Total</t>
  </si>
  <si>
    <t>Transfer 21.01.2024</t>
  </si>
  <si>
    <t>Transfer 26.01.2024</t>
  </si>
  <si>
    <t>Transfer 28.01.2024</t>
  </si>
  <si>
    <t>Transfer</t>
  </si>
  <si>
    <t>Transfer 10.02.2024</t>
  </si>
  <si>
    <t>Transfer RM 200 - 06.03.2024</t>
  </si>
  <si>
    <t>Transfer RM 240 - 2024 &amp; 2025 -21.01.2024</t>
  </si>
  <si>
    <t>Transfer 25.01.2024 - 2024 &amp; 2023</t>
  </si>
  <si>
    <t>Cash RM 240 - 05.2024 - 2023 &amp; 2024</t>
  </si>
  <si>
    <t>cash 21.01.2024 - RM 240 - 2024 &amp; 2023</t>
  </si>
  <si>
    <t>Transfer RM 100 (April 2023 - Jan 2024) - 15.08.2023</t>
  </si>
  <si>
    <t>Cash 02.2024</t>
  </si>
  <si>
    <t>Transfer 12.05.2024 - ahli baru</t>
  </si>
  <si>
    <t>Transfer RM 360 - 2022, 2023, 2024 - 08.05.2024</t>
  </si>
  <si>
    <t>Amirul Hakimi Bin Husain</t>
  </si>
  <si>
    <t>Faris Murthada Bin Fazial</t>
  </si>
  <si>
    <t>33A/3</t>
  </si>
  <si>
    <t>Transfer 22.05.2024 - ahli baru</t>
  </si>
  <si>
    <t>Transfer 15.06.2024</t>
  </si>
  <si>
    <t>Sapuan Bin Nonan</t>
  </si>
  <si>
    <t>38/5</t>
  </si>
  <si>
    <t>Transfer 09.09.2024 - ahli baru</t>
  </si>
  <si>
    <t>Transfer 10.09.2024</t>
  </si>
  <si>
    <t>Razali Bin Embong (owner skrg - Mohd Hairos Soleh Bin Alimi)</t>
  </si>
  <si>
    <t>Transfer 21.06.2024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</si>
</sst>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MYR]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6" xfId="0" quotePrefix="1" applyNumberFormat="1" applyFont="1" applyBorder="1" applyAlignment="1">
      <alignment horizontal="center"/>
    </xf>
    <xf numFmtId="0" fontId="5" fillId="0" borderId="6" xfId="0" applyFont="1" applyBorder="1"/>
    <xf numFmtId="49" fontId="2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/>
    <xf numFmtId="0" fontId="2" fillId="3" borderId="6" xfId="0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0" fontId="7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0" xfId="0" applyFont="1" applyFill="1"/>
    <xf numFmtId="0" fontId="5" fillId="3" borderId="6" xfId="0" applyFont="1" applyFill="1" applyBorder="1"/>
    <xf numFmtId="0" fontId="1" fillId="0" borderId="0" xfId="0" applyFont="1"/>
    <xf numFmtId="0" fontId="7" fillId="0" borderId="6" xfId="0" applyFont="1" applyBorder="1"/>
    <xf numFmtId="49" fontId="2" fillId="0" borderId="2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3" borderId="6" xfId="0" applyFont="1" applyFill="1" applyBorder="1"/>
    <xf numFmtId="0" fontId="6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0" xfId="0" applyFont="1" applyFill="1"/>
    <xf numFmtId="0" fontId="0" fillId="3" borderId="0" xfId="0" applyFill="1"/>
    <xf numFmtId="0" fontId="8" fillId="3" borderId="6" xfId="0" applyFont="1" applyFill="1" applyBorder="1"/>
    <xf numFmtId="0" fontId="2" fillId="4" borderId="0" xfId="0" applyFont="1" applyFill="1"/>
    <xf numFmtId="0" fontId="2" fillId="5" borderId="6" xfId="0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  <xf numFmtId="0" fontId="2" fillId="5" borderId="6" xfId="0" applyFont="1" applyFill="1" applyBorder="1"/>
    <xf numFmtId="0" fontId="6" fillId="5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4" borderId="0" xfId="0" applyFill="1"/>
    <xf numFmtId="0" fontId="2" fillId="5" borderId="0" xfId="0" applyFont="1" applyFill="1"/>
    <xf numFmtId="0" fontId="1" fillId="5" borderId="0" xfId="0" applyFont="1" applyFill="1"/>
    <xf numFmtId="0" fontId="2" fillId="5" borderId="8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top"/>
    </xf>
    <xf numFmtId="0" fontId="4" fillId="0" borderId="5" xfId="0" applyFont="1" applyBorder="1"/>
    <xf numFmtId="0" fontId="2" fillId="2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1050-2402-4285-A689-828B5CD8C703}">
  <dimension ref="A1:Y1000"/>
  <sheetViews>
    <sheetView tabSelected="1" topLeftCell="A66" workbookViewId="0">
      <selection activeCell="C78" sqref="C78"/>
    </sheetView>
  </sheetViews>
  <sheetFormatPr defaultColWidth="14.44140625" defaultRowHeight="14.4" x14ac:dyDescent="0.3"/>
  <cols>
    <col min="1" max="2" width="10.6640625" style="1" customWidth="1"/>
    <col min="3" max="3" width="53.109375" customWidth="1"/>
    <col min="4" max="4" width="13.44140625" style="1" customWidth="1"/>
    <col min="5" max="5" width="9.109375" style="1" customWidth="1"/>
    <col min="6" max="7" width="5.6640625" style="1" customWidth="1"/>
    <col min="8" max="8" width="4.44140625" style="1" customWidth="1"/>
    <col min="9" max="9" width="4.109375" style="1" customWidth="1"/>
    <col min="10" max="10" width="5.109375" style="1" customWidth="1"/>
    <col min="11" max="11" width="4.33203125" style="1" customWidth="1"/>
    <col min="12" max="12" width="3.88671875" style="1" customWidth="1"/>
    <col min="13" max="14" width="4.88671875" style="1" customWidth="1"/>
    <col min="15" max="15" width="5" style="1" customWidth="1"/>
    <col min="16" max="16" width="4.6640625" style="1" customWidth="1"/>
    <col min="17" max="17" width="5" style="1" customWidth="1"/>
    <col min="18" max="18" width="6.88671875" style="1" customWidth="1"/>
    <col min="19" max="25" width="10.6640625" customWidth="1"/>
  </cols>
  <sheetData>
    <row r="1" spans="1:25" x14ac:dyDescent="0.3">
      <c r="B1" s="2"/>
      <c r="D1" s="2"/>
    </row>
    <row r="2" spans="1:25" ht="21" x14ac:dyDescent="0.4">
      <c r="A2" s="49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5" ht="21" x14ac:dyDescent="0.4">
      <c r="A3" s="49" t="s">
        <v>1</v>
      </c>
      <c r="B3" s="50"/>
      <c r="C3" s="3">
        <f>E143+R143</f>
        <v>3370</v>
      </c>
      <c r="D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U3" s="5"/>
      <c r="V3" s="6"/>
      <c r="X3" s="5">
        <v>4360</v>
      </c>
    </row>
    <row r="4" spans="1:25" x14ac:dyDescent="0.3">
      <c r="B4" s="2"/>
      <c r="D4" s="2"/>
      <c r="X4" s="5">
        <v>408</v>
      </c>
    </row>
    <row r="5" spans="1:25" x14ac:dyDescent="0.3">
      <c r="A5" s="51" t="s">
        <v>2</v>
      </c>
      <c r="B5" s="53" t="s">
        <v>3</v>
      </c>
      <c r="C5" s="51" t="s">
        <v>4</v>
      </c>
      <c r="D5" s="53" t="s">
        <v>5</v>
      </c>
      <c r="E5" s="55" t="s">
        <v>6</v>
      </c>
      <c r="F5" s="57" t="s">
        <v>7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9"/>
    </row>
    <row r="6" spans="1:25" x14ac:dyDescent="0.3">
      <c r="A6" s="52"/>
      <c r="B6" s="52"/>
      <c r="C6" s="54"/>
      <c r="D6" s="52"/>
      <c r="E6" s="56"/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X6" s="5">
        <f>X3+X4+X5</f>
        <v>4768</v>
      </c>
    </row>
    <row r="7" spans="1:25" x14ac:dyDescent="0.3">
      <c r="A7" s="8">
        <v>1</v>
      </c>
      <c r="B7" s="9" t="s">
        <v>21</v>
      </c>
      <c r="C7" s="10" t="s">
        <v>22</v>
      </c>
      <c r="D7" s="11" t="s">
        <v>23</v>
      </c>
      <c r="E7" s="8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>
        <f>SUM(F7:Q7)</f>
        <v>0</v>
      </c>
      <c r="S7" s="5"/>
      <c r="T7" s="5"/>
      <c r="U7" s="5"/>
      <c r="X7" s="5">
        <v>276.8</v>
      </c>
    </row>
    <row r="8" spans="1:25" x14ac:dyDescent="0.3">
      <c r="A8" s="8">
        <v>2</v>
      </c>
      <c r="B8" s="9" t="s">
        <v>24</v>
      </c>
      <c r="C8" s="15" t="s">
        <v>25</v>
      </c>
      <c r="D8" s="11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4">
        <f t="shared" ref="R8:R71" si="0">SUM(F8:Q8)</f>
        <v>0</v>
      </c>
      <c r="X8" s="5">
        <f>X6-X7</f>
        <v>4491.2</v>
      </c>
    </row>
    <row r="9" spans="1:25" x14ac:dyDescent="0.3">
      <c r="A9" s="8">
        <v>3</v>
      </c>
      <c r="B9" s="11" t="s">
        <v>27</v>
      </c>
      <c r="C9" s="15" t="s">
        <v>28</v>
      </c>
      <c r="D9" s="11" t="s">
        <v>29</v>
      </c>
      <c r="E9" s="8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>
        <f t="shared" si="0"/>
        <v>0</v>
      </c>
      <c r="S9" s="5"/>
      <c r="T9" s="5"/>
      <c r="U9" s="5"/>
    </row>
    <row r="10" spans="1:25" x14ac:dyDescent="0.3">
      <c r="A10" s="16">
        <v>4</v>
      </c>
      <c r="B10" s="17" t="s">
        <v>30</v>
      </c>
      <c r="C10" s="31" t="s">
        <v>31</v>
      </c>
      <c r="D10" s="17" t="s">
        <v>32</v>
      </c>
      <c r="E10" s="16"/>
      <c r="F10" s="16">
        <v>10</v>
      </c>
      <c r="G10" s="16">
        <v>10</v>
      </c>
      <c r="H10" s="16">
        <v>10</v>
      </c>
      <c r="I10" s="16">
        <v>10</v>
      </c>
      <c r="J10" s="16">
        <v>10</v>
      </c>
      <c r="K10" s="16">
        <v>10</v>
      </c>
      <c r="L10" s="16">
        <v>10</v>
      </c>
      <c r="M10" s="16">
        <v>10</v>
      </c>
      <c r="N10" s="16">
        <v>10</v>
      </c>
      <c r="O10" s="16">
        <v>10</v>
      </c>
      <c r="P10" s="16">
        <v>10</v>
      </c>
      <c r="Q10" s="16">
        <v>10</v>
      </c>
      <c r="R10" s="19">
        <f t="shared" si="0"/>
        <v>120</v>
      </c>
      <c r="S10" s="20" t="s">
        <v>382</v>
      </c>
      <c r="T10" s="20"/>
      <c r="U10" s="5"/>
    </row>
    <row r="11" spans="1:25" x14ac:dyDescent="0.3">
      <c r="A11" s="8">
        <v>5</v>
      </c>
      <c r="B11" s="11" t="s">
        <v>33</v>
      </c>
      <c r="C11" s="10" t="s">
        <v>34</v>
      </c>
      <c r="D11" s="11" t="s">
        <v>35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4">
        <f t="shared" si="0"/>
        <v>0</v>
      </c>
    </row>
    <row r="12" spans="1:25" x14ac:dyDescent="0.3">
      <c r="A12" s="16">
        <v>6</v>
      </c>
      <c r="B12" s="17" t="s">
        <v>36</v>
      </c>
      <c r="C12" s="18" t="s">
        <v>37</v>
      </c>
      <c r="D12" s="17" t="s">
        <v>38</v>
      </c>
      <c r="E12" s="16"/>
      <c r="F12" s="16">
        <v>10</v>
      </c>
      <c r="G12" s="16">
        <v>10</v>
      </c>
      <c r="H12" s="16">
        <v>10</v>
      </c>
      <c r="I12" s="16">
        <v>10</v>
      </c>
      <c r="J12" s="16">
        <v>10</v>
      </c>
      <c r="K12" s="16">
        <v>10</v>
      </c>
      <c r="L12" s="16">
        <v>10</v>
      </c>
      <c r="M12" s="16">
        <v>10</v>
      </c>
      <c r="N12" s="16">
        <v>10</v>
      </c>
      <c r="O12" s="16">
        <v>10</v>
      </c>
      <c r="P12" s="16">
        <v>10</v>
      </c>
      <c r="Q12" s="16">
        <v>10</v>
      </c>
      <c r="R12" s="19">
        <f t="shared" si="0"/>
        <v>120</v>
      </c>
      <c r="S12" s="37" t="s">
        <v>373</v>
      </c>
      <c r="T12" s="37"/>
      <c r="U12" s="37"/>
      <c r="V12" s="35"/>
    </row>
    <row r="13" spans="1:25" x14ac:dyDescent="0.3">
      <c r="A13" s="8">
        <v>7</v>
      </c>
      <c r="B13" s="11" t="s">
        <v>39</v>
      </c>
      <c r="C13" s="15" t="s">
        <v>40</v>
      </c>
      <c r="D13" s="11" t="s">
        <v>41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4">
        <f t="shared" si="0"/>
        <v>0</v>
      </c>
      <c r="S13" s="5"/>
      <c r="T13" s="5"/>
      <c r="U13" s="5"/>
    </row>
    <row r="14" spans="1:25" x14ac:dyDescent="0.3">
      <c r="A14" s="8">
        <v>8</v>
      </c>
      <c r="B14" s="11" t="s">
        <v>42</v>
      </c>
      <c r="C14" s="10" t="s">
        <v>43</v>
      </c>
      <c r="D14" s="11" t="s">
        <v>44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4">
        <f t="shared" si="0"/>
        <v>0</v>
      </c>
      <c r="S14" s="5"/>
      <c r="T14" s="5"/>
      <c r="U14" s="5"/>
      <c r="V14" s="5"/>
      <c r="W14" s="5"/>
      <c r="X14" s="5"/>
      <c r="Y14" s="5"/>
    </row>
    <row r="15" spans="1:25" x14ac:dyDescent="0.3">
      <c r="A15" s="8">
        <v>9</v>
      </c>
      <c r="B15" s="11" t="s">
        <v>45</v>
      </c>
      <c r="C15" s="15" t="s">
        <v>46</v>
      </c>
      <c r="D15" s="11" t="s">
        <v>47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4">
        <f t="shared" si="0"/>
        <v>0</v>
      </c>
    </row>
    <row r="16" spans="1:25" x14ac:dyDescent="0.3">
      <c r="A16" s="8">
        <v>10</v>
      </c>
      <c r="B16" s="11" t="s">
        <v>48</v>
      </c>
      <c r="C16" s="10" t="s">
        <v>49</v>
      </c>
      <c r="D16" s="11" t="s">
        <v>50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4">
        <f t="shared" si="0"/>
        <v>0</v>
      </c>
      <c r="S16" s="5"/>
      <c r="T16" s="5"/>
      <c r="U16" s="5"/>
    </row>
    <row r="17" spans="1:21" x14ac:dyDescent="0.3">
      <c r="A17" s="8">
        <v>11</v>
      </c>
      <c r="B17" s="11" t="s">
        <v>51</v>
      </c>
      <c r="C17" s="10" t="s">
        <v>52</v>
      </c>
      <c r="D17" s="11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4">
        <f t="shared" si="0"/>
        <v>0</v>
      </c>
    </row>
    <row r="18" spans="1:21" x14ac:dyDescent="0.3">
      <c r="A18" s="8">
        <v>12</v>
      </c>
      <c r="B18" s="11" t="s">
        <v>54</v>
      </c>
      <c r="C18" s="10" t="s">
        <v>55</v>
      </c>
      <c r="D18" s="11" t="s">
        <v>56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4">
        <f t="shared" si="0"/>
        <v>0</v>
      </c>
    </row>
    <row r="19" spans="1:21" x14ac:dyDescent="0.3">
      <c r="A19" s="8">
        <v>13</v>
      </c>
      <c r="B19" s="11" t="s">
        <v>57</v>
      </c>
      <c r="C19" s="15" t="s">
        <v>58</v>
      </c>
      <c r="D19" s="11" t="s">
        <v>59</v>
      </c>
      <c r="E19" s="8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>
        <f t="shared" si="0"/>
        <v>0</v>
      </c>
      <c r="S19" s="5"/>
      <c r="T19" s="5"/>
      <c r="U19" s="5"/>
    </row>
    <row r="20" spans="1:21" x14ac:dyDescent="0.3">
      <c r="A20" s="16">
        <v>14</v>
      </c>
      <c r="B20" s="17" t="s">
        <v>60</v>
      </c>
      <c r="C20" s="21" t="s">
        <v>61</v>
      </c>
      <c r="D20" s="17" t="s">
        <v>62</v>
      </c>
      <c r="E20" s="16"/>
      <c r="F20" s="16">
        <v>10</v>
      </c>
      <c r="G20" s="16">
        <v>10</v>
      </c>
      <c r="H20" s="16">
        <v>10</v>
      </c>
      <c r="I20" s="16">
        <v>10</v>
      </c>
      <c r="J20" s="16">
        <v>10</v>
      </c>
      <c r="K20" s="16">
        <v>10</v>
      </c>
      <c r="L20" s="16">
        <v>10</v>
      </c>
      <c r="M20" s="16">
        <v>10</v>
      </c>
      <c r="N20" s="16">
        <v>10</v>
      </c>
      <c r="O20" s="16">
        <v>10</v>
      </c>
      <c r="P20" s="16">
        <v>10</v>
      </c>
      <c r="Q20" s="16">
        <v>10</v>
      </c>
      <c r="R20" s="19">
        <f t="shared" si="0"/>
        <v>120</v>
      </c>
      <c r="S20" s="20" t="s">
        <v>364</v>
      </c>
      <c r="T20" s="20"/>
      <c r="U20" s="5"/>
    </row>
    <row r="21" spans="1:21" ht="15.75" customHeight="1" x14ac:dyDescent="0.3">
      <c r="A21" s="16">
        <v>15</v>
      </c>
      <c r="B21" s="17" t="s">
        <v>63</v>
      </c>
      <c r="C21" s="31" t="s">
        <v>64</v>
      </c>
      <c r="D21" s="17" t="s">
        <v>65</v>
      </c>
      <c r="E21" s="16"/>
      <c r="F21" s="16">
        <v>10</v>
      </c>
      <c r="G21" s="16">
        <v>10</v>
      </c>
      <c r="H21" s="16">
        <v>10</v>
      </c>
      <c r="I21" s="16">
        <v>10</v>
      </c>
      <c r="J21" s="16">
        <v>10</v>
      </c>
      <c r="K21" s="16">
        <v>10</v>
      </c>
      <c r="L21" s="16">
        <v>10</v>
      </c>
      <c r="M21" s="16">
        <v>10</v>
      </c>
      <c r="N21" s="16">
        <v>10</v>
      </c>
      <c r="O21" s="16">
        <v>10</v>
      </c>
      <c r="P21" s="16">
        <v>10</v>
      </c>
      <c r="Q21" s="16">
        <v>10</v>
      </c>
      <c r="R21" s="19">
        <f t="shared" si="0"/>
        <v>120</v>
      </c>
      <c r="S21" s="37" t="s">
        <v>375</v>
      </c>
      <c r="T21" s="37"/>
      <c r="U21" s="5"/>
    </row>
    <row r="22" spans="1:21" ht="15.75" customHeight="1" x14ac:dyDescent="0.3">
      <c r="A22" s="8">
        <v>16</v>
      </c>
      <c r="B22" s="11" t="s">
        <v>66</v>
      </c>
      <c r="C22" s="10" t="s">
        <v>67</v>
      </c>
      <c r="D22" s="11" t="s">
        <v>68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4">
        <f t="shared" si="0"/>
        <v>0</v>
      </c>
    </row>
    <row r="23" spans="1:21" ht="15.75" customHeight="1" x14ac:dyDescent="0.3">
      <c r="A23" s="8">
        <v>17</v>
      </c>
      <c r="B23" s="11" t="s">
        <v>69</v>
      </c>
      <c r="C23" s="10" t="s">
        <v>70</v>
      </c>
      <c r="D23" s="11" t="s">
        <v>71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4">
        <f t="shared" si="0"/>
        <v>0</v>
      </c>
    </row>
    <row r="24" spans="1:21" ht="15.75" customHeight="1" x14ac:dyDescent="0.3">
      <c r="A24" s="16">
        <v>18</v>
      </c>
      <c r="B24" s="17" t="s">
        <v>72</v>
      </c>
      <c r="C24" s="34" t="s">
        <v>73</v>
      </c>
      <c r="D24" s="17" t="s">
        <v>74</v>
      </c>
      <c r="E24" s="16"/>
      <c r="F24" s="16">
        <v>10</v>
      </c>
      <c r="G24" s="16">
        <v>10</v>
      </c>
      <c r="H24" s="16">
        <v>10</v>
      </c>
      <c r="I24" s="16">
        <v>10</v>
      </c>
      <c r="J24" s="16">
        <v>10</v>
      </c>
      <c r="K24" s="16">
        <v>10</v>
      </c>
      <c r="L24" s="16">
        <v>10</v>
      </c>
      <c r="M24" s="16">
        <v>10</v>
      </c>
      <c r="N24" s="16">
        <v>10</v>
      </c>
      <c r="O24" s="16">
        <v>10</v>
      </c>
      <c r="P24" s="16">
        <v>10</v>
      </c>
      <c r="Q24" s="16">
        <v>10</v>
      </c>
      <c r="R24" s="19">
        <f t="shared" si="0"/>
        <v>120</v>
      </c>
      <c r="S24" s="20" t="s">
        <v>371</v>
      </c>
      <c r="T24" s="20"/>
      <c r="U24" s="20"/>
    </row>
    <row r="25" spans="1:21" ht="15.75" customHeight="1" x14ac:dyDescent="0.3">
      <c r="A25" s="8">
        <v>19</v>
      </c>
      <c r="B25" s="11" t="s">
        <v>75</v>
      </c>
      <c r="C25" s="15" t="s">
        <v>76</v>
      </c>
      <c r="D25" s="11" t="s">
        <v>77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4">
        <f t="shared" si="0"/>
        <v>0</v>
      </c>
      <c r="T25" s="5"/>
    </row>
    <row r="26" spans="1:21" ht="15.75" customHeight="1" x14ac:dyDescent="0.3">
      <c r="A26" s="16">
        <v>20</v>
      </c>
      <c r="B26" s="17" t="s">
        <v>78</v>
      </c>
      <c r="C26" s="21" t="s">
        <v>79</v>
      </c>
      <c r="D26" s="17" t="s">
        <v>80</v>
      </c>
      <c r="E26" s="16"/>
      <c r="F26" s="32">
        <v>10</v>
      </c>
      <c r="G26" s="33">
        <v>10</v>
      </c>
      <c r="H26" s="33">
        <v>10</v>
      </c>
      <c r="I26" s="33">
        <v>10</v>
      </c>
      <c r="J26" s="33">
        <v>10</v>
      </c>
      <c r="K26" s="33">
        <v>10</v>
      </c>
      <c r="L26" s="33">
        <v>10</v>
      </c>
      <c r="M26" s="33">
        <v>10</v>
      </c>
      <c r="N26" s="33">
        <v>10</v>
      </c>
      <c r="O26" s="33">
        <v>10</v>
      </c>
      <c r="P26" s="33">
        <v>10</v>
      </c>
      <c r="Q26" s="33">
        <v>10</v>
      </c>
      <c r="R26" s="19">
        <f t="shared" si="0"/>
        <v>120</v>
      </c>
      <c r="S26" s="20" t="s">
        <v>367</v>
      </c>
      <c r="T26" s="5"/>
      <c r="U26" s="5"/>
    </row>
    <row r="27" spans="1:21" ht="15.75" customHeight="1" x14ac:dyDescent="0.3">
      <c r="A27" s="8">
        <v>21</v>
      </c>
      <c r="B27" s="11" t="s">
        <v>81</v>
      </c>
      <c r="C27" s="10" t="s">
        <v>82</v>
      </c>
      <c r="D27" s="11" t="s">
        <v>83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4">
        <f t="shared" si="0"/>
        <v>0</v>
      </c>
    </row>
    <row r="28" spans="1:21" ht="15.75" customHeight="1" x14ac:dyDescent="0.3">
      <c r="A28" s="8">
        <v>22</v>
      </c>
      <c r="B28" s="11" t="s">
        <v>84</v>
      </c>
      <c r="C28" s="10" t="s">
        <v>85</v>
      </c>
      <c r="D28" s="11" t="s">
        <v>86</v>
      </c>
      <c r="E28" s="8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>
        <f t="shared" si="0"/>
        <v>0</v>
      </c>
      <c r="S28" s="5"/>
      <c r="T28" s="5"/>
      <c r="U28" s="5"/>
    </row>
    <row r="29" spans="1:21" ht="15.75" customHeight="1" x14ac:dyDescent="0.3">
      <c r="A29" s="16">
        <v>23</v>
      </c>
      <c r="B29" s="17" t="s">
        <v>87</v>
      </c>
      <c r="C29" s="21" t="s">
        <v>88</v>
      </c>
      <c r="D29" s="17" t="s">
        <v>89</v>
      </c>
      <c r="E29" s="16"/>
      <c r="F29" s="32">
        <v>10</v>
      </c>
      <c r="G29" s="33">
        <v>10</v>
      </c>
      <c r="H29" s="33">
        <v>10</v>
      </c>
      <c r="I29" s="33">
        <v>10</v>
      </c>
      <c r="J29" s="33">
        <v>10</v>
      </c>
      <c r="K29" s="33">
        <v>10</v>
      </c>
      <c r="L29" s="33">
        <v>10</v>
      </c>
      <c r="M29" s="33">
        <v>10</v>
      </c>
      <c r="N29" s="33">
        <v>10</v>
      </c>
      <c r="O29" s="33">
        <v>10</v>
      </c>
      <c r="P29" s="33">
        <v>10</v>
      </c>
      <c r="Q29" s="33">
        <v>10</v>
      </c>
      <c r="R29" s="19">
        <f t="shared" si="0"/>
        <v>120</v>
      </c>
      <c r="S29" s="20" t="s">
        <v>367</v>
      </c>
      <c r="T29" s="5"/>
    </row>
    <row r="30" spans="1:21" ht="15.75" customHeight="1" x14ac:dyDescent="0.3">
      <c r="A30" s="16">
        <v>24</v>
      </c>
      <c r="B30" s="17" t="s">
        <v>90</v>
      </c>
      <c r="C30" s="31" t="s">
        <v>91</v>
      </c>
      <c r="D30" s="17" t="s">
        <v>92</v>
      </c>
      <c r="E30" s="16"/>
      <c r="F30" s="32">
        <v>10</v>
      </c>
      <c r="G30" s="33">
        <v>10</v>
      </c>
      <c r="H30" s="33">
        <v>10</v>
      </c>
      <c r="I30" s="33">
        <v>10</v>
      </c>
      <c r="J30" s="33">
        <v>10</v>
      </c>
      <c r="K30" s="33">
        <v>10</v>
      </c>
      <c r="L30" s="33">
        <v>10</v>
      </c>
      <c r="M30" s="33">
        <v>10</v>
      </c>
      <c r="N30" s="33">
        <v>10</v>
      </c>
      <c r="O30" s="33">
        <v>10</v>
      </c>
      <c r="P30" s="33">
        <v>10</v>
      </c>
      <c r="Q30" s="33">
        <v>10</v>
      </c>
      <c r="R30" s="19">
        <f t="shared" si="0"/>
        <v>120</v>
      </c>
      <c r="S30" s="20" t="s">
        <v>367</v>
      </c>
      <c r="T30" s="5"/>
      <c r="U30" s="5"/>
    </row>
    <row r="31" spans="1:21" ht="15.75" customHeight="1" x14ac:dyDescent="0.3">
      <c r="A31" s="16">
        <v>25</v>
      </c>
      <c r="B31" s="17" t="s">
        <v>93</v>
      </c>
      <c r="C31" s="31" t="s">
        <v>94</v>
      </c>
      <c r="D31" s="17" t="s">
        <v>95</v>
      </c>
      <c r="E31" s="16"/>
      <c r="F31" s="32">
        <v>10</v>
      </c>
      <c r="G31" s="33">
        <v>10</v>
      </c>
      <c r="H31" s="33">
        <v>10</v>
      </c>
      <c r="I31" s="33">
        <v>10</v>
      </c>
      <c r="J31" s="33">
        <v>10</v>
      </c>
      <c r="K31" s="33">
        <v>10</v>
      </c>
      <c r="L31" s="33">
        <v>10</v>
      </c>
      <c r="M31" s="33">
        <v>10</v>
      </c>
      <c r="N31" s="33">
        <v>10</v>
      </c>
      <c r="O31" s="33">
        <v>10</v>
      </c>
      <c r="P31" s="33">
        <v>10</v>
      </c>
      <c r="Q31" s="33">
        <v>10</v>
      </c>
      <c r="R31" s="19">
        <f t="shared" si="0"/>
        <v>120</v>
      </c>
      <c r="S31" s="20" t="s">
        <v>367</v>
      </c>
      <c r="T31" s="5"/>
      <c r="U31" s="5"/>
    </row>
    <row r="32" spans="1:21" ht="15.75" customHeight="1" x14ac:dyDescent="0.3">
      <c r="A32" s="8">
        <v>26</v>
      </c>
      <c r="B32" s="11" t="s">
        <v>96</v>
      </c>
      <c r="C32" s="15" t="s">
        <v>97</v>
      </c>
      <c r="D32" s="11" t="s">
        <v>98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14">
        <f t="shared" si="0"/>
        <v>0</v>
      </c>
    </row>
    <row r="33" spans="1:25" ht="15.75" customHeight="1" x14ac:dyDescent="0.3">
      <c r="A33" s="8">
        <v>27</v>
      </c>
      <c r="B33" s="11" t="s">
        <v>99</v>
      </c>
      <c r="C33" s="15" t="s">
        <v>100</v>
      </c>
      <c r="D33" s="11" t="s">
        <v>101</v>
      </c>
      <c r="E33" s="8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>
        <f t="shared" si="0"/>
        <v>0</v>
      </c>
      <c r="S33" s="5"/>
      <c r="T33" s="5"/>
      <c r="U33" s="5"/>
    </row>
    <row r="34" spans="1:25" ht="15.75" customHeight="1" x14ac:dyDescent="0.3">
      <c r="A34" s="16">
        <v>28</v>
      </c>
      <c r="B34" s="17" t="s">
        <v>102</v>
      </c>
      <c r="C34" s="31" t="s">
        <v>103</v>
      </c>
      <c r="D34" s="17" t="s">
        <v>104</v>
      </c>
      <c r="E34" s="16"/>
      <c r="F34" s="32">
        <v>10</v>
      </c>
      <c r="G34" s="33">
        <v>10</v>
      </c>
      <c r="H34" s="33">
        <v>10</v>
      </c>
      <c r="I34" s="33">
        <v>10</v>
      </c>
      <c r="J34" s="33">
        <v>10</v>
      </c>
      <c r="K34" s="33">
        <v>10</v>
      </c>
      <c r="L34" s="33">
        <v>10</v>
      </c>
      <c r="M34" s="33">
        <v>10</v>
      </c>
      <c r="N34" s="33">
        <v>10</v>
      </c>
      <c r="O34" s="33">
        <v>10</v>
      </c>
      <c r="P34" s="33">
        <v>10</v>
      </c>
      <c r="Q34" s="33">
        <v>10</v>
      </c>
      <c r="R34" s="19">
        <f t="shared" si="0"/>
        <v>120</v>
      </c>
      <c r="S34" s="20" t="s">
        <v>365</v>
      </c>
      <c r="T34" s="20"/>
      <c r="U34" s="5"/>
      <c r="V34" s="5"/>
    </row>
    <row r="35" spans="1:25" ht="15.75" customHeight="1" x14ac:dyDescent="0.3">
      <c r="A35" s="8">
        <v>29</v>
      </c>
      <c r="B35" s="11" t="s">
        <v>105</v>
      </c>
      <c r="C35" s="10" t="s">
        <v>106</v>
      </c>
      <c r="D35" s="11" t="s">
        <v>107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14">
        <f t="shared" si="0"/>
        <v>0</v>
      </c>
    </row>
    <row r="36" spans="1:25" ht="15.75" customHeight="1" x14ac:dyDescent="0.3">
      <c r="A36" s="8">
        <v>30</v>
      </c>
      <c r="B36" s="11" t="s">
        <v>108</v>
      </c>
      <c r="C36" s="15" t="s">
        <v>109</v>
      </c>
      <c r="D36" s="11" t="s">
        <v>110</v>
      </c>
      <c r="E36" s="8"/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>
        <f t="shared" si="0"/>
        <v>0</v>
      </c>
      <c r="S36" s="5"/>
      <c r="T36" s="5"/>
      <c r="U36" s="5"/>
    </row>
    <row r="37" spans="1:25" ht="15.75" customHeight="1" x14ac:dyDescent="0.3">
      <c r="A37" s="8">
        <v>31</v>
      </c>
      <c r="B37" s="11" t="s">
        <v>111</v>
      </c>
      <c r="C37" s="10" t="s">
        <v>112</v>
      </c>
      <c r="D37" s="11" t="s">
        <v>113</v>
      </c>
      <c r="E37" s="8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>
        <f t="shared" si="0"/>
        <v>0</v>
      </c>
      <c r="S37" s="5"/>
      <c r="T37" s="5"/>
      <c r="U37" s="5"/>
    </row>
    <row r="38" spans="1:25" ht="15.75" customHeight="1" x14ac:dyDescent="0.3">
      <c r="A38" s="8">
        <v>32</v>
      </c>
      <c r="B38" s="11" t="s">
        <v>114</v>
      </c>
      <c r="C38" s="26" t="s">
        <v>115</v>
      </c>
      <c r="D38" s="11" t="s">
        <v>116</v>
      </c>
      <c r="E38" s="8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>
        <f t="shared" si="0"/>
        <v>0</v>
      </c>
      <c r="S38" s="5"/>
      <c r="T38" s="5"/>
      <c r="U38" s="5"/>
    </row>
    <row r="39" spans="1:25" ht="15.75" customHeight="1" x14ac:dyDescent="0.3">
      <c r="A39" s="8">
        <v>33</v>
      </c>
      <c r="B39" s="11" t="s">
        <v>117</v>
      </c>
      <c r="C39" s="15" t="s">
        <v>118</v>
      </c>
      <c r="D39" s="11" t="s">
        <v>119</v>
      </c>
      <c r="E39" s="8"/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>
        <f t="shared" si="0"/>
        <v>0</v>
      </c>
      <c r="S39" s="5"/>
      <c r="T39" s="5"/>
      <c r="U39" s="5"/>
    </row>
    <row r="40" spans="1:25" ht="15.75" customHeight="1" x14ac:dyDescent="0.3">
      <c r="A40" s="8">
        <v>34</v>
      </c>
      <c r="B40" s="11" t="s">
        <v>120</v>
      </c>
      <c r="C40" s="15" t="s">
        <v>121</v>
      </c>
      <c r="D40" s="11" t="s">
        <v>122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14">
        <f t="shared" si="0"/>
        <v>0</v>
      </c>
      <c r="S40" s="5"/>
    </row>
    <row r="41" spans="1:25" ht="15.75" customHeight="1" x14ac:dyDescent="0.3">
      <c r="A41" s="16">
        <v>35</v>
      </c>
      <c r="B41" s="17" t="s">
        <v>123</v>
      </c>
      <c r="C41" s="21" t="s">
        <v>124</v>
      </c>
      <c r="D41" s="17" t="s">
        <v>125</v>
      </c>
      <c r="E41" s="16"/>
      <c r="F41" s="16">
        <v>10</v>
      </c>
      <c r="G41" s="16">
        <v>10</v>
      </c>
      <c r="H41" s="16">
        <v>10</v>
      </c>
      <c r="I41" s="16">
        <v>10</v>
      </c>
      <c r="J41" s="16">
        <v>10</v>
      </c>
      <c r="K41" s="16">
        <v>10</v>
      </c>
      <c r="L41" s="16">
        <v>10</v>
      </c>
      <c r="M41" s="16">
        <v>10</v>
      </c>
      <c r="N41" s="16">
        <v>10</v>
      </c>
      <c r="O41" s="16">
        <v>10</v>
      </c>
      <c r="P41" s="16">
        <v>10</v>
      </c>
      <c r="Q41" s="16">
        <v>10</v>
      </c>
      <c r="R41" s="19">
        <f t="shared" si="0"/>
        <v>120</v>
      </c>
      <c r="S41" s="20" t="s">
        <v>365</v>
      </c>
      <c r="T41" s="20"/>
      <c r="U41" s="5"/>
    </row>
    <row r="42" spans="1:25" ht="15.75" customHeight="1" x14ac:dyDescent="0.3">
      <c r="A42" s="8">
        <v>36</v>
      </c>
      <c r="B42" s="11" t="s">
        <v>126</v>
      </c>
      <c r="C42" s="10" t="s">
        <v>127</v>
      </c>
      <c r="D42" s="11" t="s">
        <v>128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14">
        <f t="shared" si="0"/>
        <v>0</v>
      </c>
    </row>
    <row r="43" spans="1:25" ht="15.75" customHeight="1" x14ac:dyDescent="0.3">
      <c r="A43" s="16">
        <v>37</v>
      </c>
      <c r="B43" s="17" t="s">
        <v>129</v>
      </c>
      <c r="C43" s="21" t="s">
        <v>387</v>
      </c>
      <c r="D43" s="17" t="s">
        <v>130</v>
      </c>
      <c r="E43" s="16"/>
      <c r="F43" s="32">
        <v>10</v>
      </c>
      <c r="G43" s="33">
        <v>10</v>
      </c>
      <c r="H43" s="33">
        <v>10</v>
      </c>
      <c r="I43" s="33">
        <v>10</v>
      </c>
      <c r="J43" s="33">
        <v>10</v>
      </c>
      <c r="K43" s="33">
        <v>10</v>
      </c>
      <c r="L43" s="33">
        <v>10</v>
      </c>
      <c r="M43" s="33">
        <v>10</v>
      </c>
      <c r="N43" s="33">
        <v>10</v>
      </c>
      <c r="O43" s="33">
        <v>10</v>
      </c>
      <c r="P43" s="33">
        <v>10</v>
      </c>
      <c r="Q43" s="33">
        <v>10</v>
      </c>
      <c r="R43" s="19">
        <f t="shared" si="0"/>
        <v>120</v>
      </c>
      <c r="S43" s="20" t="s">
        <v>388</v>
      </c>
      <c r="T43" s="20"/>
      <c r="U43" s="5"/>
      <c r="V43" s="5"/>
    </row>
    <row r="44" spans="1:25" ht="15.75" customHeight="1" x14ac:dyDescent="0.3">
      <c r="A44" s="8">
        <v>38</v>
      </c>
      <c r="B44" s="11" t="s">
        <v>131</v>
      </c>
      <c r="C44" s="10" t="s">
        <v>132</v>
      </c>
      <c r="D44" s="11" t="s">
        <v>133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14">
        <f t="shared" si="0"/>
        <v>0</v>
      </c>
      <c r="S44" s="5"/>
      <c r="T44" s="5"/>
      <c r="U44" s="5"/>
    </row>
    <row r="45" spans="1:25" ht="15.75" customHeight="1" x14ac:dyDescent="0.3">
      <c r="A45" s="16">
        <v>39</v>
      </c>
      <c r="B45" s="17" t="s">
        <v>134</v>
      </c>
      <c r="C45" s="21" t="s">
        <v>135</v>
      </c>
      <c r="D45" s="17" t="s">
        <v>136</v>
      </c>
      <c r="E45" s="16"/>
      <c r="F45" s="16">
        <v>10</v>
      </c>
      <c r="G45" s="16">
        <v>10</v>
      </c>
      <c r="H45" s="16">
        <v>10</v>
      </c>
      <c r="I45" s="16">
        <v>10</v>
      </c>
      <c r="J45" s="16">
        <v>10</v>
      </c>
      <c r="K45" s="16">
        <v>10</v>
      </c>
      <c r="L45" s="16">
        <v>10</v>
      </c>
      <c r="M45" s="16">
        <v>10</v>
      </c>
      <c r="N45" s="16">
        <v>10</v>
      </c>
      <c r="O45" s="16">
        <v>10</v>
      </c>
      <c r="P45" s="16">
        <v>10</v>
      </c>
      <c r="Q45" s="16">
        <v>10</v>
      </c>
      <c r="R45" s="19">
        <f t="shared" si="0"/>
        <v>120</v>
      </c>
      <c r="S45" s="20" t="s">
        <v>386</v>
      </c>
      <c r="T45" s="20"/>
      <c r="U45" s="5"/>
    </row>
    <row r="46" spans="1:25" ht="15.75" customHeight="1" x14ac:dyDescent="0.3">
      <c r="A46" s="8">
        <v>40</v>
      </c>
      <c r="B46" s="11" t="s">
        <v>137</v>
      </c>
      <c r="C46" s="10" t="s">
        <v>138</v>
      </c>
      <c r="D46" s="11" t="s">
        <v>139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14">
        <f t="shared" si="0"/>
        <v>0</v>
      </c>
      <c r="S46" s="5"/>
      <c r="T46" s="5"/>
      <c r="U46" s="5"/>
      <c r="V46" s="5"/>
      <c r="W46" s="5"/>
      <c r="X46" s="5"/>
      <c r="Y46" s="5"/>
    </row>
    <row r="47" spans="1:25" ht="15.75" customHeight="1" x14ac:dyDescent="0.3">
      <c r="A47" s="16">
        <v>41</v>
      </c>
      <c r="B47" s="17" t="s">
        <v>140</v>
      </c>
      <c r="C47" s="31" t="s">
        <v>141</v>
      </c>
      <c r="D47" s="17" t="s">
        <v>142</v>
      </c>
      <c r="E47" s="16"/>
      <c r="F47" s="16">
        <v>10</v>
      </c>
      <c r="G47" s="16">
        <v>10</v>
      </c>
      <c r="H47" s="16">
        <v>10</v>
      </c>
      <c r="I47" s="16">
        <v>10</v>
      </c>
      <c r="J47" s="16">
        <v>10</v>
      </c>
      <c r="K47" s="16">
        <v>10</v>
      </c>
      <c r="L47" s="16">
        <v>10</v>
      </c>
      <c r="M47" s="16">
        <v>10</v>
      </c>
      <c r="N47" s="16">
        <v>10</v>
      </c>
      <c r="O47" s="16">
        <v>10</v>
      </c>
      <c r="P47" s="16">
        <v>10</v>
      </c>
      <c r="Q47" s="16">
        <v>10</v>
      </c>
      <c r="R47" s="19">
        <f t="shared" si="0"/>
        <v>120</v>
      </c>
      <c r="S47" s="20" t="s">
        <v>367</v>
      </c>
      <c r="T47" s="5"/>
      <c r="U47" s="5"/>
    </row>
    <row r="48" spans="1:25" ht="15.75" customHeight="1" x14ac:dyDescent="0.3">
      <c r="A48" s="16">
        <v>42</v>
      </c>
      <c r="B48" s="17" t="s">
        <v>143</v>
      </c>
      <c r="C48" s="36" t="s">
        <v>144</v>
      </c>
      <c r="D48" s="17" t="s">
        <v>145</v>
      </c>
      <c r="E48" s="16"/>
      <c r="F48" s="32">
        <v>10</v>
      </c>
      <c r="G48" s="33">
        <v>10</v>
      </c>
      <c r="H48" s="33">
        <v>10</v>
      </c>
      <c r="I48" s="33">
        <v>10</v>
      </c>
      <c r="J48" s="33">
        <v>10</v>
      </c>
      <c r="K48" s="33">
        <v>10</v>
      </c>
      <c r="L48" s="33">
        <v>10</v>
      </c>
      <c r="M48" s="33">
        <v>10</v>
      </c>
      <c r="N48" s="33">
        <v>10</v>
      </c>
      <c r="O48" s="33">
        <v>10</v>
      </c>
      <c r="P48" s="33">
        <v>10</v>
      </c>
      <c r="Q48" s="33">
        <v>10</v>
      </c>
      <c r="R48" s="19">
        <f t="shared" si="0"/>
        <v>120</v>
      </c>
      <c r="S48" s="20" t="s">
        <v>367</v>
      </c>
      <c r="T48" s="5"/>
      <c r="U48" s="22"/>
    </row>
    <row r="49" spans="1:25" ht="15.75" customHeight="1" x14ac:dyDescent="0.3">
      <c r="A49" s="8">
        <v>43</v>
      </c>
      <c r="B49" s="11" t="s">
        <v>146</v>
      </c>
      <c r="C49" s="15" t="s">
        <v>147</v>
      </c>
      <c r="D49" s="11" t="s">
        <v>148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14">
        <f t="shared" si="0"/>
        <v>0</v>
      </c>
      <c r="S49" s="22"/>
      <c r="T49" s="22"/>
      <c r="U49" s="5"/>
      <c r="V49" s="22"/>
    </row>
    <row r="50" spans="1:25" ht="15.75" customHeight="1" x14ac:dyDescent="0.3">
      <c r="A50" s="8">
        <v>44</v>
      </c>
      <c r="B50" s="11" t="s">
        <v>149</v>
      </c>
      <c r="C50" s="15" t="s">
        <v>150</v>
      </c>
      <c r="D50" s="11" t="s">
        <v>151</v>
      </c>
      <c r="E50" s="8"/>
      <c r="F50" s="12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>
        <f t="shared" si="0"/>
        <v>0</v>
      </c>
      <c r="S50" s="5"/>
      <c r="T50" s="5"/>
      <c r="U50" s="5"/>
    </row>
    <row r="51" spans="1:25" ht="15.75" customHeight="1" x14ac:dyDescent="0.3">
      <c r="A51" s="8">
        <v>45</v>
      </c>
      <c r="B51" s="11" t="s">
        <v>152</v>
      </c>
      <c r="C51" s="23" t="s">
        <v>153</v>
      </c>
      <c r="D51" s="11" t="s">
        <v>154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14">
        <f t="shared" si="0"/>
        <v>0</v>
      </c>
    </row>
    <row r="52" spans="1:25" ht="15.75" customHeight="1" x14ac:dyDescent="0.3">
      <c r="A52" s="16">
        <v>46</v>
      </c>
      <c r="B52" s="17" t="s">
        <v>155</v>
      </c>
      <c r="C52" s="31" t="s">
        <v>156</v>
      </c>
      <c r="D52" s="17" t="s">
        <v>157</v>
      </c>
      <c r="E52" s="16"/>
      <c r="F52" s="32">
        <v>10</v>
      </c>
      <c r="G52" s="33">
        <v>10</v>
      </c>
      <c r="H52" s="33">
        <v>10</v>
      </c>
      <c r="I52" s="33">
        <v>10</v>
      </c>
      <c r="J52" s="33">
        <v>10</v>
      </c>
      <c r="K52" s="33">
        <v>10</v>
      </c>
      <c r="L52" s="33">
        <v>10</v>
      </c>
      <c r="M52" s="33">
        <v>10</v>
      </c>
      <c r="N52" s="33">
        <v>10</v>
      </c>
      <c r="O52" s="33">
        <v>10</v>
      </c>
      <c r="P52" s="33">
        <v>10</v>
      </c>
      <c r="Q52" s="33">
        <v>10</v>
      </c>
      <c r="R52" s="19">
        <f t="shared" si="0"/>
        <v>120</v>
      </c>
      <c r="S52" s="20" t="s">
        <v>366</v>
      </c>
      <c r="T52" s="20"/>
      <c r="U52" s="5"/>
    </row>
    <row r="53" spans="1:25" ht="15.75" customHeight="1" x14ac:dyDescent="0.3">
      <c r="A53" s="8">
        <v>47</v>
      </c>
      <c r="B53" s="11" t="s">
        <v>158</v>
      </c>
      <c r="C53" s="23" t="s">
        <v>159</v>
      </c>
      <c r="D53" s="11" t="s">
        <v>160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14">
        <f t="shared" si="0"/>
        <v>0</v>
      </c>
    </row>
    <row r="54" spans="1:25" ht="15.75" customHeight="1" x14ac:dyDescent="0.3">
      <c r="A54" s="16">
        <v>48</v>
      </c>
      <c r="B54" s="17" t="s">
        <v>161</v>
      </c>
      <c r="C54" s="21" t="s">
        <v>162</v>
      </c>
      <c r="D54" s="17" t="s">
        <v>163</v>
      </c>
      <c r="E54" s="16"/>
      <c r="F54" s="32">
        <v>10</v>
      </c>
      <c r="G54" s="33">
        <v>10</v>
      </c>
      <c r="H54" s="33">
        <v>10</v>
      </c>
      <c r="I54" s="33">
        <v>10</v>
      </c>
      <c r="J54" s="33">
        <v>10</v>
      </c>
      <c r="K54" s="33">
        <v>10</v>
      </c>
      <c r="L54" s="33">
        <v>10</v>
      </c>
      <c r="M54" s="33">
        <v>10</v>
      </c>
      <c r="N54" s="33">
        <v>10</v>
      </c>
      <c r="O54" s="33">
        <v>10</v>
      </c>
      <c r="P54" s="33">
        <v>10</v>
      </c>
      <c r="Q54" s="33">
        <v>10</v>
      </c>
      <c r="R54" s="19">
        <f t="shared" si="0"/>
        <v>120</v>
      </c>
      <c r="S54" s="20" t="s">
        <v>367</v>
      </c>
      <c r="T54" s="5"/>
      <c r="U54" s="5"/>
    </row>
    <row r="55" spans="1:25" ht="15.75" customHeight="1" x14ac:dyDescent="0.3">
      <c r="A55" s="8">
        <v>49</v>
      </c>
      <c r="B55" s="11" t="s">
        <v>164</v>
      </c>
      <c r="C55" s="10" t="s">
        <v>165</v>
      </c>
      <c r="D55" s="11" t="s">
        <v>166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14">
        <f t="shared" si="0"/>
        <v>0</v>
      </c>
      <c r="S55" s="5"/>
      <c r="T55" s="5"/>
      <c r="U55" s="5"/>
      <c r="V55" s="5"/>
      <c r="W55" s="5"/>
      <c r="X55" s="5"/>
      <c r="Y55" s="5"/>
    </row>
    <row r="56" spans="1:25" ht="15.75" customHeight="1" x14ac:dyDescent="0.3">
      <c r="A56" s="8">
        <v>50</v>
      </c>
      <c r="B56" s="11" t="s">
        <v>167</v>
      </c>
      <c r="C56" s="23" t="s">
        <v>168</v>
      </c>
      <c r="D56" s="11" t="s">
        <v>169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14">
        <f t="shared" si="0"/>
        <v>0</v>
      </c>
      <c r="S56" s="5"/>
      <c r="T56" s="5"/>
      <c r="U56" s="5"/>
      <c r="V56" s="5"/>
      <c r="W56" s="5"/>
      <c r="X56" s="5"/>
      <c r="Y56" s="5"/>
    </row>
    <row r="57" spans="1:25" ht="15.75" customHeight="1" x14ac:dyDescent="0.3">
      <c r="A57" s="38">
        <v>51</v>
      </c>
      <c r="B57" s="39" t="s">
        <v>170</v>
      </c>
      <c r="C57" s="40" t="s">
        <v>171</v>
      </c>
      <c r="D57" s="39" t="s">
        <v>172</v>
      </c>
      <c r="E57" s="38"/>
      <c r="F57" s="41">
        <v>10</v>
      </c>
      <c r="G57" s="42">
        <v>10</v>
      </c>
      <c r="H57" s="42">
        <v>10</v>
      </c>
      <c r="I57" s="42">
        <v>10</v>
      </c>
      <c r="J57" s="42">
        <v>10</v>
      </c>
      <c r="K57" s="42">
        <v>10</v>
      </c>
      <c r="L57" s="42">
        <v>10</v>
      </c>
      <c r="M57" s="42">
        <v>10</v>
      </c>
      <c r="N57" s="42">
        <v>10</v>
      </c>
      <c r="O57" s="42">
        <v>10</v>
      </c>
      <c r="P57" s="42">
        <v>10</v>
      </c>
      <c r="Q57" s="42">
        <v>10</v>
      </c>
      <c r="R57" s="43">
        <f t="shared" si="0"/>
        <v>120</v>
      </c>
      <c r="S57" s="45" t="s">
        <v>370</v>
      </c>
      <c r="T57" s="45"/>
      <c r="U57" s="46"/>
      <c r="V57" s="37"/>
      <c r="W57" s="5"/>
      <c r="X57" s="5"/>
      <c r="Y57" s="5"/>
    </row>
    <row r="58" spans="1:25" ht="15.75" customHeight="1" x14ac:dyDescent="0.3">
      <c r="A58" s="8">
        <v>52</v>
      </c>
      <c r="B58" s="11" t="s">
        <v>173</v>
      </c>
      <c r="C58" s="10" t="s">
        <v>174</v>
      </c>
      <c r="D58" s="11" t="s">
        <v>175</v>
      </c>
      <c r="E58" s="8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>
        <f t="shared" si="0"/>
        <v>0</v>
      </c>
      <c r="S58" s="5"/>
      <c r="T58" s="5"/>
      <c r="U58" s="5"/>
      <c r="V58" s="5"/>
      <c r="W58" s="5"/>
      <c r="X58" s="5"/>
      <c r="Y58" s="5"/>
    </row>
    <row r="59" spans="1:25" ht="15.75" customHeight="1" x14ac:dyDescent="0.3">
      <c r="A59" s="8">
        <v>53</v>
      </c>
      <c r="B59" s="11" t="s">
        <v>176</v>
      </c>
      <c r="C59" s="10" t="s">
        <v>177</v>
      </c>
      <c r="D59" s="11" t="s">
        <v>178</v>
      </c>
      <c r="E59" s="8"/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>
        <f t="shared" si="0"/>
        <v>0</v>
      </c>
      <c r="S59" s="5"/>
      <c r="T59" s="5"/>
      <c r="U59" s="5"/>
      <c r="V59" s="5"/>
      <c r="W59" s="5"/>
      <c r="X59" s="5"/>
      <c r="Y59" s="5"/>
    </row>
    <row r="60" spans="1:25" ht="15.75" customHeight="1" x14ac:dyDescent="0.3">
      <c r="A60" s="8">
        <v>54</v>
      </c>
      <c r="B60" s="11" t="s">
        <v>179</v>
      </c>
      <c r="C60" s="15" t="s">
        <v>180</v>
      </c>
      <c r="D60" s="11" t="s">
        <v>181</v>
      </c>
      <c r="E60" s="8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>
        <f t="shared" si="0"/>
        <v>0</v>
      </c>
      <c r="S60" s="5"/>
      <c r="T60" s="5"/>
      <c r="U60" s="22"/>
      <c r="V60" s="5"/>
      <c r="W60" s="5"/>
      <c r="X60" s="5"/>
      <c r="Y60" s="5"/>
    </row>
    <row r="61" spans="1:25" ht="15.75" customHeight="1" x14ac:dyDescent="0.3">
      <c r="A61" s="8">
        <v>55</v>
      </c>
      <c r="B61" s="11" t="s">
        <v>182</v>
      </c>
      <c r="C61" s="10" t="s">
        <v>183</v>
      </c>
      <c r="D61" s="11" t="s">
        <v>184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14">
        <f t="shared" si="0"/>
        <v>0</v>
      </c>
      <c r="S61" s="5"/>
      <c r="T61" s="5"/>
      <c r="U61" s="5"/>
      <c r="V61" s="5"/>
      <c r="W61" s="5"/>
      <c r="X61" s="5"/>
      <c r="Y61" s="5"/>
    </row>
    <row r="62" spans="1:25" ht="15.75" customHeight="1" x14ac:dyDescent="0.3">
      <c r="A62" s="8">
        <v>56</v>
      </c>
      <c r="B62" s="11" t="s">
        <v>185</v>
      </c>
      <c r="C62" s="10" t="s">
        <v>186</v>
      </c>
      <c r="D62" s="11" t="s">
        <v>187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14">
        <f t="shared" si="0"/>
        <v>0</v>
      </c>
      <c r="S62" s="5"/>
      <c r="T62" s="5"/>
      <c r="U62" s="5"/>
      <c r="V62" s="5"/>
      <c r="W62" s="5"/>
      <c r="X62" s="5"/>
      <c r="Y62" s="5"/>
    </row>
    <row r="63" spans="1:25" ht="15.75" customHeight="1" x14ac:dyDescent="0.3">
      <c r="A63" s="8">
        <v>57</v>
      </c>
      <c r="B63" s="11" t="s">
        <v>188</v>
      </c>
      <c r="C63" s="10" t="s">
        <v>189</v>
      </c>
      <c r="D63" s="11" t="s">
        <v>190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4">
        <f t="shared" si="0"/>
        <v>0</v>
      </c>
      <c r="S63" s="5"/>
      <c r="T63" s="5"/>
      <c r="U63" s="5"/>
      <c r="V63" s="5"/>
      <c r="W63" s="5"/>
      <c r="X63" s="5"/>
      <c r="Y63" s="5"/>
    </row>
    <row r="64" spans="1:25" ht="15.75" customHeight="1" x14ac:dyDescent="0.3">
      <c r="A64" s="8">
        <v>58</v>
      </c>
      <c r="B64" s="11" t="s">
        <v>191</v>
      </c>
      <c r="C64" s="23" t="s">
        <v>192</v>
      </c>
      <c r="D64" s="11" t="s">
        <v>193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14">
        <f t="shared" si="0"/>
        <v>0</v>
      </c>
      <c r="S64" s="5"/>
      <c r="T64" s="5"/>
      <c r="U64" s="5"/>
      <c r="V64" s="5"/>
      <c r="W64" s="5"/>
      <c r="X64" s="5"/>
      <c r="Y64" s="5"/>
    </row>
    <row r="65" spans="1:25" ht="15.75" customHeight="1" x14ac:dyDescent="0.3">
      <c r="A65" s="8">
        <v>59</v>
      </c>
      <c r="B65" s="11" t="s">
        <v>194</v>
      </c>
      <c r="C65" s="23" t="s">
        <v>195</v>
      </c>
      <c r="D65" s="11" t="s">
        <v>196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>
        <f t="shared" si="0"/>
        <v>0</v>
      </c>
      <c r="S65" s="5"/>
      <c r="T65" s="5"/>
      <c r="U65" s="5"/>
      <c r="V65" s="5"/>
      <c r="W65" s="5"/>
      <c r="X65" s="5"/>
      <c r="Y65" s="5"/>
    </row>
    <row r="66" spans="1:25" ht="15.75" customHeight="1" x14ac:dyDescent="0.3">
      <c r="A66" s="8">
        <v>60</v>
      </c>
      <c r="B66" s="11" t="s">
        <v>197</v>
      </c>
      <c r="C66" s="23" t="s">
        <v>198</v>
      </c>
      <c r="D66" s="11" t="s">
        <v>199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4">
        <f t="shared" si="0"/>
        <v>0</v>
      </c>
      <c r="S66" s="5"/>
      <c r="T66" s="5"/>
      <c r="U66" s="5"/>
      <c r="V66" s="5"/>
      <c r="W66" s="5"/>
      <c r="X66" s="5"/>
      <c r="Y66" s="5"/>
    </row>
    <row r="67" spans="1:25" ht="15.75" customHeight="1" x14ac:dyDescent="0.3">
      <c r="A67" s="8">
        <v>61</v>
      </c>
      <c r="B67" s="11" t="s">
        <v>200</v>
      </c>
      <c r="C67" s="15" t="s">
        <v>201</v>
      </c>
      <c r="D67" s="11" t="s">
        <v>202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4">
        <f t="shared" si="0"/>
        <v>0</v>
      </c>
      <c r="S67" s="5"/>
      <c r="T67" s="5"/>
      <c r="U67" s="5"/>
      <c r="V67" s="5"/>
      <c r="W67" s="5"/>
      <c r="X67" s="5"/>
      <c r="Y67" s="5"/>
    </row>
    <row r="68" spans="1:25" ht="15.75" customHeight="1" x14ac:dyDescent="0.3">
      <c r="A68" s="16">
        <v>62</v>
      </c>
      <c r="B68" s="17" t="s">
        <v>203</v>
      </c>
      <c r="C68" s="18" t="s">
        <v>204</v>
      </c>
      <c r="D68" s="17" t="s">
        <v>205</v>
      </c>
      <c r="E68" s="16"/>
      <c r="F68" s="16">
        <v>10</v>
      </c>
      <c r="G68" s="16">
        <v>10</v>
      </c>
      <c r="H68" s="16">
        <v>10</v>
      </c>
      <c r="I68" s="16">
        <v>10</v>
      </c>
      <c r="J68" s="16">
        <v>10</v>
      </c>
      <c r="K68" s="16">
        <v>10</v>
      </c>
      <c r="L68" s="16">
        <v>10</v>
      </c>
      <c r="M68" s="16">
        <v>10</v>
      </c>
      <c r="N68" s="16">
        <v>10</v>
      </c>
      <c r="O68" s="16">
        <v>10</v>
      </c>
      <c r="P68" s="16">
        <v>10</v>
      </c>
      <c r="Q68" s="16">
        <v>10</v>
      </c>
      <c r="R68" s="19">
        <f t="shared" si="0"/>
        <v>120</v>
      </c>
      <c r="S68" s="20" t="s">
        <v>377</v>
      </c>
      <c r="T68" s="20"/>
      <c r="U68" s="20"/>
      <c r="V68" s="20"/>
      <c r="W68" s="5"/>
      <c r="X68" s="5"/>
      <c r="Y68" s="5"/>
    </row>
    <row r="69" spans="1:25" ht="15.75" customHeight="1" x14ac:dyDescent="0.3">
      <c r="A69" s="8">
        <v>63</v>
      </c>
      <c r="B69" s="11" t="s">
        <v>206</v>
      </c>
      <c r="C69" s="23" t="s">
        <v>207</v>
      </c>
      <c r="D69" s="11" t="s">
        <v>208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14">
        <f t="shared" si="0"/>
        <v>0</v>
      </c>
      <c r="S69" s="5"/>
      <c r="T69" s="5"/>
      <c r="U69" s="5"/>
      <c r="V69" s="5"/>
      <c r="W69" s="5"/>
      <c r="X69" s="5"/>
      <c r="Y69" s="5"/>
    </row>
    <row r="70" spans="1:25" ht="15.75" customHeight="1" x14ac:dyDescent="0.3">
      <c r="A70" s="8">
        <v>64</v>
      </c>
      <c r="B70" s="11" t="s">
        <v>209</v>
      </c>
      <c r="C70" s="15" t="s">
        <v>210</v>
      </c>
      <c r="D70" s="11" t="s">
        <v>211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14">
        <f t="shared" si="0"/>
        <v>0</v>
      </c>
      <c r="S70" s="5"/>
      <c r="T70" s="5"/>
      <c r="U70" s="5"/>
      <c r="V70" s="5"/>
      <c r="W70" s="5"/>
      <c r="X70" s="5"/>
      <c r="Y70" s="5"/>
    </row>
    <row r="71" spans="1:25" ht="15.75" customHeight="1" x14ac:dyDescent="0.3">
      <c r="A71" s="8">
        <v>65</v>
      </c>
      <c r="B71" s="11" t="s">
        <v>212</v>
      </c>
      <c r="C71" s="10" t="s">
        <v>213</v>
      </c>
      <c r="D71" s="11" t="s">
        <v>214</v>
      </c>
      <c r="E71" s="8"/>
      <c r="F71" s="12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">
        <f t="shared" si="0"/>
        <v>0</v>
      </c>
      <c r="S71" s="5"/>
      <c r="T71" s="5"/>
      <c r="U71" s="5"/>
      <c r="V71" s="5"/>
      <c r="W71" s="5"/>
      <c r="X71" s="5"/>
      <c r="Y71" s="5"/>
    </row>
    <row r="72" spans="1:25" ht="15.75" customHeight="1" x14ac:dyDescent="0.3">
      <c r="A72" s="8">
        <v>66</v>
      </c>
      <c r="B72" s="11" t="s">
        <v>215</v>
      </c>
      <c r="C72" s="15" t="s">
        <v>216</v>
      </c>
      <c r="D72" s="11" t="s">
        <v>217</v>
      </c>
      <c r="E72" s="8"/>
      <c r="F72" s="12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>
        <f t="shared" ref="R72:R90" si="1">SUM(F72:Q72)</f>
        <v>0</v>
      </c>
      <c r="S72" s="5"/>
      <c r="T72" s="5"/>
      <c r="U72" s="5"/>
    </row>
    <row r="73" spans="1:25" ht="15.75" customHeight="1" x14ac:dyDescent="0.3">
      <c r="A73" s="8">
        <v>67</v>
      </c>
      <c r="B73" s="11" t="s">
        <v>218</v>
      </c>
      <c r="C73" s="23" t="s">
        <v>219</v>
      </c>
      <c r="D73" s="11" t="s">
        <v>220</v>
      </c>
      <c r="E73" s="8"/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>
        <f t="shared" si="1"/>
        <v>0</v>
      </c>
      <c r="S73" s="5"/>
      <c r="T73" s="5"/>
      <c r="U73" s="22"/>
    </row>
    <row r="74" spans="1:25" ht="15.75" customHeight="1" x14ac:dyDescent="0.3">
      <c r="A74" s="8">
        <v>68</v>
      </c>
      <c r="B74" s="11" t="s">
        <v>221</v>
      </c>
      <c r="C74" s="15" t="s">
        <v>222</v>
      </c>
      <c r="D74" s="11" t="s">
        <v>223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14">
        <f t="shared" si="1"/>
        <v>0</v>
      </c>
      <c r="S74" s="5"/>
      <c r="T74" s="5"/>
      <c r="U74" s="5"/>
    </row>
    <row r="75" spans="1:25" ht="15.75" customHeight="1" x14ac:dyDescent="0.3">
      <c r="A75" s="8">
        <v>69</v>
      </c>
      <c r="B75" s="11" t="s">
        <v>224</v>
      </c>
      <c r="C75" s="23" t="s">
        <v>225</v>
      </c>
      <c r="D75" s="11" t="s">
        <v>226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14">
        <f t="shared" si="1"/>
        <v>0</v>
      </c>
    </row>
    <row r="76" spans="1:25" ht="15.75" customHeight="1" x14ac:dyDescent="0.3">
      <c r="A76" s="8">
        <v>70</v>
      </c>
      <c r="B76" s="11" t="s">
        <v>227</v>
      </c>
      <c r="C76" s="23" t="s">
        <v>228</v>
      </c>
      <c r="D76" s="11" t="s">
        <v>229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14">
        <f t="shared" si="1"/>
        <v>0</v>
      </c>
    </row>
    <row r="77" spans="1:25" ht="15.75" customHeight="1" x14ac:dyDescent="0.3">
      <c r="A77" s="8">
        <v>71</v>
      </c>
      <c r="B77" s="11" t="s">
        <v>230</v>
      </c>
      <c r="C77" s="15" t="s">
        <v>231</v>
      </c>
      <c r="D77" s="11" t="s">
        <v>232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14">
        <f t="shared" si="1"/>
        <v>0</v>
      </c>
    </row>
    <row r="78" spans="1:25" ht="15.75" customHeight="1" x14ac:dyDescent="0.3">
      <c r="A78" s="16">
        <v>72</v>
      </c>
      <c r="B78" s="17" t="s">
        <v>233</v>
      </c>
      <c r="C78" s="31" t="s">
        <v>234</v>
      </c>
      <c r="D78" s="17" t="s">
        <v>235</v>
      </c>
      <c r="E78" s="16"/>
      <c r="F78" s="16">
        <v>10</v>
      </c>
      <c r="G78" s="16">
        <v>10</v>
      </c>
      <c r="H78" s="16">
        <v>10</v>
      </c>
      <c r="I78" s="16">
        <v>10</v>
      </c>
      <c r="J78" s="16">
        <v>10</v>
      </c>
      <c r="K78" s="16">
        <v>10</v>
      </c>
      <c r="L78" s="16">
        <v>10</v>
      </c>
      <c r="M78" s="16">
        <v>10</v>
      </c>
      <c r="N78" s="16">
        <v>10</v>
      </c>
      <c r="O78" s="16">
        <v>10</v>
      </c>
      <c r="P78" s="16">
        <v>10</v>
      </c>
      <c r="Q78" s="16">
        <v>10</v>
      </c>
      <c r="R78" s="19">
        <f t="shared" si="1"/>
        <v>120</v>
      </c>
      <c r="S78" s="37" t="s">
        <v>372</v>
      </c>
      <c r="T78" s="37"/>
      <c r="U78" s="44"/>
    </row>
    <row r="79" spans="1:25" ht="15.75" customHeight="1" x14ac:dyDescent="0.3">
      <c r="A79" s="8">
        <v>73</v>
      </c>
      <c r="B79" s="11" t="s">
        <v>236</v>
      </c>
      <c r="C79" s="15" t="s">
        <v>237</v>
      </c>
      <c r="D79" s="11" t="s">
        <v>238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14">
        <f t="shared" si="1"/>
        <v>0</v>
      </c>
      <c r="S79" s="5"/>
      <c r="T79" s="5"/>
      <c r="U79" s="5"/>
    </row>
    <row r="80" spans="1:25" ht="15.75" customHeight="1" x14ac:dyDescent="0.3">
      <c r="A80" s="8">
        <v>74</v>
      </c>
      <c r="B80" s="11" t="s">
        <v>239</v>
      </c>
      <c r="C80" s="15" t="s">
        <v>240</v>
      </c>
      <c r="D80" s="11" t="s">
        <v>241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14">
        <f t="shared" si="1"/>
        <v>0</v>
      </c>
    </row>
    <row r="81" spans="1:22" ht="15.75" customHeight="1" x14ac:dyDescent="0.3">
      <c r="A81" s="16">
        <v>75</v>
      </c>
      <c r="B81" s="17" t="s">
        <v>242</v>
      </c>
      <c r="C81" s="31" t="s">
        <v>243</v>
      </c>
      <c r="D81" s="17" t="s">
        <v>244</v>
      </c>
      <c r="E81" s="16"/>
      <c r="F81" s="16">
        <v>10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9">
        <f t="shared" si="1"/>
        <v>10</v>
      </c>
      <c r="S81" s="20" t="s">
        <v>374</v>
      </c>
      <c r="T81" s="35"/>
      <c r="U81" s="35"/>
      <c r="V81" s="35"/>
    </row>
    <row r="82" spans="1:22" ht="15.75" customHeight="1" x14ac:dyDescent="0.3">
      <c r="A82" s="8">
        <v>76</v>
      </c>
      <c r="B82" s="11" t="s">
        <v>245</v>
      </c>
      <c r="C82" s="15" t="s">
        <v>246</v>
      </c>
      <c r="D82" s="11" t="s">
        <v>247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14">
        <f t="shared" si="1"/>
        <v>0</v>
      </c>
    </row>
    <row r="83" spans="1:22" ht="15.75" customHeight="1" x14ac:dyDescent="0.3">
      <c r="A83" s="8">
        <v>77</v>
      </c>
      <c r="B83" s="11" t="s">
        <v>248</v>
      </c>
      <c r="C83" s="10" t="s">
        <v>249</v>
      </c>
      <c r="D83" s="11" t="s">
        <v>250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14">
        <f t="shared" si="1"/>
        <v>0</v>
      </c>
    </row>
    <row r="84" spans="1:22" ht="15.75" customHeight="1" x14ac:dyDescent="0.3">
      <c r="A84" s="8">
        <v>78</v>
      </c>
      <c r="B84" s="11" t="s">
        <v>251</v>
      </c>
      <c r="C84" s="15" t="s">
        <v>252</v>
      </c>
      <c r="D84" s="11" t="s">
        <v>253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14">
        <f t="shared" si="1"/>
        <v>0</v>
      </c>
    </row>
    <row r="85" spans="1:22" ht="15.75" customHeight="1" x14ac:dyDescent="0.3">
      <c r="A85" s="8">
        <v>79</v>
      </c>
      <c r="B85" s="11" t="s">
        <v>254</v>
      </c>
      <c r="C85" s="23" t="s">
        <v>255</v>
      </c>
      <c r="D85" s="11" t="s">
        <v>256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14">
        <f t="shared" si="1"/>
        <v>0</v>
      </c>
    </row>
    <row r="86" spans="1:22" ht="15.75" customHeight="1" x14ac:dyDescent="0.3">
      <c r="A86" s="8">
        <v>80</v>
      </c>
      <c r="B86" s="11" t="s">
        <v>257</v>
      </c>
      <c r="C86" s="10" t="s">
        <v>258</v>
      </c>
      <c r="D86" s="11" t="s">
        <v>259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14">
        <f t="shared" si="1"/>
        <v>0</v>
      </c>
    </row>
    <row r="87" spans="1:22" ht="15.75" customHeight="1" x14ac:dyDescent="0.3">
      <c r="A87" s="8">
        <v>81</v>
      </c>
      <c r="B87" s="11" t="s">
        <v>260</v>
      </c>
      <c r="C87" s="15" t="s">
        <v>261</v>
      </c>
      <c r="D87" s="11" t="s">
        <v>262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14">
        <f t="shared" si="1"/>
        <v>0</v>
      </c>
    </row>
    <row r="88" spans="1:22" ht="15.75" customHeight="1" x14ac:dyDescent="0.3">
      <c r="A88" s="8">
        <v>82</v>
      </c>
      <c r="B88" s="11" t="s">
        <v>263</v>
      </c>
      <c r="C88" s="15" t="s">
        <v>264</v>
      </c>
      <c r="D88" s="11" t="s">
        <v>265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4">
        <f t="shared" si="1"/>
        <v>0</v>
      </c>
    </row>
    <row r="89" spans="1:22" ht="15.75" customHeight="1" x14ac:dyDescent="0.3">
      <c r="A89" s="8">
        <v>83</v>
      </c>
      <c r="B89" s="11" t="s">
        <v>266</v>
      </c>
      <c r="C89" s="10" t="s">
        <v>267</v>
      </c>
      <c r="D89" s="11" t="s">
        <v>268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14">
        <f t="shared" si="1"/>
        <v>0</v>
      </c>
      <c r="S89" s="5"/>
      <c r="T89" s="5"/>
      <c r="U89" s="5"/>
    </row>
    <row r="90" spans="1:22" ht="15.75" customHeight="1" x14ac:dyDescent="0.3">
      <c r="A90" s="8">
        <v>84</v>
      </c>
      <c r="B90" s="11" t="s">
        <v>269</v>
      </c>
      <c r="C90" s="23" t="s">
        <v>270</v>
      </c>
      <c r="D90" s="24" t="s">
        <v>271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14">
        <f t="shared" si="1"/>
        <v>0</v>
      </c>
    </row>
    <row r="91" spans="1:22" ht="15.75" customHeight="1" x14ac:dyDescent="0.3">
      <c r="A91" s="8">
        <v>85</v>
      </c>
      <c r="B91" s="11" t="s">
        <v>272</v>
      </c>
      <c r="C91" s="15" t="s">
        <v>273</v>
      </c>
      <c r="D91" s="11" t="s">
        <v>199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8">
        <f>SUM(E91:Q91)</f>
        <v>0</v>
      </c>
      <c r="S91" s="5"/>
    </row>
    <row r="92" spans="1:22" ht="15.75" customHeight="1" x14ac:dyDescent="0.3">
      <c r="A92" s="8">
        <v>86</v>
      </c>
      <c r="B92" s="11" t="s">
        <v>274</v>
      </c>
      <c r="C92" s="23" t="s">
        <v>275</v>
      </c>
      <c r="D92" s="11" t="s">
        <v>276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>
        <f>SUM(F92:Q92)</f>
        <v>0</v>
      </c>
    </row>
    <row r="93" spans="1:22" ht="15.75" customHeight="1" x14ac:dyDescent="0.3">
      <c r="A93" s="8">
        <v>87</v>
      </c>
      <c r="B93" s="11" t="s">
        <v>277</v>
      </c>
      <c r="C93" s="15" t="s">
        <v>278</v>
      </c>
      <c r="D93" s="11" t="s">
        <v>279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>
        <f>SUM(E93:Q93)</f>
        <v>0</v>
      </c>
      <c r="S93" s="5"/>
    </row>
    <row r="94" spans="1:22" ht="15.75" customHeight="1" x14ac:dyDescent="0.3">
      <c r="A94" s="16">
        <v>88</v>
      </c>
      <c r="B94" s="17" t="s">
        <v>280</v>
      </c>
      <c r="C94" s="21" t="s">
        <v>281</v>
      </c>
      <c r="D94" s="17" t="s">
        <v>282</v>
      </c>
      <c r="E94" s="16"/>
      <c r="F94" s="16">
        <v>10</v>
      </c>
      <c r="G94" s="16">
        <v>10</v>
      </c>
      <c r="H94" s="16">
        <v>10</v>
      </c>
      <c r="I94" s="16">
        <v>10</v>
      </c>
      <c r="J94" s="16">
        <v>10</v>
      </c>
      <c r="K94" s="16">
        <v>10</v>
      </c>
      <c r="L94" s="16">
        <v>10</v>
      </c>
      <c r="M94" s="16">
        <v>10</v>
      </c>
      <c r="N94" s="16">
        <v>10</v>
      </c>
      <c r="O94" s="16">
        <v>10</v>
      </c>
      <c r="P94" s="16">
        <v>10</v>
      </c>
      <c r="Q94" s="16">
        <v>10</v>
      </c>
      <c r="R94" s="16">
        <f>SUM(F94:Q94)</f>
        <v>120</v>
      </c>
      <c r="S94" s="35" t="s">
        <v>368</v>
      </c>
      <c r="T94" s="35"/>
    </row>
    <row r="95" spans="1:22" ht="15.75" customHeight="1" x14ac:dyDescent="0.3">
      <c r="A95" s="16">
        <v>89</v>
      </c>
      <c r="B95" s="17" t="s">
        <v>283</v>
      </c>
      <c r="C95" s="31" t="s">
        <v>284</v>
      </c>
      <c r="D95" s="17" t="s">
        <v>285</v>
      </c>
      <c r="E95" s="16"/>
      <c r="F95" s="16">
        <v>10</v>
      </c>
      <c r="G95" s="16">
        <v>10</v>
      </c>
      <c r="H95" s="16">
        <v>10</v>
      </c>
      <c r="I95" s="16">
        <v>10</v>
      </c>
      <c r="J95" s="16">
        <v>10</v>
      </c>
      <c r="K95" s="16">
        <v>10</v>
      </c>
      <c r="L95" s="16">
        <v>10</v>
      </c>
      <c r="M95" s="16">
        <v>10</v>
      </c>
      <c r="N95" s="16">
        <v>10</v>
      </c>
      <c r="O95" s="16">
        <v>10</v>
      </c>
      <c r="P95" s="16">
        <v>10</v>
      </c>
      <c r="Q95" s="16">
        <v>10</v>
      </c>
      <c r="R95" s="16">
        <f>SUM(E95:Q95)</f>
        <v>120</v>
      </c>
      <c r="S95" s="20" t="s">
        <v>367</v>
      </c>
    </row>
    <row r="96" spans="1:22" ht="15.75" customHeight="1" x14ac:dyDescent="0.3">
      <c r="A96" s="16">
        <v>90</v>
      </c>
      <c r="B96" s="17" t="s">
        <v>286</v>
      </c>
      <c r="C96" s="31" t="s">
        <v>378</v>
      </c>
      <c r="D96" s="17" t="s">
        <v>77</v>
      </c>
      <c r="E96" s="16">
        <v>20</v>
      </c>
      <c r="F96" s="16">
        <v>10</v>
      </c>
      <c r="G96" s="16">
        <v>10</v>
      </c>
      <c r="H96" s="16">
        <v>10</v>
      </c>
      <c r="I96" s="16">
        <v>10</v>
      </c>
      <c r="J96" s="16">
        <v>10</v>
      </c>
      <c r="K96" s="16">
        <v>10</v>
      </c>
      <c r="L96" s="16">
        <v>10</v>
      </c>
      <c r="M96" s="16">
        <v>10</v>
      </c>
      <c r="N96" s="16">
        <v>10</v>
      </c>
      <c r="O96" s="16">
        <v>10</v>
      </c>
      <c r="P96" s="16">
        <v>10</v>
      </c>
      <c r="Q96" s="16">
        <v>10</v>
      </c>
      <c r="R96" s="16">
        <f>SUM(E96:Q96)</f>
        <v>140</v>
      </c>
      <c r="S96" s="35" t="s">
        <v>376</v>
      </c>
      <c r="T96" s="20"/>
      <c r="U96" s="20"/>
    </row>
    <row r="97" spans="1:21" ht="15.75" customHeight="1" x14ac:dyDescent="0.3">
      <c r="A97" s="16">
        <v>91</v>
      </c>
      <c r="B97" s="17" t="s">
        <v>287</v>
      </c>
      <c r="C97" s="31" t="s">
        <v>379</v>
      </c>
      <c r="D97" s="17" t="s">
        <v>380</v>
      </c>
      <c r="E97" s="16">
        <v>20</v>
      </c>
      <c r="F97" s="16">
        <v>10</v>
      </c>
      <c r="G97" s="16">
        <v>10</v>
      </c>
      <c r="H97" s="16">
        <v>10</v>
      </c>
      <c r="I97" s="16">
        <v>10</v>
      </c>
      <c r="J97" s="16">
        <v>10</v>
      </c>
      <c r="K97" s="16">
        <v>10</v>
      </c>
      <c r="L97" s="16">
        <v>10</v>
      </c>
      <c r="M97" s="16">
        <v>10</v>
      </c>
      <c r="N97" s="16">
        <v>10</v>
      </c>
      <c r="O97" s="16">
        <v>10</v>
      </c>
      <c r="P97" s="16">
        <v>10</v>
      </c>
      <c r="Q97" s="16">
        <v>10</v>
      </c>
      <c r="R97" s="16">
        <f>SUM(E97:Q97)</f>
        <v>140</v>
      </c>
      <c r="S97" s="35" t="s">
        <v>381</v>
      </c>
      <c r="T97" s="20"/>
      <c r="U97" s="20"/>
    </row>
    <row r="98" spans="1:21" ht="15.75" customHeight="1" x14ac:dyDescent="0.3">
      <c r="A98" s="16">
        <v>92</v>
      </c>
      <c r="B98" s="17" t="s">
        <v>288</v>
      </c>
      <c r="C98" s="31" t="s">
        <v>383</v>
      </c>
      <c r="D98" s="17" t="s">
        <v>384</v>
      </c>
      <c r="E98" s="16">
        <v>20</v>
      </c>
      <c r="F98" s="16">
        <v>10</v>
      </c>
      <c r="G98" s="16">
        <v>10</v>
      </c>
      <c r="H98" s="16">
        <v>10</v>
      </c>
      <c r="I98" s="16">
        <v>10</v>
      </c>
      <c r="J98" s="16">
        <v>10</v>
      </c>
      <c r="K98" s="16">
        <v>10</v>
      </c>
      <c r="L98" s="16">
        <v>10</v>
      </c>
      <c r="M98" s="16">
        <v>10</v>
      </c>
      <c r="N98" s="16">
        <v>10</v>
      </c>
      <c r="O98" s="16">
        <v>10</v>
      </c>
      <c r="P98" s="16">
        <v>10</v>
      </c>
      <c r="Q98" s="16">
        <v>10</v>
      </c>
      <c r="R98" s="16">
        <f>SUM(E98:Q98)</f>
        <v>140</v>
      </c>
      <c r="S98" s="35" t="s">
        <v>385</v>
      </c>
      <c r="T98" s="35"/>
      <c r="U98" s="35"/>
    </row>
    <row r="99" spans="1:21" ht="15.75" customHeight="1" x14ac:dyDescent="0.3">
      <c r="A99" s="8">
        <v>93</v>
      </c>
      <c r="B99" s="11" t="s">
        <v>289</v>
      </c>
      <c r="C99" s="15"/>
      <c r="D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21" ht="15.75" customHeight="1" x14ac:dyDescent="0.3">
      <c r="A100" s="8">
        <v>94</v>
      </c>
      <c r="B100" s="11" t="s">
        <v>290</v>
      </c>
      <c r="C100" s="15"/>
      <c r="D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21" ht="15.75" customHeight="1" x14ac:dyDescent="0.3">
      <c r="A101" s="8">
        <v>95</v>
      </c>
      <c r="B101" s="11" t="s">
        <v>291</v>
      </c>
      <c r="C101" s="15"/>
      <c r="D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21" ht="15.75" customHeight="1" x14ac:dyDescent="0.3">
      <c r="A102" s="8">
        <v>96</v>
      </c>
      <c r="B102" s="11" t="s">
        <v>292</v>
      </c>
      <c r="C102" s="15"/>
      <c r="D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21" ht="15.75" customHeight="1" x14ac:dyDescent="0.3">
      <c r="A103" s="8">
        <v>97</v>
      </c>
      <c r="B103" s="11" t="s">
        <v>293</v>
      </c>
      <c r="C103" s="15"/>
      <c r="D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21" ht="15.75" customHeight="1" x14ac:dyDescent="0.3">
      <c r="A104" s="8">
        <v>98</v>
      </c>
      <c r="B104" s="11" t="s">
        <v>294</v>
      </c>
      <c r="C104" s="15"/>
      <c r="D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21" ht="15.75" customHeight="1" x14ac:dyDescent="0.3">
      <c r="A105" s="8">
        <v>99</v>
      </c>
      <c r="B105" s="11" t="s">
        <v>295</v>
      </c>
      <c r="C105" s="15"/>
      <c r="D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21" ht="15.75" customHeight="1" x14ac:dyDescent="0.3">
      <c r="A106" s="8">
        <v>100</v>
      </c>
      <c r="B106" s="11" t="s">
        <v>296</v>
      </c>
      <c r="C106" s="15"/>
      <c r="D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21" ht="15.75" customHeight="1" x14ac:dyDescent="0.3">
      <c r="A107" s="8">
        <v>101</v>
      </c>
      <c r="B107" s="11" t="s">
        <v>297</v>
      </c>
      <c r="C107" s="15"/>
      <c r="D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21" ht="15.75" customHeight="1" x14ac:dyDescent="0.3">
      <c r="A108" s="8">
        <v>102</v>
      </c>
      <c r="B108" s="11" t="s">
        <v>298</v>
      </c>
      <c r="C108" s="15"/>
      <c r="D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21" ht="15.75" customHeight="1" x14ac:dyDescent="0.3">
      <c r="A109" s="8">
        <v>103</v>
      </c>
      <c r="B109" s="11" t="s">
        <v>299</v>
      </c>
      <c r="C109" s="15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21" ht="15.75" customHeight="1" x14ac:dyDescent="0.3">
      <c r="A110" s="8">
        <v>104</v>
      </c>
      <c r="B110" s="11" t="s">
        <v>300</v>
      </c>
      <c r="C110" s="15"/>
      <c r="D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21" ht="15.75" customHeight="1" x14ac:dyDescent="0.3">
      <c r="A111" s="8">
        <v>105</v>
      </c>
      <c r="B111" s="11" t="s">
        <v>301</v>
      </c>
      <c r="C111" s="15" t="s">
        <v>302</v>
      </c>
      <c r="D111" s="11" t="s">
        <v>303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>
        <f>SUM(F111:Q111)</f>
        <v>0</v>
      </c>
      <c r="S111" s="5"/>
      <c r="T111" s="5"/>
    </row>
    <row r="112" spans="1:21" ht="15.75" customHeight="1" x14ac:dyDescent="0.3">
      <c r="A112" s="8">
        <v>106</v>
      </c>
      <c r="B112" s="11" t="s">
        <v>304</v>
      </c>
      <c r="C112" s="15"/>
      <c r="D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21" ht="15.75" customHeight="1" x14ac:dyDescent="0.3">
      <c r="A113" s="8">
        <v>107</v>
      </c>
      <c r="B113" s="11" t="s">
        <v>305</v>
      </c>
      <c r="C113" s="15"/>
      <c r="D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21" ht="15.75" customHeight="1" x14ac:dyDescent="0.3">
      <c r="A114" s="8">
        <v>108</v>
      </c>
      <c r="B114" s="11" t="s">
        <v>306</v>
      </c>
      <c r="C114" s="15"/>
      <c r="D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21" ht="15.75" customHeight="1" x14ac:dyDescent="0.3">
      <c r="A115" s="8">
        <v>109</v>
      </c>
      <c r="B115" s="11" t="s">
        <v>307</v>
      </c>
      <c r="C115" s="15"/>
      <c r="D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21" ht="15.75" customHeight="1" x14ac:dyDescent="0.3">
      <c r="A116" s="8">
        <v>110</v>
      </c>
      <c r="B116" s="11" t="s">
        <v>308</v>
      </c>
      <c r="C116" s="15"/>
      <c r="D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21" ht="15.75" customHeight="1" x14ac:dyDescent="0.3">
      <c r="A117" s="8">
        <v>111</v>
      </c>
      <c r="B117" s="11" t="s">
        <v>309</v>
      </c>
      <c r="C117" s="10" t="s">
        <v>310</v>
      </c>
      <c r="D117" s="11" t="s">
        <v>311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>
        <f t="shared" ref="R117:R118" si="2">SUM(F117:Q117)</f>
        <v>0</v>
      </c>
      <c r="S117" s="29"/>
      <c r="T117" s="5"/>
      <c r="U117" s="5"/>
    </row>
    <row r="118" spans="1:21" ht="15.75" customHeight="1" x14ac:dyDescent="0.3">
      <c r="A118" s="38">
        <v>112</v>
      </c>
      <c r="B118" s="39" t="s">
        <v>312</v>
      </c>
      <c r="C118" s="40" t="s">
        <v>313</v>
      </c>
      <c r="D118" s="39" t="s">
        <v>314</v>
      </c>
      <c r="E118" s="38"/>
      <c r="F118" s="41">
        <v>10</v>
      </c>
      <c r="G118" s="42">
        <v>10</v>
      </c>
      <c r="H118" s="42">
        <v>10</v>
      </c>
      <c r="I118" s="42">
        <v>10</v>
      </c>
      <c r="J118" s="42">
        <v>10</v>
      </c>
      <c r="K118" s="42">
        <v>10</v>
      </c>
      <c r="L118" s="42">
        <v>10</v>
      </c>
      <c r="M118" s="42">
        <v>10</v>
      </c>
      <c r="N118" s="42">
        <v>10</v>
      </c>
      <c r="O118" s="42">
        <v>10</v>
      </c>
      <c r="P118" s="42">
        <v>10</v>
      </c>
      <c r="Q118" s="42">
        <v>10</v>
      </c>
      <c r="R118" s="38">
        <f t="shared" si="2"/>
        <v>120</v>
      </c>
      <c r="S118" s="47" t="s">
        <v>369</v>
      </c>
      <c r="T118" s="45"/>
      <c r="U118" s="45"/>
    </row>
    <row r="119" spans="1:21" ht="15.75" customHeight="1" x14ac:dyDescent="0.3">
      <c r="A119" s="8">
        <v>113</v>
      </c>
      <c r="B119" s="11" t="s">
        <v>315</v>
      </c>
      <c r="C119" s="15"/>
      <c r="D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21" ht="15.75" customHeight="1" x14ac:dyDescent="0.3">
      <c r="A120" s="8">
        <v>114</v>
      </c>
      <c r="B120" s="11" t="s">
        <v>316</v>
      </c>
      <c r="C120" s="15"/>
      <c r="D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21" ht="15.75" customHeight="1" x14ac:dyDescent="0.3">
      <c r="A121" s="8">
        <v>115</v>
      </c>
      <c r="B121" s="11" t="s">
        <v>317</v>
      </c>
      <c r="C121" s="15"/>
      <c r="D121" s="1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21" ht="15.75" customHeight="1" x14ac:dyDescent="0.3">
      <c r="A122" s="8">
        <v>116</v>
      </c>
      <c r="B122" s="11" t="s">
        <v>318</v>
      </c>
      <c r="C122" s="15"/>
      <c r="D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21" ht="15.75" customHeight="1" x14ac:dyDescent="0.3">
      <c r="A123" s="8">
        <v>117</v>
      </c>
      <c r="B123" s="11" t="s">
        <v>319</v>
      </c>
      <c r="C123" s="15"/>
      <c r="D123" s="1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21" ht="15.75" customHeight="1" x14ac:dyDescent="0.3">
      <c r="A124" s="8">
        <v>118</v>
      </c>
      <c r="B124" s="11" t="s">
        <v>320</v>
      </c>
      <c r="C124" s="15"/>
      <c r="D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21" ht="15.75" customHeight="1" x14ac:dyDescent="0.3">
      <c r="A125" s="8">
        <v>119</v>
      </c>
      <c r="B125" s="11" t="s">
        <v>321</v>
      </c>
      <c r="C125" s="15"/>
      <c r="D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21" ht="15.75" customHeight="1" x14ac:dyDescent="0.3">
      <c r="A126" s="8">
        <v>120</v>
      </c>
      <c r="B126" s="11" t="s">
        <v>322</v>
      </c>
      <c r="C126" s="15" t="s">
        <v>323</v>
      </c>
      <c r="D126" s="11" t="s">
        <v>324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>
        <f>SUM(F126:Q126)</f>
        <v>0</v>
      </c>
      <c r="S126" s="5"/>
      <c r="T126" s="5"/>
      <c r="U126" s="5"/>
    </row>
    <row r="127" spans="1:21" ht="15.75" customHeight="1" x14ac:dyDescent="0.3">
      <c r="A127" s="8">
        <v>121</v>
      </c>
      <c r="B127" s="11" t="s">
        <v>325</v>
      </c>
      <c r="C127" s="15" t="s">
        <v>326</v>
      </c>
      <c r="D127" s="11" t="s">
        <v>327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>
        <f>SUM(F127:Q127)</f>
        <v>0</v>
      </c>
    </row>
    <row r="128" spans="1:21" ht="15.75" customHeight="1" x14ac:dyDescent="0.3">
      <c r="A128" s="8">
        <v>122</v>
      </c>
      <c r="B128" s="11" t="s">
        <v>328</v>
      </c>
      <c r="C128" s="15"/>
      <c r="D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25" ht="15.75" customHeight="1" x14ac:dyDescent="0.3">
      <c r="A129" s="8">
        <v>123</v>
      </c>
      <c r="B129" s="11" t="s">
        <v>329</v>
      </c>
      <c r="C129" s="10" t="s">
        <v>330</v>
      </c>
      <c r="D129" s="11" t="s">
        <v>331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>
        <f>SUM(F129:Q129)</f>
        <v>0</v>
      </c>
      <c r="S129" s="29"/>
      <c r="T129" s="5"/>
    </row>
    <row r="130" spans="1:25" ht="15.75" customHeight="1" x14ac:dyDescent="0.3">
      <c r="A130" s="8">
        <v>124</v>
      </c>
      <c r="B130" s="11" t="s">
        <v>332</v>
      </c>
      <c r="C130" s="15"/>
      <c r="D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25" ht="15.75" customHeight="1" x14ac:dyDescent="0.3">
      <c r="A131" s="8">
        <v>125</v>
      </c>
      <c r="B131" s="11" t="s">
        <v>333</v>
      </c>
      <c r="C131" s="10" t="s">
        <v>334</v>
      </c>
      <c r="D131" s="11" t="s">
        <v>335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>
        <f t="shared" ref="R131:R141" si="3">SUM(F131:Q131)</f>
        <v>0</v>
      </c>
      <c r="S131" s="5"/>
      <c r="T131" s="5"/>
      <c r="U131" s="5"/>
    </row>
    <row r="132" spans="1:25" ht="15.75" customHeight="1" x14ac:dyDescent="0.3">
      <c r="A132" s="8">
        <v>126</v>
      </c>
      <c r="B132" s="11" t="s">
        <v>336</v>
      </c>
      <c r="C132" s="10" t="s">
        <v>337</v>
      </c>
      <c r="D132" s="11" t="s">
        <v>338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>
        <f t="shared" si="3"/>
        <v>0</v>
      </c>
    </row>
    <row r="133" spans="1:25" ht="15.75" customHeight="1" x14ac:dyDescent="0.3">
      <c r="A133" s="8">
        <v>127</v>
      </c>
      <c r="B133" s="11" t="s">
        <v>339</v>
      </c>
      <c r="C133" s="10" t="s">
        <v>340</v>
      </c>
      <c r="D133" s="11" t="s">
        <v>341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>
        <f t="shared" si="3"/>
        <v>0</v>
      </c>
    </row>
    <row r="134" spans="1:25" ht="15.75" customHeight="1" x14ac:dyDescent="0.3">
      <c r="A134" s="8">
        <v>128</v>
      </c>
      <c r="B134" s="11" t="s">
        <v>342</v>
      </c>
      <c r="C134" s="23" t="s">
        <v>343</v>
      </c>
      <c r="D134" s="11" t="s">
        <v>344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>
        <f t="shared" si="3"/>
        <v>0</v>
      </c>
      <c r="S134" s="5"/>
      <c r="T134" s="5"/>
    </row>
    <row r="135" spans="1:25" ht="15.75" customHeight="1" x14ac:dyDescent="0.3">
      <c r="A135" s="8">
        <v>129</v>
      </c>
      <c r="B135" s="11" t="s">
        <v>345</v>
      </c>
      <c r="C135" s="15" t="s">
        <v>346</v>
      </c>
      <c r="D135" s="11" t="s">
        <v>347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>
        <f t="shared" si="3"/>
        <v>0</v>
      </c>
    </row>
    <row r="136" spans="1:25" ht="15.75" customHeight="1" x14ac:dyDescent="0.3">
      <c r="A136" s="8">
        <v>130</v>
      </c>
      <c r="B136" s="11" t="s">
        <v>348</v>
      </c>
      <c r="C136" s="15" t="s">
        <v>349</v>
      </c>
      <c r="D136" s="11"/>
      <c r="E136" s="8"/>
      <c r="F136" s="12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8">
        <f t="shared" si="3"/>
        <v>0</v>
      </c>
      <c r="S136" s="5"/>
      <c r="T136" s="5"/>
    </row>
    <row r="137" spans="1:25" ht="15.75" customHeight="1" x14ac:dyDescent="0.3">
      <c r="A137" s="8">
        <v>131</v>
      </c>
      <c r="B137" s="11" t="s">
        <v>350</v>
      </c>
      <c r="C137" s="23" t="s">
        <v>351</v>
      </c>
      <c r="D137" s="11" t="s">
        <v>352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>
        <f t="shared" si="3"/>
        <v>0</v>
      </c>
    </row>
    <row r="138" spans="1:25" ht="15.75" customHeight="1" x14ac:dyDescent="0.3">
      <c r="A138" s="8">
        <v>132</v>
      </c>
      <c r="B138" s="11" t="s">
        <v>353</v>
      </c>
      <c r="C138" s="23" t="s">
        <v>354</v>
      </c>
      <c r="D138" s="11" t="s">
        <v>77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>
        <f t="shared" si="3"/>
        <v>0</v>
      </c>
      <c r="S138" s="5"/>
      <c r="T138" s="5"/>
      <c r="U138" s="5"/>
      <c r="V138" s="5"/>
      <c r="W138" s="5"/>
      <c r="X138" s="5"/>
      <c r="Y138" s="5"/>
    </row>
    <row r="139" spans="1:25" ht="15.75" customHeight="1" x14ac:dyDescent="0.3">
      <c r="A139" s="16">
        <v>133</v>
      </c>
      <c r="B139" s="17" t="s">
        <v>355</v>
      </c>
      <c r="C139" s="18" t="s">
        <v>356</v>
      </c>
      <c r="D139" s="17" t="s">
        <v>357</v>
      </c>
      <c r="E139" s="16"/>
      <c r="F139" s="16">
        <v>10</v>
      </c>
      <c r="G139" s="16">
        <v>10</v>
      </c>
      <c r="H139" s="16">
        <v>10</v>
      </c>
      <c r="I139" s="16">
        <v>10</v>
      </c>
      <c r="J139" s="16">
        <v>10</v>
      </c>
      <c r="K139" s="16">
        <v>10</v>
      </c>
      <c r="L139" s="16">
        <v>10</v>
      </c>
      <c r="M139" s="16">
        <v>10</v>
      </c>
      <c r="N139" s="16">
        <v>10</v>
      </c>
      <c r="O139" s="16">
        <v>10</v>
      </c>
      <c r="P139" s="16">
        <v>10</v>
      </c>
      <c r="Q139" s="16">
        <v>10</v>
      </c>
      <c r="R139" s="16">
        <f t="shared" si="3"/>
        <v>120</v>
      </c>
      <c r="S139" s="20" t="s">
        <v>367</v>
      </c>
      <c r="T139" s="5"/>
      <c r="U139" s="5"/>
      <c r="V139" s="5"/>
      <c r="W139" s="5"/>
      <c r="X139" s="5"/>
      <c r="Y139" s="5"/>
    </row>
    <row r="140" spans="1:25" ht="15.75" customHeight="1" x14ac:dyDescent="0.3">
      <c r="A140" s="8">
        <v>134</v>
      </c>
      <c r="B140" s="11" t="s">
        <v>358</v>
      </c>
      <c r="C140" s="23" t="s">
        <v>359</v>
      </c>
      <c r="D140" s="11" t="s">
        <v>360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>
        <f t="shared" si="3"/>
        <v>0</v>
      </c>
      <c r="S140" s="5"/>
      <c r="T140" s="5"/>
      <c r="U140" s="5"/>
      <c r="V140" s="5"/>
      <c r="W140" s="5"/>
      <c r="X140" s="5"/>
      <c r="Y140" s="5"/>
    </row>
    <row r="141" spans="1:25" ht="15.75" customHeight="1" x14ac:dyDescent="0.3">
      <c r="A141" s="8">
        <v>135</v>
      </c>
      <c r="B141" s="11" t="s">
        <v>361</v>
      </c>
      <c r="C141" s="10" t="s">
        <v>362</v>
      </c>
      <c r="D141" s="11" t="s">
        <v>285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>
        <f t="shared" si="3"/>
        <v>0</v>
      </c>
      <c r="S141" s="48"/>
      <c r="T141" s="48"/>
      <c r="U141" s="5"/>
      <c r="V141" s="5"/>
    </row>
    <row r="142" spans="1:25" ht="15.75" customHeight="1" x14ac:dyDescent="0.3">
      <c r="A142" s="30"/>
      <c r="B142" s="2"/>
      <c r="C142" s="26"/>
      <c r="D142" s="2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1:25" ht="15.75" customHeight="1" x14ac:dyDescent="0.3">
      <c r="B143" s="2"/>
      <c r="D143" s="2" t="s">
        <v>363</v>
      </c>
      <c r="E143" s="30">
        <f>SUM(E7:E141)</f>
        <v>60</v>
      </c>
      <c r="F143" s="30">
        <f t="shared" ref="F143:Q143" si="4">SUM(F7:F141)</f>
        <v>280</v>
      </c>
      <c r="G143" s="30">
        <f t="shared" si="4"/>
        <v>270</v>
      </c>
      <c r="H143" s="30">
        <f t="shared" si="4"/>
        <v>270</v>
      </c>
      <c r="I143" s="30">
        <f t="shared" si="4"/>
        <v>270</v>
      </c>
      <c r="J143" s="30">
        <f t="shared" si="4"/>
        <v>270</v>
      </c>
      <c r="K143" s="30">
        <f t="shared" si="4"/>
        <v>270</v>
      </c>
      <c r="L143" s="30">
        <f t="shared" si="4"/>
        <v>270</v>
      </c>
      <c r="M143" s="30">
        <f t="shared" si="4"/>
        <v>270</v>
      </c>
      <c r="N143" s="30">
        <f t="shared" si="4"/>
        <v>270</v>
      </c>
      <c r="O143" s="30">
        <f t="shared" si="4"/>
        <v>270</v>
      </c>
      <c r="P143" s="30">
        <f t="shared" si="4"/>
        <v>270</v>
      </c>
      <c r="Q143" s="30">
        <f t="shared" si="4"/>
        <v>270</v>
      </c>
      <c r="R143" s="30">
        <f>SUM(R7:R141)</f>
        <v>3310</v>
      </c>
      <c r="S143" s="5"/>
      <c r="T143" s="5"/>
    </row>
    <row r="144" spans="1:25" ht="15.75" customHeight="1" x14ac:dyDescent="0.3">
      <c r="B144" s="2"/>
      <c r="D144" s="2"/>
      <c r="E144" s="30">
        <f>E143/20</f>
        <v>3</v>
      </c>
    </row>
    <row r="145" spans="2:4" ht="15.75" customHeight="1" x14ac:dyDescent="0.3">
      <c r="B145" s="2"/>
      <c r="D145" s="2"/>
    </row>
    <row r="146" spans="2:4" ht="15.75" customHeight="1" x14ac:dyDescent="0.3">
      <c r="B146" s="2"/>
      <c r="D146" s="2"/>
    </row>
    <row r="147" spans="2:4" ht="15.75" customHeight="1" x14ac:dyDescent="0.3">
      <c r="B147" s="2"/>
      <c r="D147" s="2"/>
    </row>
    <row r="148" spans="2:4" ht="15.75" customHeight="1" x14ac:dyDescent="0.3">
      <c r="B148" s="2"/>
      <c r="D148" s="2"/>
    </row>
    <row r="149" spans="2:4" ht="15.75" customHeight="1" x14ac:dyDescent="0.3">
      <c r="B149" s="2"/>
      <c r="D149" s="2"/>
    </row>
    <row r="150" spans="2:4" ht="15.75" customHeight="1" x14ac:dyDescent="0.3">
      <c r="B150" s="2"/>
      <c r="D150" s="2"/>
    </row>
    <row r="151" spans="2:4" ht="15.75" customHeight="1" x14ac:dyDescent="0.3">
      <c r="B151" s="2"/>
      <c r="D151" s="2"/>
    </row>
    <row r="152" spans="2:4" ht="15.75" customHeight="1" x14ac:dyDescent="0.3">
      <c r="B152" s="2"/>
      <c r="D152" s="2"/>
    </row>
    <row r="153" spans="2:4" ht="15.75" customHeight="1" x14ac:dyDescent="0.3">
      <c r="B153" s="2"/>
      <c r="D153" s="2"/>
    </row>
    <row r="154" spans="2:4" ht="15.75" customHeight="1" x14ac:dyDescent="0.3">
      <c r="B154" s="2"/>
      <c r="D154" s="2"/>
    </row>
    <row r="155" spans="2:4" ht="15.75" customHeight="1" x14ac:dyDescent="0.3">
      <c r="B155" s="2"/>
      <c r="D155" s="2"/>
    </row>
    <row r="156" spans="2:4" ht="15.75" customHeight="1" x14ac:dyDescent="0.3">
      <c r="B156" s="2"/>
      <c r="D156" s="2"/>
    </row>
    <row r="157" spans="2:4" ht="15.75" customHeight="1" x14ac:dyDescent="0.3">
      <c r="B157" s="2"/>
      <c r="D157" s="2"/>
    </row>
    <row r="158" spans="2:4" ht="15.75" customHeight="1" x14ac:dyDescent="0.3">
      <c r="B158" s="2"/>
      <c r="D158" s="2"/>
    </row>
    <row r="159" spans="2:4" ht="15.75" customHeight="1" x14ac:dyDescent="0.3">
      <c r="B159" s="2"/>
      <c r="D159" s="2"/>
    </row>
    <row r="160" spans="2:4" ht="15.75" customHeight="1" x14ac:dyDescent="0.3">
      <c r="B160" s="2"/>
      <c r="D160" s="2"/>
    </row>
    <row r="161" spans="2:4" ht="15.75" customHeight="1" x14ac:dyDescent="0.3">
      <c r="B161" s="2"/>
      <c r="D161" s="2"/>
    </row>
    <row r="162" spans="2:4" ht="15.75" customHeight="1" x14ac:dyDescent="0.3">
      <c r="B162" s="2"/>
      <c r="D162" s="2"/>
    </row>
    <row r="163" spans="2:4" ht="15.75" customHeight="1" x14ac:dyDescent="0.3">
      <c r="B163" s="2"/>
      <c r="D163" s="2"/>
    </row>
    <row r="164" spans="2:4" ht="15.75" customHeight="1" x14ac:dyDescent="0.3">
      <c r="B164" s="2"/>
      <c r="D164" s="2"/>
    </row>
    <row r="165" spans="2:4" ht="15.75" customHeight="1" x14ac:dyDescent="0.3">
      <c r="B165" s="2"/>
      <c r="D165" s="2"/>
    </row>
    <row r="166" spans="2:4" ht="15.75" customHeight="1" x14ac:dyDescent="0.3">
      <c r="B166" s="2"/>
      <c r="D166" s="2"/>
    </row>
    <row r="167" spans="2:4" ht="15.75" customHeight="1" x14ac:dyDescent="0.3">
      <c r="B167" s="2"/>
      <c r="D167" s="2"/>
    </row>
    <row r="168" spans="2:4" ht="15.75" customHeight="1" x14ac:dyDescent="0.3">
      <c r="B168" s="2"/>
      <c r="D168" s="2"/>
    </row>
    <row r="169" spans="2:4" ht="15.75" customHeight="1" x14ac:dyDescent="0.3">
      <c r="B169" s="2"/>
      <c r="D169" s="2"/>
    </row>
    <row r="170" spans="2:4" ht="15.75" customHeight="1" x14ac:dyDescent="0.3">
      <c r="B170" s="2"/>
      <c r="D170" s="2"/>
    </row>
    <row r="171" spans="2:4" ht="15.75" customHeight="1" x14ac:dyDescent="0.3">
      <c r="B171" s="2"/>
      <c r="D171" s="2"/>
    </row>
    <row r="172" spans="2:4" ht="15.75" customHeight="1" x14ac:dyDescent="0.3">
      <c r="B172" s="2"/>
      <c r="D172" s="2"/>
    </row>
    <row r="173" spans="2:4" ht="15.75" customHeight="1" x14ac:dyDescent="0.3">
      <c r="B173" s="2"/>
      <c r="D173" s="2"/>
    </row>
    <row r="174" spans="2:4" ht="15.75" customHeight="1" x14ac:dyDescent="0.3">
      <c r="B174" s="2"/>
      <c r="D174" s="2"/>
    </row>
    <row r="175" spans="2:4" ht="15.75" customHeight="1" x14ac:dyDescent="0.3">
      <c r="B175" s="2"/>
      <c r="D175" s="2"/>
    </row>
    <row r="176" spans="2:4" ht="15.75" customHeight="1" x14ac:dyDescent="0.3">
      <c r="B176" s="2"/>
      <c r="D176" s="2"/>
    </row>
    <row r="177" spans="2:4" ht="15.75" customHeight="1" x14ac:dyDescent="0.3">
      <c r="B177" s="2"/>
      <c r="D177" s="2"/>
    </row>
    <row r="178" spans="2:4" ht="15.75" customHeight="1" x14ac:dyDescent="0.3">
      <c r="B178" s="2"/>
      <c r="D178" s="2"/>
    </row>
    <row r="179" spans="2:4" ht="15.75" customHeight="1" x14ac:dyDescent="0.3">
      <c r="B179" s="2"/>
      <c r="D179" s="2"/>
    </row>
    <row r="180" spans="2:4" ht="15.75" customHeight="1" x14ac:dyDescent="0.3">
      <c r="B180" s="2"/>
      <c r="D180" s="2"/>
    </row>
    <row r="181" spans="2:4" ht="15.75" customHeight="1" x14ac:dyDescent="0.3">
      <c r="B181" s="2"/>
      <c r="D181" s="2"/>
    </row>
    <row r="182" spans="2:4" ht="15.75" customHeight="1" x14ac:dyDescent="0.3">
      <c r="B182" s="2"/>
      <c r="D182" s="2"/>
    </row>
    <row r="183" spans="2:4" ht="15.75" customHeight="1" x14ac:dyDescent="0.3">
      <c r="B183" s="2"/>
      <c r="D183" s="2"/>
    </row>
    <row r="184" spans="2:4" ht="15.75" customHeight="1" x14ac:dyDescent="0.3">
      <c r="B184" s="2"/>
      <c r="D184" s="2"/>
    </row>
    <row r="185" spans="2:4" ht="15.75" customHeight="1" x14ac:dyDescent="0.3">
      <c r="B185" s="2"/>
      <c r="D185" s="2"/>
    </row>
    <row r="186" spans="2:4" ht="15.75" customHeight="1" x14ac:dyDescent="0.3">
      <c r="B186" s="2"/>
      <c r="D186" s="2"/>
    </row>
    <row r="187" spans="2:4" ht="15.75" customHeight="1" x14ac:dyDescent="0.3">
      <c r="B187" s="2"/>
      <c r="D187" s="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141:T141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Yuran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MARWELIES BIN MOHD YUSOFF</dc:creator>
  <cp:lastModifiedBy>MARWELIES BIN MOHD YUSOFF</cp:lastModifiedBy>
  <dcterms:created xsi:type="dcterms:W3CDTF">2024-01-22T01:48:47Z</dcterms:created>
  <dcterms:modified xsi:type="dcterms:W3CDTF">2025-02-13T08:40:23Z</dcterms:modified>
</cp:coreProperties>
</file>