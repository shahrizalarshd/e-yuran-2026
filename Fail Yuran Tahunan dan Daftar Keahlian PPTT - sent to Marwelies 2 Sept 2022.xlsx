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D\PPTT\"/>
    </mc:Choice>
  </mc:AlternateContent>
  <xr:revisionPtr revIDLastSave="0" documentId="13_ncr:1_{A7AAB295-0322-4D3A-AA59-3F215BE4AE0E}" xr6:coauthVersionLast="47" xr6:coauthVersionMax="47" xr10:uidLastSave="{00000000-0000-0000-0000-000000000000}"/>
  <bookViews>
    <workbookView xWindow="-108" yWindow="-108" windowWidth="23256" windowHeight="12456" firstSheet="6" activeTab="8" xr2:uid="{00000000-000D-0000-FFFF-FFFF00000000}"/>
  </bookViews>
  <sheets>
    <sheet name="Rekod register" sheetId="1" r:id="rId1"/>
    <sheet name="Yuran 2017" sheetId="2" r:id="rId2"/>
    <sheet name="Yuran 2018" sheetId="3" r:id="rId3"/>
    <sheet name="Yuran 2019" sheetId="4" r:id="rId4"/>
    <sheet name="Yuran 2020" sheetId="5" r:id="rId5"/>
    <sheet name="Yuran 2021" sheetId="6" r:id="rId6"/>
    <sheet name="Tunggakan Yuran (31.12.2022) A" sheetId="7" r:id="rId7"/>
    <sheet name="Yuran 2022" sheetId="8" r:id="rId8"/>
    <sheet name="Yuran 2023" sheetId="13" r:id="rId9"/>
    <sheet name="Tunggakan Yuran (Bendahari Farh" sheetId="9" r:id="rId10"/>
    <sheet name="Catatan Perbelanjaan 2022" sheetId="10" r:id="rId11"/>
    <sheet name="Penyata Kewangan Tahun 2022" sheetId="11" r:id="rId12"/>
    <sheet name="Sumbangan Raya 2019" sheetId="12" state="hidden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6" roundtripDataSignature="AMtx7mjHbqgJ5InEXehMSOWl7ltwBDabyA=="/>
    </ext>
  </extLst>
</workbook>
</file>

<file path=xl/calcChain.xml><?xml version="1.0" encoding="utf-8"?>
<calcChain xmlns="http://schemas.openxmlformats.org/spreadsheetml/2006/main">
  <c r="R54" i="8" l="1"/>
  <c r="R136" i="8"/>
  <c r="R81" i="8"/>
  <c r="R68" i="8"/>
  <c r="R94" i="5" l="1"/>
  <c r="R94" i="6"/>
  <c r="R94" i="8"/>
  <c r="R117" i="8" l="1"/>
  <c r="R45" i="8" l="1"/>
  <c r="C34" i="11" l="1"/>
  <c r="C20" i="11"/>
  <c r="D20" i="11"/>
  <c r="D74" i="11"/>
  <c r="D67" i="11"/>
  <c r="D76" i="11" s="1"/>
  <c r="R49" i="8" l="1"/>
  <c r="C3" i="7" l="1"/>
  <c r="K114" i="7"/>
  <c r="R93" i="13"/>
  <c r="Q143" i="13"/>
  <c r="P143" i="13"/>
  <c r="O143" i="13"/>
  <c r="N143" i="13"/>
  <c r="M143" i="13"/>
  <c r="L143" i="13"/>
  <c r="K143" i="13"/>
  <c r="J143" i="13"/>
  <c r="I143" i="13"/>
  <c r="H143" i="13"/>
  <c r="G143" i="13"/>
  <c r="F143" i="13"/>
  <c r="E143" i="13"/>
  <c r="R95" i="13"/>
  <c r="R91" i="13"/>
  <c r="R145" i="13" l="1"/>
  <c r="E16" i="10"/>
  <c r="D60" i="11"/>
  <c r="R141" i="13" l="1"/>
  <c r="R140" i="13"/>
  <c r="R139" i="13"/>
  <c r="R138" i="13"/>
  <c r="R137" i="13"/>
  <c r="R136" i="13"/>
  <c r="R135" i="13"/>
  <c r="R134" i="13"/>
  <c r="R133" i="13"/>
  <c r="R132" i="13"/>
  <c r="R131" i="13"/>
  <c r="R127" i="13"/>
  <c r="R129" i="13"/>
  <c r="R126" i="13"/>
  <c r="R118" i="13"/>
  <c r="R117" i="13"/>
  <c r="R111" i="13"/>
  <c r="R94" i="13"/>
  <c r="R92" i="13"/>
  <c r="R90" i="13"/>
  <c r="R89" i="13"/>
  <c r="R88" i="13"/>
  <c r="R87" i="13"/>
  <c r="R86" i="13"/>
  <c r="R85" i="13"/>
  <c r="R84" i="13"/>
  <c r="R83" i="13"/>
  <c r="R82" i="13"/>
  <c r="R81" i="13"/>
  <c r="R80" i="13"/>
  <c r="R79" i="13"/>
  <c r="R78" i="13"/>
  <c r="R77" i="13"/>
  <c r="R76" i="13"/>
  <c r="R75" i="13"/>
  <c r="R74" i="13"/>
  <c r="R73" i="13"/>
  <c r="R72" i="13"/>
  <c r="R71" i="13"/>
  <c r="R70" i="13"/>
  <c r="R69" i="13"/>
  <c r="R68" i="13"/>
  <c r="R67" i="13"/>
  <c r="R66" i="13"/>
  <c r="R65" i="13"/>
  <c r="R64" i="13"/>
  <c r="R63" i="13"/>
  <c r="R62" i="13"/>
  <c r="R61" i="13"/>
  <c r="R60" i="13"/>
  <c r="R59" i="13"/>
  <c r="R58" i="13"/>
  <c r="R57" i="13"/>
  <c r="R56" i="13"/>
  <c r="R55" i="13"/>
  <c r="R54" i="13"/>
  <c r="R53" i="13"/>
  <c r="R52" i="13"/>
  <c r="R51" i="13"/>
  <c r="R50" i="13"/>
  <c r="R49" i="13"/>
  <c r="R48" i="13"/>
  <c r="R47" i="13"/>
  <c r="R46" i="13"/>
  <c r="R45" i="13"/>
  <c r="R44" i="13"/>
  <c r="R43" i="13"/>
  <c r="R42" i="13"/>
  <c r="R41" i="13"/>
  <c r="R40" i="13"/>
  <c r="R39" i="13"/>
  <c r="R38" i="13"/>
  <c r="R37" i="13"/>
  <c r="R36" i="13"/>
  <c r="R35" i="13"/>
  <c r="R34" i="13"/>
  <c r="R33" i="13"/>
  <c r="R32" i="13"/>
  <c r="R31" i="13"/>
  <c r="R30" i="13"/>
  <c r="R29" i="13"/>
  <c r="R28" i="13"/>
  <c r="R27" i="13"/>
  <c r="R26" i="13"/>
  <c r="R25" i="13"/>
  <c r="R24" i="13"/>
  <c r="R23" i="13"/>
  <c r="R22" i="13"/>
  <c r="R21" i="13"/>
  <c r="R20" i="13"/>
  <c r="R19" i="13"/>
  <c r="R18" i="13"/>
  <c r="R17" i="13"/>
  <c r="R16" i="13"/>
  <c r="R15" i="13"/>
  <c r="R14" i="13"/>
  <c r="R13" i="13"/>
  <c r="R12" i="13"/>
  <c r="R11" i="13"/>
  <c r="R10" i="13"/>
  <c r="R9" i="13"/>
  <c r="R8" i="13"/>
  <c r="R7" i="13"/>
  <c r="T143" i="13"/>
  <c r="S143" i="13"/>
  <c r="E144" i="13"/>
  <c r="X6" i="13"/>
  <c r="X8" i="13" s="1"/>
  <c r="R143" i="13" l="1"/>
  <c r="C3" i="13" s="1"/>
  <c r="R26" i="8" l="1"/>
  <c r="R58" i="8"/>
  <c r="R25" i="8" l="1"/>
  <c r="R13" i="8"/>
  <c r="R79" i="8"/>
  <c r="R24" i="8"/>
  <c r="R46" i="8"/>
  <c r="R41" i="8"/>
  <c r="Q143" i="8" l="1"/>
  <c r="P143" i="8"/>
  <c r="O143" i="8"/>
  <c r="N143" i="8"/>
  <c r="M143" i="8"/>
  <c r="L143" i="8"/>
  <c r="K143" i="8"/>
  <c r="J143" i="8"/>
  <c r="I143" i="8"/>
  <c r="H143" i="8"/>
  <c r="G143" i="8"/>
  <c r="F143" i="8"/>
  <c r="J114" i="7"/>
  <c r="I114" i="7"/>
  <c r="H114" i="7"/>
  <c r="G114" i="7"/>
  <c r="F114" i="7"/>
  <c r="E114" i="7"/>
  <c r="R40" i="6"/>
  <c r="R40" i="5"/>
  <c r="R40" i="4"/>
  <c r="R59" i="8"/>
  <c r="R40" i="8"/>
  <c r="M114" i="7" l="1"/>
  <c r="C35" i="11"/>
  <c r="R14" i="8" l="1"/>
  <c r="R31" i="8"/>
  <c r="E17" i="10" l="1"/>
  <c r="G74" i="9"/>
  <c r="F74" i="9"/>
  <c r="E74" i="9"/>
  <c r="C3" i="9" s="1"/>
  <c r="U143" i="8"/>
  <c r="T143" i="8"/>
  <c r="S143" i="8"/>
  <c r="S146" i="8" s="1"/>
  <c r="S147" i="8" s="1"/>
  <c r="E143" i="8"/>
  <c r="E144" i="8" s="1"/>
  <c r="R12" i="8"/>
  <c r="R10" i="8"/>
  <c r="Y6" i="8"/>
  <c r="Y8" i="8" s="1"/>
  <c r="V3" i="8"/>
  <c r="S143" i="6"/>
  <c r="S146" i="6" s="1"/>
  <c r="S147" i="6" s="1"/>
  <c r="Q143" i="6"/>
  <c r="P143" i="6"/>
  <c r="O143" i="6"/>
  <c r="N143" i="6"/>
  <c r="M143" i="6"/>
  <c r="L143" i="6"/>
  <c r="K143" i="6"/>
  <c r="J143" i="6"/>
  <c r="I143" i="6"/>
  <c r="H143" i="6"/>
  <c r="G143" i="6"/>
  <c r="F143" i="6"/>
  <c r="E143" i="6"/>
  <c r="E144" i="6" s="1"/>
  <c r="R141" i="6"/>
  <c r="R139" i="6"/>
  <c r="U138" i="6"/>
  <c r="T138" i="6"/>
  <c r="T143" i="6" s="1"/>
  <c r="U137" i="6"/>
  <c r="R136" i="6"/>
  <c r="U136" i="6" s="1"/>
  <c r="U135" i="6"/>
  <c r="R134" i="6"/>
  <c r="R131" i="6"/>
  <c r="R129" i="6"/>
  <c r="R117" i="6"/>
  <c r="R111" i="6"/>
  <c r="R89" i="6"/>
  <c r="R79" i="6"/>
  <c r="R74" i="6"/>
  <c r="R73" i="6"/>
  <c r="R69" i="6"/>
  <c r="R68" i="6"/>
  <c r="R66" i="6"/>
  <c r="R54" i="6"/>
  <c r="R49" i="6"/>
  <c r="R47" i="6"/>
  <c r="R46" i="6"/>
  <c r="R45" i="6"/>
  <c r="R44" i="6"/>
  <c r="R41" i="6"/>
  <c r="R39" i="6"/>
  <c r="R38" i="6"/>
  <c r="R24" i="6"/>
  <c r="R20" i="6"/>
  <c r="R19" i="6"/>
  <c r="R16" i="6"/>
  <c r="R15" i="6"/>
  <c r="R14" i="6"/>
  <c r="R13" i="6"/>
  <c r="R12" i="6"/>
  <c r="R9" i="6"/>
  <c r="R7" i="6"/>
  <c r="Y6" i="6"/>
  <c r="Y8" i="6" s="1"/>
  <c r="V3" i="6"/>
  <c r="S143" i="5"/>
  <c r="S146" i="5" s="1"/>
  <c r="S147" i="5" s="1"/>
  <c r="Q143" i="5"/>
  <c r="P143" i="5"/>
  <c r="O143" i="5"/>
  <c r="N143" i="5"/>
  <c r="M143" i="5"/>
  <c r="L143" i="5"/>
  <c r="K143" i="5"/>
  <c r="J143" i="5"/>
  <c r="I143" i="5"/>
  <c r="H143" i="5"/>
  <c r="G143" i="5"/>
  <c r="F143" i="5"/>
  <c r="E143" i="5"/>
  <c r="E144" i="5" s="1"/>
  <c r="U139" i="5"/>
  <c r="U138" i="5"/>
  <c r="T138" i="5"/>
  <c r="T143" i="5" s="1"/>
  <c r="U137" i="5"/>
  <c r="R136" i="5"/>
  <c r="U136" i="5" s="1"/>
  <c r="U135" i="5"/>
  <c r="R134" i="5"/>
  <c r="R89" i="5"/>
  <c r="R66" i="5"/>
  <c r="R54" i="5"/>
  <c r="R52" i="5"/>
  <c r="R48" i="5"/>
  <c r="R41" i="5"/>
  <c r="R38" i="5"/>
  <c r="R35" i="5"/>
  <c r="R34" i="5"/>
  <c r="R33" i="5"/>
  <c r="R24" i="5"/>
  <c r="U24" i="5" s="1"/>
  <c r="R21" i="5"/>
  <c r="R20" i="5"/>
  <c r="R12" i="5"/>
  <c r="U10" i="5"/>
  <c r="R10" i="5"/>
  <c r="R9" i="5"/>
  <c r="R7" i="5"/>
  <c r="Y6" i="5"/>
  <c r="Y8" i="5" s="1"/>
  <c r="V3" i="5"/>
  <c r="S143" i="4"/>
  <c r="S146" i="4" s="1"/>
  <c r="S147" i="4" s="1"/>
  <c r="Q143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E144" i="4" s="1"/>
  <c r="U139" i="4"/>
  <c r="U138" i="4"/>
  <c r="T138" i="4"/>
  <c r="U137" i="4"/>
  <c r="R136" i="4"/>
  <c r="U136" i="4" s="1"/>
  <c r="U135" i="4"/>
  <c r="R134" i="4"/>
  <c r="U134" i="4" s="1"/>
  <c r="U133" i="4"/>
  <c r="U132" i="4"/>
  <c r="R131" i="4"/>
  <c r="U131" i="4" s="1"/>
  <c r="U130" i="4"/>
  <c r="U129" i="4"/>
  <c r="R129" i="4"/>
  <c r="U128" i="4"/>
  <c r="U127" i="4"/>
  <c r="R127" i="4"/>
  <c r="U126" i="4"/>
  <c r="U125" i="4"/>
  <c r="U124" i="4"/>
  <c r="U123" i="4"/>
  <c r="U122" i="4"/>
  <c r="U121" i="4"/>
  <c r="U120" i="4"/>
  <c r="U119" i="4"/>
  <c r="U118" i="4"/>
  <c r="R117" i="4"/>
  <c r="U117" i="4" s="1"/>
  <c r="U116" i="4"/>
  <c r="U115" i="4"/>
  <c r="U114" i="4"/>
  <c r="U113" i="4"/>
  <c r="U112" i="4"/>
  <c r="U111" i="4"/>
  <c r="R111" i="4"/>
  <c r="U110" i="4"/>
  <c r="U109" i="4"/>
  <c r="U108" i="4"/>
  <c r="U107" i="4"/>
  <c r="U106" i="4"/>
  <c r="U105" i="4"/>
  <c r="U104" i="4"/>
  <c r="U103" i="4"/>
  <c r="U102" i="4"/>
  <c r="U101" i="4"/>
  <c r="U100" i="4"/>
  <c r="U99" i="4"/>
  <c r="U98" i="4"/>
  <c r="U97" i="4"/>
  <c r="U96" i="4"/>
  <c r="U95" i="4"/>
  <c r="R94" i="4"/>
  <c r="U94" i="4" s="1"/>
  <c r="U93" i="4"/>
  <c r="U92" i="4"/>
  <c r="R91" i="4"/>
  <c r="U91" i="4" s="1"/>
  <c r="U90" i="4"/>
  <c r="R89" i="4"/>
  <c r="U89" i="4" s="1"/>
  <c r="R88" i="4"/>
  <c r="U88" i="4" s="1"/>
  <c r="U87" i="4"/>
  <c r="U86" i="4"/>
  <c r="U85" i="4"/>
  <c r="U84" i="4"/>
  <c r="U83" i="4"/>
  <c r="U82" i="4"/>
  <c r="U81" i="4"/>
  <c r="U80" i="4"/>
  <c r="R79" i="4"/>
  <c r="U79" i="4" s="1"/>
  <c r="R78" i="4"/>
  <c r="U78" i="4" s="1"/>
  <c r="U77" i="4"/>
  <c r="U76" i="4"/>
  <c r="U75" i="4"/>
  <c r="R74" i="4"/>
  <c r="U74" i="4" s="1"/>
  <c r="U73" i="4"/>
  <c r="T73" i="4"/>
  <c r="U72" i="4"/>
  <c r="T72" i="4"/>
  <c r="R71" i="4"/>
  <c r="U71" i="4" s="1"/>
  <c r="U70" i="4"/>
  <c r="T70" i="4"/>
  <c r="U69" i="4"/>
  <c r="T69" i="4"/>
  <c r="U68" i="4"/>
  <c r="U67" i="4"/>
  <c r="R66" i="4"/>
  <c r="U66" i="4" s="1"/>
  <c r="R59" i="4"/>
  <c r="R55" i="4"/>
  <c r="U55" i="4" s="1"/>
  <c r="R54" i="4"/>
  <c r="R52" i="4"/>
  <c r="R49" i="4"/>
  <c r="R46" i="4"/>
  <c r="R45" i="4"/>
  <c r="U44" i="4"/>
  <c r="U43" i="4"/>
  <c r="R43" i="4"/>
  <c r="U42" i="4"/>
  <c r="U41" i="4"/>
  <c r="R41" i="4"/>
  <c r="U40" i="4"/>
  <c r="U39" i="4"/>
  <c r="R38" i="4"/>
  <c r="U38" i="4" s="1"/>
  <c r="R37" i="4"/>
  <c r="U37" i="4" s="1"/>
  <c r="R36" i="4"/>
  <c r="U36" i="4" s="1"/>
  <c r="R35" i="4"/>
  <c r="U35" i="4" s="1"/>
  <c r="R34" i="4"/>
  <c r="U34" i="4" s="1"/>
  <c r="R33" i="4"/>
  <c r="U33" i="4" s="1"/>
  <c r="U32" i="4"/>
  <c r="R31" i="4"/>
  <c r="U31" i="4" s="1"/>
  <c r="U30" i="4"/>
  <c r="R29" i="4"/>
  <c r="U29" i="4" s="1"/>
  <c r="R28" i="4"/>
  <c r="U28" i="4" s="1"/>
  <c r="U27" i="4"/>
  <c r="R26" i="4"/>
  <c r="U26" i="4" s="1"/>
  <c r="R25" i="4"/>
  <c r="U25" i="4" s="1"/>
  <c r="R24" i="4"/>
  <c r="U24" i="4" s="1"/>
  <c r="U23" i="4"/>
  <c r="U22" i="4"/>
  <c r="R21" i="4"/>
  <c r="U21" i="4" s="1"/>
  <c r="R20" i="4"/>
  <c r="U20" i="4" s="1"/>
  <c r="R19" i="4"/>
  <c r="U19" i="4" s="1"/>
  <c r="U18" i="4"/>
  <c r="U17" i="4"/>
  <c r="U16" i="4"/>
  <c r="U15" i="4"/>
  <c r="U14" i="4"/>
  <c r="R14" i="4"/>
  <c r="R13" i="4"/>
  <c r="U13" i="4" s="1"/>
  <c r="U12" i="4"/>
  <c r="R11" i="4"/>
  <c r="U11" i="4" s="1"/>
  <c r="R10" i="4"/>
  <c r="U10" i="4" s="1"/>
  <c r="R9" i="4"/>
  <c r="R8" i="4"/>
  <c r="U8" i="4" s="1"/>
  <c r="R7" i="4"/>
  <c r="U7" i="4" s="1"/>
  <c r="Y6" i="4"/>
  <c r="Y8" i="4" s="1"/>
  <c r="V3" i="4"/>
  <c r="Q143" i="3"/>
  <c r="P143" i="3"/>
  <c r="O143" i="3"/>
  <c r="N143" i="3"/>
  <c r="M143" i="3"/>
  <c r="L143" i="3"/>
  <c r="K143" i="3"/>
  <c r="J143" i="3"/>
  <c r="I143" i="3"/>
  <c r="H143" i="3"/>
  <c r="G143" i="3"/>
  <c r="F143" i="3"/>
  <c r="E143" i="3"/>
  <c r="E144" i="3" s="1"/>
  <c r="R141" i="3"/>
  <c r="S141" i="3" s="1"/>
  <c r="R140" i="3"/>
  <c r="S140" i="3" s="1"/>
  <c r="R139" i="3"/>
  <c r="U139" i="3" s="1"/>
  <c r="U138" i="3"/>
  <c r="T138" i="3"/>
  <c r="R138" i="3"/>
  <c r="S138" i="3" s="1"/>
  <c r="R137" i="3"/>
  <c r="U137" i="3" s="1"/>
  <c r="R136" i="3"/>
  <c r="U136" i="3" s="1"/>
  <c r="R135" i="3"/>
  <c r="S135" i="3" s="1"/>
  <c r="R134" i="3"/>
  <c r="U134" i="3" s="1"/>
  <c r="R133" i="3"/>
  <c r="R132" i="3"/>
  <c r="U132" i="3" s="1"/>
  <c r="U131" i="3"/>
  <c r="S131" i="3"/>
  <c r="R131" i="3"/>
  <c r="R130" i="3"/>
  <c r="U130" i="3" s="1"/>
  <c r="R129" i="3"/>
  <c r="U129" i="3" s="1"/>
  <c r="R128" i="3"/>
  <c r="U128" i="3" s="1"/>
  <c r="U127" i="3"/>
  <c r="R127" i="3"/>
  <c r="S127" i="3" s="1"/>
  <c r="R126" i="3"/>
  <c r="U126" i="3" s="1"/>
  <c r="R125" i="3"/>
  <c r="R124" i="3"/>
  <c r="U124" i="3" s="1"/>
  <c r="R123" i="3"/>
  <c r="U123" i="3" s="1"/>
  <c r="R122" i="3"/>
  <c r="U122" i="3" s="1"/>
  <c r="R121" i="3"/>
  <c r="U121" i="3" s="1"/>
  <c r="R120" i="3"/>
  <c r="U120" i="3" s="1"/>
  <c r="R119" i="3"/>
  <c r="S119" i="3" s="1"/>
  <c r="R118" i="3"/>
  <c r="U118" i="3" s="1"/>
  <c r="R117" i="3"/>
  <c r="R116" i="3"/>
  <c r="U116" i="3" s="1"/>
  <c r="R115" i="3"/>
  <c r="U115" i="3" s="1"/>
  <c r="U114" i="3"/>
  <c r="S114" i="3"/>
  <c r="R114" i="3"/>
  <c r="R113" i="3"/>
  <c r="U113" i="3" s="1"/>
  <c r="R112" i="3"/>
  <c r="U112" i="3" s="1"/>
  <c r="R111" i="3"/>
  <c r="S111" i="3" s="1"/>
  <c r="R110" i="3"/>
  <c r="U110" i="3" s="1"/>
  <c r="R109" i="3"/>
  <c r="R108" i="3"/>
  <c r="U108" i="3" s="1"/>
  <c r="R107" i="3"/>
  <c r="U107" i="3" s="1"/>
  <c r="R106" i="3"/>
  <c r="U106" i="3" s="1"/>
  <c r="R105" i="3"/>
  <c r="U105" i="3" s="1"/>
  <c r="R104" i="3"/>
  <c r="U104" i="3" s="1"/>
  <c r="R103" i="3"/>
  <c r="S103" i="3" s="1"/>
  <c r="R102" i="3"/>
  <c r="U102" i="3" s="1"/>
  <c r="R101" i="3"/>
  <c r="R100" i="3"/>
  <c r="U100" i="3" s="1"/>
  <c r="U99" i="3"/>
  <c r="R99" i="3"/>
  <c r="S99" i="3" s="1"/>
  <c r="R98" i="3"/>
  <c r="U98" i="3" s="1"/>
  <c r="R97" i="3"/>
  <c r="U97" i="3" s="1"/>
  <c r="R96" i="3"/>
  <c r="U96" i="3" s="1"/>
  <c r="R95" i="3"/>
  <c r="S95" i="3" s="1"/>
  <c r="R94" i="3"/>
  <c r="U94" i="3" s="1"/>
  <c r="R93" i="3"/>
  <c r="S92" i="3"/>
  <c r="R92" i="3"/>
  <c r="U92" i="3" s="1"/>
  <c r="R91" i="3"/>
  <c r="U91" i="3" s="1"/>
  <c r="U90" i="3"/>
  <c r="R90" i="3"/>
  <c r="S90" i="3" s="1"/>
  <c r="R89" i="3"/>
  <c r="U89" i="3" s="1"/>
  <c r="R88" i="3"/>
  <c r="U88" i="3" s="1"/>
  <c r="R87" i="3"/>
  <c r="S87" i="3" s="1"/>
  <c r="R86" i="3"/>
  <c r="U86" i="3" s="1"/>
  <c r="R85" i="3"/>
  <c r="R84" i="3"/>
  <c r="U84" i="3" s="1"/>
  <c r="U83" i="3"/>
  <c r="S83" i="3"/>
  <c r="R83" i="3"/>
  <c r="R82" i="3"/>
  <c r="U82" i="3" s="1"/>
  <c r="R81" i="3"/>
  <c r="U81" i="3" s="1"/>
  <c r="R80" i="3"/>
  <c r="R79" i="3"/>
  <c r="S79" i="3" s="1"/>
  <c r="R78" i="3"/>
  <c r="U78" i="3" s="1"/>
  <c r="R77" i="3"/>
  <c r="U77" i="3" s="1"/>
  <c r="R76" i="3"/>
  <c r="U76" i="3" s="1"/>
  <c r="R75" i="3"/>
  <c r="U75" i="3" s="1"/>
  <c r="R74" i="3"/>
  <c r="U74" i="3" s="1"/>
  <c r="R73" i="3"/>
  <c r="U73" i="3" s="1"/>
  <c r="U72" i="3"/>
  <c r="R72" i="3"/>
  <c r="T72" i="3" s="1"/>
  <c r="R71" i="3"/>
  <c r="R70" i="3"/>
  <c r="U70" i="3" s="1"/>
  <c r="R69" i="3"/>
  <c r="R68" i="3"/>
  <c r="S68" i="3" s="1"/>
  <c r="R67" i="3"/>
  <c r="U67" i="3" s="1"/>
  <c r="R66" i="3"/>
  <c r="U66" i="3" s="1"/>
  <c r="R65" i="3"/>
  <c r="U65" i="3" s="1"/>
  <c r="R64" i="3"/>
  <c r="U64" i="3" s="1"/>
  <c r="R63" i="3"/>
  <c r="U63" i="3" s="1"/>
  <c r="R62" i="3"/>
  <c r="U62" i="3" s="1"/>
  <c r="R61" i="3"/>
  <c r="U61" i="3" s="1"/>
  <c r="U60" i="3"/>
  <c r="S60" i="3"/>
  <c r="R60" i="3"/>
  <c r="R59" i="3"/>
  <c r="U59" i="3" s="1"/>
  <c r="R58" i="3"/>
  <c r="U58" i="3" s="1"/>
  <c r="R57" i="3"/>
  <c r="R56" i="3"/>
  <c r="S56" i="3" s="1"/>
  <c r="R55" i="3"/>
  <c r="U55" i="3" s="1"/>
  <c r="R54" i="3"/>
  <c r="U54" i="3" s="1"/>
  <c r="R53" i="3"/>
  <c r="U53" i="3" s="1"/>
  <c r="R52" i="3"/>
  <c r="R51" i="3"/>
  <c r="S51" i="3" s="1"/>
  <c r="R50" i="3"/>
  <c r="U50" i="3" s="1"/>
  <c r="R49" i="3"/>
  <c r="U49" i="3" s="1"/>
  <c r="R48" i="3"/>
  <c r="U48" i="3" s="1"/>
  <c r="R47" i="3"/>
  <c r="U47" i="3" s="1"/>
  <c r="R46" i="3"/>
  <c r="S46" i="3" s="1"/>
  <c r="R45" i="3"/>
  <c r="U45" i="3" s="1"/>
  <c r="R44" i="3"/>
  <c r="U44" i="3" s="1"/>
  <c r="R43" i="3"/>
  <c r="U43" i="3" s="1"/>
  <c r="U42" i="3"/>
  <c r="S42" i="3"/>
  <c r="R42" i="3"/>
  <c r="R41" i="3"/>
  <c r="U41" i="3" s="1"/>
  <c r="R40" i="3"/>
  <c r="U40" i="3" s="1"/>
  <c r="R39" i="3"/>
  <c r="R38" i="3"/>
  <c r="S38" i="3" s="1"/>
  <c r="R37" i="3"/>
  <c r="U37" i="3" s="1"/>
  <c r="R36" i="3"/>
  <c r="U36" i="3" s="1"/>
  <c r="S35" i="3"/>
  <c r="R35" i="3"/>
  <c r="U35" i="3" s="1"/>
  <c r="R34" i="3"/>
  <c r="U34" i="3" s="1"/>
  <c r="R33" i="3"/>
  <c r="U33" i="3" s="1"/>
  <c r="R32" i="3"/>
  <c r="U32" i="3" s="1"/>
  <c r="R31" i="3"/>
  <c r="R30" i="3"/>
  <c r="S30" i="3" s="1"/>
  <c r="R29" i="3"/>
  <c r="U29" i="3" s="1"/>
  <c r="R28" i="3"/>
  <c r="U28" i="3" s="1"/>
  <c r="R27" i="3"/>
  <c r="U27" i="3" s="1"/>
  <c r="R26" i="3"/>
  <c r="U26" i="3" s="1"/>
  <c r="U25" i="3"/>
  <c r="R25" i="3"/>
  <c r="S25" i="3" s="1"/>
  <c r="R24" i="3"/>
  <c r="U24" i="3" s="1"/>
  <c r="R23" i="3"/>
  <c r="R22" i="3"/>
  <c r="S22" i="3" s="1"/>
  <c r="R21" i="3"/>
  <c r="U21" i="3" s="1"/>
  <c r="R20" i="3"/>
  <c r="U20" i="3" s="1"/>
  <c r="R19" i="3"/>
  <c r="U19" i="3" s="1"/>
  <c r="U18" i="3"/>
  <c r="R18" i="3"/>
  <c r="S18" i="3" s="1"/>
  <c r="U17" i="3"/>
  <c r="S17" i="3"/>
  <c r="R17" i="3"/>
  <c r="R16" i="3"/>
  <c r="U16" i="3" s="1"/>
  <c r="R15" i="3"/>
  <c r="R14" i="3"/>
  <c r="S14" i="3" s="1"/>
  <c r="R13" i="3"/>
  <c r="U13" i="3" s="1"/>
  <c r="R12" i="3"/>
  <c r="U12" i="3" s="1"/>
  <c r="S11" i="3"/>
  <c r="R11" i="3"/>
  <c r="U11" i="3" s="1"/>
  <c r="R10" i="3"/>
  <c r="U10" i="3" s="1"/>
  <c r="R9" i="3"/>
  <c r="U9" i="3" s="1"/>
  <c r="R8" i="3"/>
  <c r="U8" i="3" s="1"/>
  <c r="R7" i="3"/>
  <c r="S7" i="3" s="1"/>
  <c r="Y6" i="3"/>
  <c r="Y8" i="3" s="1"/>
  <c r="V3" i="3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R140" i="2"/>
  <c r="R139" i="2"/>
  <c r="T139" i="2" s="1"/>
  <c r="R138" i="2"/>
  <c r="T138" i="2" s="1"/>
  <c r="R137" i="2"/>
  <c r="T137" i="2" s="1"/>
  <c r="R136" i="2"/>
  <c r="T136" i="2" s="1"/>
  <c r="R135" i="2"/>
  <c r="T135" i="2" s="1"/>
  <c r="R134" i="2"/>
  <c r="T134" i="2" s="1"/>
  <c r="R133" i="2"/>
  <c r="T133" i="2" s="1"/>
  <c r="R132" i="2"/>
  <c r="T132" i="2" s="1"/>
  <c r="R131" i="2"/>
  <c r="T131" i="2" s="1"/>
  <c r="R130" i="2"/>
  <c r="T130" i="2" s="1"/>
  <c r="R129" i="2"/>
  <c r="T129" i="2" s="1"/>
  <c r="T128" i="2"/>
  <c r="R128" i="2"/>
  <c r="R127" i="2"/>
  <c r="T127" i="2" s="1"/>
  <c r="R126" i="2"/>
  <c r="T126" i="2" s="1"/>
  <c r="R125" i="2"/>
  <c r="T125" i="2" s="1"/>
  <c r="R124" i="2"/>
  <c r="T124" i="2" s="1"/>
  <c r="R123" i="2"/>
  <c r="T123" i="2" s="1"/>
  <c r="R122" i="2"/>
  <c r="T122" i="2" s="1"/>
  <c r="R121" i="2"/>
  <c r="T121" i="2" s="1"/>
  <c r="R120" i="2"/>
  <c r="T120" i="2" s="1"/>
  <c r="R119" i="2"/>
  <c r="T119" i="2" s="1"/>
  <c r="R118" i="2"/>
  <c r="T118" i="2" s="1"/>
  <c r="R117" i="2"/>
  <c r="T117" i="2" s="1"/>
  <c r="R116" i="2"/>
  <c r="T116" i="2" s="1"/>
  <c r="R115" i="2"/>
  <c r="T115" i="2" s="1"/>
  <c r="R114" i="2"/>
  <c r="T114" i="2" s="1"/>
  <c r="R113" i="2"/>
  <c r="T113" i="2" s="1"/>
  <c r="T112" i="2"/>
  <c r="R112" i="2"/>
  <c r="R111" i="2"/>
  <c r="T111" i="2" s="1"/>
  <c r="R110" i="2"/>
  <c r="T110" i="2" s="1"/>
  <c r="R109" i="2"/>
  <c r="T109" i="2" s="1"/>
  <c r="R108" i="2"/>
  <c r="T108" i="2" s="1"/>
  <c r="R107" i="2"/>
  <c r="T107" i="2" s="1"/>
  <c r="R106" i="2"/>
  <c r="T106" i="2" s="1"/>
  <c r="R105" i="2"/>
  <c r="T105" i="2" s="1"/>
  <c r="R104" i="2"/>
  <c r="T104" i="2" s="1"/>
  <c r="R103" i="2"/>
  <c r="T103" i="2" s="1"/>
  <c r="R102" i="2"/>
  <c r="T102" i="2" s="1"/>
  <c r="R101" i="2"/>
  <c r="T101" i="2" s="1"/>
  <c r="R100" i="2"/>
  <c r="T100" i="2" s="1"/>
  <c r="R99" i="2"/>
  <c r="T99" i="2" s="1"/>
  <c r="R98" i="2"/>
  <c r="T98" i="2" s="1"/>
  <c r="R97" i="2"/>
  <c r="T97" i="2" s="1"/>
  <c r="R96" i="2"/>
  <c r="T96" i="2" s="1"/>
  <c r="R95" i="2"/>
  <c r="T95" i="2" s="1"/>
  <c r="R94" i="2"/>
  <c r="T94" i="2" s="1"/>
  <c r="R93" i="2"/>
  <c r="T93" i="2" s="1"/>
  <c r="R92" i="2"/>
  <c r="T92" i="2" s="1"/>
  <c r="R91" i="2"/>
  <c r="T91" i="2" s="1"/>
  <c r="R90" i="2"/>
  <c r="T90" i="2" s="1"/>
  <c r="R89" i="2"/>
  <c r="T89" i="2" s="1"/>
  <c r="R88" i="2"/>
  <c r="T88" i="2" s="1"/>
  <c r="T87" i="2"/>
  <c r="R86" i="2"/>
  <c r="T86" i="2" s="1"/>
  <c r="R85" i="2"/>
  <c r="T85" i="2" s="1"/>
  <c r="R84" i="2"/>
  <c r="T84" i="2" s="1"/>
  <c r="R83" i="2"/>
  <c r="T83" i="2" s="1"/>
  <c r="R82" i="2"/>
  <c r="T82" i="2" s="1"/>
  <c r="R81" i="2"/>
  <c r="T81" i="2" s="1"/>
  <c r="R80" i="2"/>
  <c r="T80" i="2" s="1"/>
  <c r="R79" i="2"/>
  <c r="T79" i="2" s="1"/>
  <c r="R78" i="2"/>
  <c r="T78" i="2" s="1"/>
  <c r="R77" i="2"/>
  <c r="T77" i="2" s="1"/>
  <c r="R76" i="2"/>
  <c r="T76" i="2" s="1"/>
  <c r="R75" i="2"/>
  <c r="T75" i="2" s="1"/>
  <c r="R74" i="2"/>
  <c r="T74" i="2" s="1"/>
  <c r="R73" i="2"/>
  <c r="R72" i="2"/>
  <c r="S72" i="2" s="1"/>
  <c r="R71" i="2"/>
  <c r="T71" i="2" s="1"/>
  <c r="R70" i="2"/>
  <c r="T70" i="2" s="1"/>
  <c r="R69" i="2"/>
  <c r="T69" i="2" s="1"/>
  <c r="R68" i="2"/>
  <c r="T68" i="2" s="1"/>
  <c r="R67" i="2"/>
  <c r="T67" i="2" s="1"/>
  <c r="R66" i="2"/>
  <c r="S66" i="2" s="1"/>
  <c r="R65" i="2"/>
  <c r="S65" i="2" s="1"/>
  <c r="R64" i="2"/>
  <c r="T64" i="2" s="1"/>
  <c r="R63" i="2"/>
  <c r="T63" i="2" s="1"/>
  <c r="R62" i="2"/>
  <c r="T62" i="2" s="1"/>
  <c r="R61" i="2"/>
  <c r="T61" i="2" s="1"/>
  <c r="R60" i="2"/>
  <c r="T60" i="2" s="1"/>
  <c r="R59" i="2"/>
  <c r="T59" i="2" s="1"/>
  <c r="R58" i="2"/>
  <c r="T58" i="2" s="1"/>
  <c r="R57" i="2"/>
  <c r="T57" i="2" s="1"/>
  <c r="T56" i="2"/>
  <c r="R56" i="2"/>
  <c r="R55" i="2"/>
  <c r="T55" i="2" s="1"/>
  <c r="R54" i="2"/>
  <c r="T54" i="2" s="1"/>
  <c r="R53" i="2"/>
  <c r="T53" i="2" s="1"/>
  <c r="R52" i="2"/>
  <c r="T52" i="2" s="1"/>
  <c r="R51" i="2"/>
  <c r="T51" i="2" s="1"/>
  <c r="R50" i="2"/>
  <c r="T50" i="2" s="1"/>
  <c r="R49" i="2"/>
  <c r="T49" i="2" s="1"/>
  <c r="R48" i="2"/>
  <c r="T48" i="2" s="1"/>
  <c r="R47" i="2"/>
  <c r="T47" i="2" s="1"/>
  <c r="R46" i="2"/>
  <c r="R45" i="2"/>
  <c r="T45" i="2" s="1"/>
  <c r="R44" i="2"/>
  <c r="T44" i="2" s="1"/>
  <c r="R43" i="2"/>
  <c r="T43" i="2" s="1"/>
  <c r="R42" i="2"/>
  <c r="T42" i="2" s="1"/>
  <c r="R41" i="2"/>
  <c r="T41" i="2" s="1"/>
  <c r="R40" i="2"/>
  <c r="T40" i="2" s="1"/>
  <c r="R39" i="2"/>
  <c r="T39" i="2" s="1"/>
  <c r="R38" i="2"/>
  <c r="T38" i="2" s="1"/>
  <c r="T37" i="2"/>
  <c r="R37" i="2"/>
  <c r="R36" i="2"/>
  <c r="T36" i="2" s="1"/>
  <c r="R35" i="2"/>
  <c r="T35" i="2" s="1"/>
  <c r="R34" i="2"/>
  <c r="T34" i="2" s="1"/>
  <c r="R33" i="2"/>
  <c r="T33" i="2" s="1"/>
  <c r="R32" i="2"/>
  <c r="T32" i="2" s="1"/>
  <c r="R31" i="2"/>
  <c r="T31" i="2" s="1"/>
  <c r="R30" i="2"/>
  <c r="T30" i="2" s="1"/>
  <c r="R29" i="2"/>
  <c r="T29" i="2" s="1"/>
  <c r="R28" i="2"/>
  <c r="T28" i="2" s="1"/>
  <c r="R27" i="2"/>
  <c r="T27" i="2" s="1"/>
  <c r="R26" i="2"/>
  <c r="T26" i="2" s="1"/>
  <c r="R25" i="2"/>
  <c r="T25" i="2" s="1"/>
  <c r="R24" i="2"/>
  <c r="T24" i="2" s="1"/>
  <c r="R23" i="2"/>
  <c r="T23" i="2" s="1"/>
  <c r="R22" i="2"/>
  <c r="T22" i="2" s="1"/>
  <c r="R21" i="2"/>
  <c r="T21" i="2" s="1"/>
  <c r="R20" i="2"/>
  <c r="T20" i="2" s="1"/>
  <c r="R19" i="2"/>
  <c r="T19" i="2" s="1"/>
  <c r="R18" i="2"/>
  <c r="T18" i="2" s="1"/>
  <c r="R17" i="2"/>
  <c r="T17" i="2" s="1"/>
  <c r="R16" i="2"/>
  <c r="T16" i="2" s="1"/>
  <c r="R15" i="2"/>
  <c r="T15" i="2" s="1"/>
  <c r="R14" i="2"/>
  <c r="T14" i="2" s="1"/>
  <c r="R13" i="2"/>
  <c r="T13" i="2" s="1"/>
  <c r="R12" i="2"/>
  <c r="T12" i="2" s="1"/>
  <c r="R11" i="2"/>
  <c r="T11" i="2" s="1"/>
  <c r="R10" i="2"/>
  <c r="T10" i="2" s="1"/>
  <c r="R9" i="2"/>
  <c r="T9" i="2" s="1"/>
  <c r="R8" i="2"/>
  <c r="T8" i="2" s="1"/>
  <c r="R7" i="2"/>
  <c r="T7" i="2" s="1"/>
  <c r="X6" i="2"/>
  <c r="X8" i="2" s="1"/>
  <c r="U3" i="2"/>
  <c r="A98" i="1"/>
  <c r="T72" i="2" l="1"/>
  <c r="S10" i="3"/>
  <c r="S48" i="3"/>
  <c r="S55" i="3"/>
  <c r="S66" i="3"/>
  <c r="S76" i="3"/>
  <c r="U111" i="3"/>
  <c r="S124" i="3"/>
  <c r="S91" i="3"/>
  <c r="T71" i="4"/>
  <c r="S98" i="3"/>
  <c r="S64" i="2"/>
  <c r="U30" i="3"/>
  <c r="S36" i="3"/>
  <c r="T55" i="3"/>
  <c r="T66" i="3"/>
  <c r="S72" i="3"/>
  <c r="S43" i="3"/>
  <c r="S49" i="3"/>
  <c r="S61" i="3"/>
  <c r="S84" i="3"/>
  <c r="S106" i="3"/>
  <c r="U119" i="3"/>
  <c r="S132" i="3"/>
  <c r="U143" i="6"/>
  <c r="T55" i="4"/>
  <c r="R143" i="8"/>
  <c r="S107" i="3"/>
  <c r="T66" i="2"/>
  <c r="U56" i="3"/>
  <c r="U79" i="3"/>
  <c r="S26" i="3"/>
  <c r="U68" i="3"/>
  <c r="S74" i="3"/>
  <c r="S100" i="3"/>
  <c r="S122" i="3"/>
  <c r="U135" i="3"/>
  <c r="U14" i="3"/>
  <c r="S20" i="3"/>
  <c r="U46" i="3"/>
  <c r="S64" i="3"/>
  <c r="S115" i="3"/>
  <c r="U51" i="3"/>
  <c r="S82" i="3"/>
  <c r="R143" i="6"/>
  <c r="C3" i="6" s="1"/>
  <c r="U38" i="3"/>
  <c r="S62" i="3"/>
  <c r="S19" i="3"/>
  <c r="S33" i="3"/>
  <c r="T46" i="3"/>
  <c r="U87" i="3"/>
  <c r="S27" i="3"/>
  <c r="S34" i="3"/>
  <c r="S41" i="3"/>
  <c r="S59" i="3"/>
  <c r="T64" i="3"/>
  <c r="S70" i="3"/>
  <c r="U95" i="3"/>
  <c r="S108" i="3"/>
  <c r="S130" i="3"/>
  <c r="S70" i="2"/>
  <c r="S9" i="3"/>
  <c r="S47" i="3"/>
  <c r="S54" i="3"/>
  <c r="T70" i="3"/>
  <c r="S75" i="3"/>
  <c r="S123" i="3"/>
  <c r="U22" i="3"/>
  <c r="S28" i="3"/>
  <c r="U103" i="3"/>
  <c r="S116" i="3"/>
  <c r="U143" i="5"/>
  <c r="W3" i="6"/>
  <c r="U39" i="3"/>
  <c r="S39" i="3"/>
  <c r="U31" i="3"/>
  <c r="S31" i="3"/>
  <c r="T73" i="2"/>
  <c r="S73" i="2"/>
  <c r="S77" i="3"/>
  <c r="E144" i="2"/>
  <c r="U23" i="3"/>
  <c r="S23" i="3"/>
  <c r="S109" i="3"/>
  <c r="U109" i="3"/>
  <c r="R143" i="2"/>
  <c r="C3" i="2" s="1"/>
  <c r="U15" i="3"/>
  <c r="S15" i="3"/>
  <c r="S44" i="3"/>
  <c r="R143" i="4"/>
  <c r="C3" i="4" s="1"/>
  <c r="W3" i="4" s="1"/>
  <c r="R143" i="3"/>
  <c r="C3" i="3" s="1"/>
  <c r="W3" i="3" s="1"/>
  <c r="U7" i="3"/>
  <c r="U52" i="3"/>
  <c r="S52" i="3"/>
  <c r="S101" i="3"/>
  <c r="U101" i="3"/>
  <c r="U133" i="3"/>
  <c r="S133" i="3"/>
  <c r="U143" i="4"/>
  <c r="T46" i="2"/>
  <c r="S46" i="2"/>
  <c r="U57" i="3"/>
  <c r="S57" i="3"/>
  <c r="S85" i="3"/>
  <c r="U85" i="3"/>
  <c r="U117" i="3"/>
  <c r="S117" i="3"/>
  <c r="U80" i="3"/>
  <c r="S80" i="3"/>
  <c r="U125" i="3"/>
  <c r="S125" i="3"/>
  <c r="R143" i="5"/>
  <c r="C3" i="5" s="1"/>
  <c r="W3" i="5" s="1"/>
  <c r="U93" i="3"/>
  <c r="S93" i="3"/>
  <c r="S12" i="3"/>
  <c r="S88" i="3"/>
  <c r="S96" i="3"/>
  <c r="S104" i="3"/>
  <c r="S112" i="3"/>
  <c r="S120" i="3"/>
  <c r="S128" i="3"/>
  <c r="S136" i="3"/>
  <c r="T66" i="4"/>
  <c r="S71" i="2"/>
  <c r="S138" i="2"/>
  <c r="S8" i="3"/>
  <c r="S13" i="3"/>
  <c r="S21" i="3"/>
  <c r="S29" i="3"/>
  <c r="S37" i="3"/>
  <c r="S45" i="3"/>
  <c r="S50" i="3"/>
  <c r="S63" i="3"/>
  <c r="S65" i="3"/>
  <c r="S67" i="3"/>
  <c r="S73" i="3"/>
  <c r="S78" i="3"/>
  <c r="S86" i="3"/>
  <c r="S94" i="3"/>
  <c r="S102" i="3"/>
  <c r="S110" i="3"/>
  <c r="S118" i="3"/>
  <c r="S126" i="3"/>
  <c r="S134" i="3"/>
  <c r="S139" i="3"/>
  <c r="S55" i="2"/>
  <c r="T65" i="2"/>
  <c r="S16" i="3"/>
  <c r="S24" i="3"/>
  <c r="S32" i="3"/>
  <c r="S40" i="3"/>
  <c r="S53" i="3"/>
  <c r="S58" i="3"/>
  <c r="T63" i="3"/>
  <c r="T65" i="3"/>
  <c r="T73" i="3"/>
  <c r="S81" i="3"/>
  <c r="S89" i="3"/>
  <c r="S97" i="3"/>
  <c r="S105" i="3"/>
  <c r="S113" i="3"/>
  <c r="S121" i="3"/>
  <c r="S129" i="3"/>
  <c r="S137" i="3"/>
  <c r="S63" i="2"/>
  <c r="S69" i="2"/>
  <c r="C3" i="8"/>
  <c r="W3" i="8" s="1"/>
  <c r="T143" i="3" l="1"/>
  <c r="T143" i="2"/>
  <c r="U143" i="2" s="1"/>
  <c r="T143" i="4"/>
  <c r="S143" i="3"/>
  <c r="S146" i="3" s="1"/>
  <c r="S147" i="3" s="1"/>
  <c r="V3" i="2"/>
  <c r="U143" i="3"/>
  <c r="S143" i="2"/>
  <c r="S14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5" authorId="0" shapeId="0" xr:uid="{00000000-0006-0000-0100-000054000000}">
      <text>
        <r>
          <rPr>
            <sz val="11"/>
            <color theme="1"/>
            <rFont val="Calibri"/>
            <family val="2"/>
            <scheme val="minor"/>
          </rPr>
          <t>======
ID#AAAALoinMQs
Administrator    (2021-03-09 06:06:32)
8/1/2017</t>
        </r>
      </text>
    </comment>
    <comment ref="Q15" authorId="0" shapeId="0" xr:uid="{00000000-0006-0000-0100-000057000000}">
      <text>
        <r>
          <rPr>
            <sz val="11"/>
            <color theme="1"/>
            <rFont val="Calibri"/>
            <family val="2"/>
            <scheme val="minor"/>
          </rPr>
          <t>======
ID#AAAALoinMQk
Administrator    (2021-03-09 06:06:32)
8/1/17</t>
        </r>
      </text>
    </comment>
    <comment ref="E20" authorId="0" shapeId="0" xr:uid="{00000000-0006-0000-0100-000058000000}">
      <text>
        <r>
          <rPr>
            <sz val="11"/>
            <color theme="1"/>
            <rFont val="Calibri"/>
            <family val="2"/>
            <scheme val="minor"/>
          </rPr>
          <t>======
ID#AAAALoinMQE
Administrator    (2021-03-09 06:06:32)
10/1/17</t>
        </r>
      </text>
    </comment>
    <comment ref="E22" authorId="0" shapeId="0" xr:uid="{00000000-0006-0000-0100-000061000000}">
      <text>
        <r>
          <rPr>
            <sz val="11"/>
            <color theme="1"/>
            <rFont val="Calibri"/>
            <family val="2"/>
            <scheme val="minor"/>
          </rPr>
          <t>======
ID#AAAALoinMM0
Administrator    (2021-03-09 06:06:32)
7/1/2017</t>
        </r>
      </text>
    </comment>
    <comment ref="Q29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======
ID#AAAALoinMd8
Administrator    (2021-03-09 06:06:32)
10/1/17</t>
        </r>
      </text>
    </comment>
    <comment ref="E31" authorId="0" shapeId="0" xr:uid="{00000000-0006-0000-0100-000066000000}">
      <text>
        <r>
          <rPr>
            <sz val="11"/>
            <color theme="1"/>
            <rFont val="Calibri"/>
            <family val="2"/>
            <scheme val="minor"/>
          </rPr>
          <t>======
ID#AAAALoinMMI
Administrator    (2021-03-09 06:06:32)
10/1/17</t>
        </r>
      </text>
    </comment>
    <comment ref="Q31" authorId="0" shapeId="0" xr:uid="{00000000-0006-0000-0100-00006D000000}">
      <text>
        <r>
          <rPr>
            <sz val="11"/>
            <color theme="1"/>
            <rFont val="Calibri"/>
            <family val="2"/>
            <scheme val="minor"/>
          </rPr>
          <t>======
ID#AAAALoinMK8
Administrator    (2021-03-09 06:06:32)
10/1/17</t>
        </r>
      </text>
    </comment>
    <comment ref="E33" authorId="0" shapeId="0" xr:uid="{00000000-0006-0000-0100-000041000000}">
      <text>
        <r>
          <rPr>
            <sz val="11"/>
            <color theme="1"/>
            <rFont val="Calibri"/>
            <family val="2"/>
            <scheme val="minor"/>
          </rPr>
          <t>======
ID#AAAALoinMUs
Administrator    (2021-03-09 06:06:32)
10/1/17</t>
        </r>
      </text>
    </comment>
    <comment ref="Q33" authorId="0" shapeId="0" xr:uid="{00000000-0006-0000-0100-000045000000}">
      <text>
        <r>
          <rPr>
            <sz val="11"/>
            <color theme="1"/>
            <rFont val="Calibri"/>
            <family val="2"/>
            <scheme val="minor"/>
          </rPr>
          <t>======
ID#AAAALoinMSo
Administrator    (2021-03-09 06:06:32)
10/1/17</t>
        </r>
      </text>
    </comment>
    <comment ref="E34" authorId="0" shapeId="0" xr:uid="{00000000-0006-0000-0100-000060000000}">
      <text>
        <r>
          <rPr>
            <sz val="11"/>
            <color theme="1"/>
            <rFont val="Calibri"/>
            <family val="2"/>
            <scheme val="minor"/>
          </rPr>
          <t>======
ID#AAAALoinMNE
Administrator    (2021-03-09 06:06:32)
10/1/17</t>
        </r>
      </text>
    </comment>
    <comment ref="O34" authorId="0" shapeId="0" xr:uid="{00000000-0006-0000-0100-000036000000}">
      <text>
        <r>
          <rPr>
            <sz val="11"/>
            <color theme="1"/>
            <rFont val="Calibri"/>
            <family val="2"/>
            <scheme val="minor"/>
          </rPr>
          <t>======
ID#AAAALoinMXU
Administrator    (2021-03-09 06:06:32)
10/1/17</t>
        </r>
      </text>
    </comment>
    <comment ref="Q34" authorId="0" shapeId="0" xr:uid="{00000000-0006-0000-0100-00002C000000}">
      <text>
        <r>
          <rPr>
            <sz val="11"/>
            <color theme="1"/>
            <rFont val="Calibri"/>
            <family val="2"/>
            <scheme val="minor"/>
          </rPr>
          <t>======
ID#AAAALoinMZk
Administrator    (2021-03-09 06:06:32)
26/1/17</t>
        </r>
      </text>
    </comment>
    <comment ref="E35" authorId="0" shapeId="0" xr:uid="{00000000-0006-0000-0100-000032000000}">
      <text>
        <r>
          <rPr>
            <sz val="11"/>
            <color theme="1"/>
            <rFont val="Calibri"/>
            <family val="2"/>
            <scheme val="minor"/>
          </rPr>
          <t>======
ID#AAAALoinMYQ
Administrator    (2021-03-09 06:06:32)
12/1/17</t>
        </r>
      </text>
    </comment>
    <comment ref="Q35" authorId="0" shapeId="0" xr:uid="{00000000-0006-0000-0100-000038000000}">
      <text>
        <r>
          <rPr>
            <sz val="11"/>
            <color theme="1"/>
            <rFont val="Calibri"/>
            <family val="2"/>
            <scheme val="minor"/>
          </rPr>
          <t>======
ID#AAAALoinMW8
Administrator    (2021-03-09 06:06:32)
12/1/17</t>
        </r>
      </text>
    </comment>
    <comment ref="E36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======
ID#AAAALoinMa8
Administrator    (2021-03-09 06:06:32)
12/1/17</t>
        </r>
      </text>
    </comment>
    <comment ref="Q36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======
ID#AAAALoinMho
Administrator    (2021-03-09 06:06:32)
12/1/17</t>
        </r>
      </text>
    </comment>
    <comment ref="E37" authorId="0" shapeId="0" xr:uid="{00000000-0006-0000-0100-000055000000}">
      <text>
        <r>
          <rPr>
            <sz val="11"/>
            <color theme="1"/>
            <rFont val="Calibri"/>
            <family val="2"/>
            <scheme val="minor"/>
          </rPr>
          <t>======
ID#AAAALoinMQc
Administrator    (2021-03-09 06:06:32)
12/1/17</t>
        </r>
      </text>
    </comment>
    <comment ref="Q37" authorId="0" shapeId="0" xr:uid="{00000000-0006-0000-0100-000043000000}">
      <text>
        <r>
          <rPr>
            <sz val="11"/>
            <color theme="1"/>
            <rFont val="Calibri"/>
            <family val="2"/>
            <scheme val="minor"/>
          </rPr>
          <t>======
ID#AAAALoinMT0
Administrator    (2021-03-09 06:06:32)
12/1/17</t>
        </r>
      </text>
    </comment>
    <comment ref="E40" authorId="0" shapeId="0" xr:uid="{00000000-0006-0000-0100-000030000000}">
      <text>
        <r>
          <rPr>
            <sz val="11"/>
            <color theme="1"/>
            <rFont val="Calibri"/>
            <family val="2"/>
            <scheme val="minor"/>
          </rPr>
          <t>======
ID#AAAALoinMYg
Administrator    (2021-03-09 06:06:32)
12/1/17</t>
        </r>
      </text>
    </comment>
    <comment ref="Q40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======
ID#AAAALoinMeU
Administrator    (2021-03-09 06:06:32)
12/1/17</t>
        </r>
      </text>
    </comment>
    <comment ref="E41" authorId="0" shapeId="0" xr:uid="{00000000-0006-0000-0100-00004C000000}">
      <text>
        <r>
          <rPr>
            <sz val="11"/>
            <color theme="1"/>
            <rFont val="Calibri"/>
            <family val="2"/>
            <scheme val="minor"/>
          </rPr>
          <t>======
ID#AAAALoinMR4
Administrator    (2021-03-09 06:06:32)
12/1/17</t>
        </r>
      </text>
    </comment>
    <comment ref="Q41" authorId="0" shapeId="0" xr:uid="{00000000-0006-0000-0100-00002E000000}">
      <text>
        <r>
          <rPr>
            <sz val="11"/>
            <color theme="1"/>
            <rFont val="Calibri"/>
            <family val="2"/>
            <scheme val="minor"/>
          </rPr>
          <t>======
ID#AAAALoinMZI
Administrator    (2021-03-09 06:06:32)
12/1/17</t>
        </r>
      </text>
    </comment>
    <comment ref="E4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======
ID#AAAALoinMf8
Administrator    (2021-03-09 06:06:32)
12/1/17</t>
        </r>
      </text>
    </comment>
    <comment ref="H42" authorId="0" shapeId="0" xr:uid="{00000000-0006-0000-0100-000051000000}">
      <text>
        <r>
          <rPr>
            <sz val="11"/>
            <color theme="1"/>
            <rFont val="Calibri"/>
            <family val="2"/>
            <scheme val="minor"/>
          </rPr>
          <t>======
ID#AAAALoinMRA
Administrator    (2021-03-09 06:06:32)
12/1/17</t>
        </r>
      </text>
    </comment>
    <comment ref="Q42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======
ID#AAAALoinMdM
Administrator    (2021-03-09 06:06:32)
12/1/17</t>
        </r>
      </text>
    </comment>
    <comment ref="E43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======
ID#AAAALoinMbs
Administrator    (2021-03-09 06:06:32)
9/1/17</t>
        </r>
      </text>
    </comment>
    <comment ref="Q43" authorId="0" shapeId="0" xr:uid="{00000000-0006-0000-0100-000068000000}">
      <text>
        <r>
          <rPr>
            <sz val="11"/>
            <color theme="1"/>
            <rFont val="Calibri"/>
            <family val="2"/>
            <scheme val="minor"/>
          </rPr>
          <t>======
ID#AAAALoinMLs
Administrator    (2021-03-09 06:06:32)
9/1/17</t>
        </r>
      </text>
    </comment>
    <comment ref="E44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======
ID#AAAALoinMdw
Administrator    (2021-03-09 06:06:32)
9/1/17</t>
        </r>
      </text>
    </comment>
    <comment ref="Q44" authorId="0" shapeId="0" xr:uid="{00000000-0006-0000-0100-000065000000}">
      <text>
        <r>
          <rPr>
            <sz val="11"/>
            <color theme="1"/>
            <rFont val="Calibri"/>
            <family val="2"/>
            <scheme val="minor"/>
          </rPr>
          <t>======
ID#AAAALoinMMY
Administrator    (2021-03-09 06:06:32)
9/1/17</t>
        </r>
      </text>
    </comment>
    <comment ref="E45" authorId="0" shapeId="0" xr:uid="{00000000-0006-0000-0100-000033000000}">
      <text>
        <r>
          <rPr>
            <sz val="11"/>
            <color theme="1"/>
            <rFont val="Calibri"/>
            <family val="2"/>
            <scheme val="minor"/>
          </rPr>
          <t>======
ID#AAAALoinMYE
Administrator    (2021-03-09 06:06:32)
13/1/17</t>
        </r>
      </text>
    </comment>
    <comment ref="Q45" authorId="0" shapeId="0" xr:uid="{00000000-0006-0000-0100-00003B000000}">
      <text>
        <r>
          <rPr>
            <sz val="11"/>
            <color theme="1"/>
            <rFont val="Calibri"/>
            <family val="2"/>
            <scheme val="minor"/>
          </rPr>
          <t>======
ID#AAAALoinMWY
Administrator    (2021-03-09 06:06:32)
13/1/17</t>
        </r>
      </text>
    </comment>
    <comment ref="E46" authorId="0" shapeId="0" xr:uid="{00000000-0006-0000-0100-00003F000000}">
      <text>
        <r>
          <rPr>
            <sz val="11"/>
            <color theme="1"/>
            <rFont val="Calibri"/>
            <family val="2"/>
            <scheme val="minor"/>
          </rPr>
          <t>======
ID#AAAALoinMVI
Administrator    (2021-03-09 06:06:32)
13/1/17</t>
        </r>
      </text>
    </comment>
    <comment ref="Q46" authorId="0" shapeId="0" xr:uid="{00000000-0006-0000-0100-00002D000000}">
      <text>
        <r>
          <rPr>
            <sz val="11"/>
            <color theme="1"/>
            <rFont val="Calibri"/>
            <family val="2"/>
            <scheme val="minor"/>
          </rPr>
          <t>======
ID#AAAALoinMZQ
Administrator    (2021-03-09 06:06:32)
13/1/17</t>
        </r>
      </text>
    </comment>
    <comment ref="E47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======
ID#AAAALoinMgw
Administrator    (2021-03-09 06:06:32)
15/1/17</t>
        </r>
      </text>
    </comment>
    <comment ref="Q47" authorId="0" shapeId="0" xr:uid="{00000000-0006-0000-0100-000056000000}">
      <text>
        <r>
          <rPr>
            <sz val="11"/>
            <color theme="1"/>
            <rFont val="Calibri"/>
            <family val="2"/>
            <scheme val="minor"/>
          </rPr>
          <t>======
ID#AAAALoinMQg
Administrator    (2021-03-09 06:06:32)
15/1/17</t>
        </r>
      </text>
    </comment>
    <comment ref="E48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======
ID#AAAALoinMeE
Administrator    (2021-03-09 06:06:32)
13/1/17</t>
        </r>
      </text>
    </comment>
    <comment ref="Q48" authorId="0" shapeId="0" xr:uid="{00000000-0006-0000-0100-000067000000}">
      <text>
        <r>
          <rPr>
            <sz val="11"/>
            <color theme="1"/>
            <rFont val="Calibri"/>
            <family val="2"/>
            <scheme val="minor"/>
          </rPr>
          <t>======
ID#AAAALoinMMM
Administrator    (2021-03-09 06:06:32)
13/1/17</t>
        </r>
      </text>
    </comment>
    <comment ref="E49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======
ID#AAAALoinMb0
Administrator    (2021-03-09 06:06:32)
14/1/17</t>
        </r>
      </text>
    </comment>
    <comment ref="Q49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======
ID#AAAALoinMcM
Administrator    (2021-03-09 06:06:32)
14/1/17</t>
        </r>
      </text>
    </comment>
    <comment ref="E50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======
ID#AAAALoinMeo
Administrator    (2021-03-09 06:06:32)
15/1/17</t>
        </r>
      </text>
    </comment>
    <comment ref="Q50" authorId="0" shapeId="0" xr:uid="{00000000-0006-0000-0100-000040000000}">
      <text>
        <r>
          <rPr>
            <sz val="11"/>
            <color theme="1"/>
            <rFont val="Calibri"/>
            <family val="2"/>
            <scheme val="minor"/>
          </rPr>
          <t>======
ID#AAAALoinMU4
Administrator    (2021-03-09 06:06:32)
15/1/17</t>
        </r>
      </text>
    </comment>
    <comment ref="E51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======
ID#AAAALoinMgM
Administrator    (2021-03-09 06:06:32)
15/1/17</t>
        </r>
      </text>
    </comment>
    <comment ref="Q51" authorId="0" shapeId="0" xr:uid="{00000000-0006-0000-0100-000062000000}">
      <text>
        <r>
          <rPr>
            <sz val="11"/>
            <color theme="1"/>
            <rFont val="Calibri"/>
            <family val="2"/>
            <scheme val="minor"/>
          </rPr>
          <t>======
ID#AAAALoinMM4
Administrator    (2021-03-09 06:06:32)
15/1/17</t>
        </r>
      </text>
    </comment>
    <comment ref="E52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======
ID#AAAALoinMaE
Administrator    (2021-03-09 06:06:32)
15/1/17</t>
        </r>
      </text>
    </comment>
    <comment ref="Q52" authorId="0" shapeId="0" xr:uid="{00000000-0006-0000-0100-000050000000}">
      <text>
        <r>
          <rPr>
            <sz val="11"/>
            <color theme="1"/>
            <rFont val="Calibri"/>
            <family val="2"/>
            <scheme val="minor"/>
          </rPr>
          <t>======
ID#AAAALoinMRE
Administrator    (2021-03-09 06:06:32)
15/1/17</t>
        </r>
      </text>
    </comment>
    <comment ref="E53" authorId="0" shapeId="0" xr:uid="{00000000-0006-0000-0100-00004D000000}">
      <text>
        <r>
          <rPr>
            <sz val="11"/>
            <color theme="1"/>
            <rFont val="Calibri"/>
            <family val="2"/>
            <scheme val="minor"/>
          </rPr>
          <t>======
ID#AAAALoinMRc
Administrator    (2021-03-09 06:06:32)
15/1/17</t>
        </r>
      </text>
    </comment>
    <comment ref="Q53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======
ID#AAAALoinMiM
Administrator    (2021-03-09 06:06:32)
15/1/17</t>
        </r>
      </text>
    </comment>
    <comment ref="E54" authorId="0" shapeId="0" xr:uid="{00000000-0006-0000-0100-000059000000}">
      <text>
        <r>
          <rPr>
            <sz val="11"/>
            <color theme="1"/>
            <rFont val="Calibri"/>
            <family val="2"/>
            <scheme val="minor"/>
          </rPr>
          <t>======
ID#AAAALoinMQM
Administrator    (2021-03-09 06:06:32)
15/1/17</t>
        </r>
      </text>
    </comment>
    <comment ref="Q54" authorId="0" shapeId="0" xr:uid="{00000000-0006-0000-0100-000044000000}">
      <text>
        <r>
          <rPr>
            <sz val="11"/>
            <color theme="1"/>
            <rFont val="Calibri"/>
            <family val="2"/>
            <scheme val="minor"/>
          </rPr>
          <t>======
ID#AAAALoinMS4
Administrator    (2021-03-09 06:06:32)
15/1/17</t>
        </r>
      </text>
    </comment>
    <comment ref="E55" authorId="0" shapeId="0" xr:uid="{00000000-0006-0000-0100-000039000000}">
      <text>
        <r>
          <rPr>
            <sz val="11"/>
            <color theme="1"/>
            <rFont val="Calibri"/>
            <family val="2"/>
            <scheme val="minor"/>
          </rPr>
          <t>======
ID#AAAALoinMWg
Administrator    (2021-03-09 06:06:32)
16/1/17</t>
        </r>
      </text>
    </comment>
    <comment ref="Q55" authorId="0" shapeId="0" xr:uid="{00000000-0006-0000-0100-00006A000000}">
      <text>
        <r>
          <rPr>
            <sz val="11"/>
            <color theme="1"/>
            <rFont val="Calibri"/>
            <family val="2"/>
            <scheme val="minor"/>
          </rPr>
          <t>======
ID#AAAALoinMLg
Administrator    (2021-03-09 06:06:32)
16/1/17</t>
        </r>
      </text>
    </comment>
    <comment ref="E56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======
ID#AAAALoinMhc
Administrator    (2021-03-09 06:06:32)
16/1/17</t>
        </r>
      </text>
    </comment>
    <comment ref="Q56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======
ID#AAAALoinMaU
Administrator    (2021-03-09 06:06:32)
16/1/17</t>
        </r>
      </text>
    </comment>
    <comment ref="E57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======
ID#AAAALoinMaY
Administrator    (2021-03-09 06:06:32)
16/1/17</t>
        </r>
      </text>
    </comment>
    <comment ref="Q57" authorId="0" shapeId="0" xr:uid="{00000000-0006-0000-0100-000034000000}">
      <text>
        <r>
          <rPr>
            <sz val="11"/>
            <color theme="1"/>
            <rFont val="Calibri"/>
            <family val="2"/>
            <scheme val="minor"/>
          </rPr>
          <t>======
ID#AAAALoinMX4
Administrator    (2021-03-09 06:06:32)
16/1/17</t>
        </r>
      </text>
    </comment>
    <comment ref="E58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======
ID#AAAALoinMg4
Administrator    (2021-03-09 06:06:32)
19/1/17</t>
        </r>
      </text>
    </comment>
    <comment ref="Q58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======
ID#AAAALoinMdc
Administrator    (2021-03-09 06:06:32)
19/1/17</t>
        </r>
      </text>
    </comment>
    <comment ref="E60" authorId="0" shapeId="0" xr:uid="{00000000-0006-0000-0100-00005F000000}">
      <text>
        <r>
          <rPr>
            <sz val="11"/>
            <color theme="1"/>
            <rFont val="Calibri"/>
            <family val="2"/>
            <scheme val="minor"/>
          </rPr>
          <t>======
ID#AAAALoinMNM
Administrator    (2021-03-09 06:06:32)
19/1/17</t>
        </r>
      </text>
    </comment>
    <comment ref="Q60" authorId="0" shapeId="0" xr:uid="{00000000-0006-0000-0100-000046000000}">
      <text>
        <r>
          <rPr>
            <sz val="11"/>
            <color theme="1"/>
            <rFont val="Calibri"/>
            <family val="2"/>
            <scheme val="minor"/>
          </rPr>
          <t>======
ID#AAAALoinMSs
Administrator    (2021-03-09 06:06:32)
19/1/17</t>
        </r>
      </text>
    </comment>
    <comment ref="E61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======
ID#AAAALoinMbI
Administrator    (2021-03-09 06:06:32)
19/1/17</t>
        </r>
      </text>
    </comment>
    <comment ref="Q61" authorId="0" shapeId="0" xr:uid="{00000000-0006-0000-0100-000029000000}">
      <text>
        <r>
          <rPr>
            <sz val="11"/>
            <color theme="1"/>
            <rFont val="Calibri"/>
            <family val="2"/>
            <scheme val="minor"/>
          </rPr>
          <t>======
ID#AAAALoinMZs
Administrator    (2021-03-09 06:06:32)
19/1/17</t>
        </r>
      </text>
    </comment>
    <comment ref="E62" authorId="0" shapeId="0" xr:uid="{00000000-0006-0000-0100-00005B000000}">
      <text>
        <r>
          <rPr>
            <sz val="11"/>
            <color theme="1"/>
            <rFont val="Calibri"/>
            <family val="2"/>
            <scheme val="minor"/>
          </rPr>
          <t>======
ID#AAAALoinMOY
Administrator    (2021-03-09 06:06:32)
19/1/17</t>
        </r>
      </text>
    </comment>
    <comment ref="E63" authorId="0" shapeId="0" xr:uid="{00000000-0006-0000-0100-00004B000000}">
      <text>
        <r>
          <rPr>
            <sz val="11"/>
            <color theme="1"/>
            <rFont val="Calibri"/>
            <family val="2"/>
            <scheme val="minor"/>
          </rPr>
          <t>======
ID#AAAALoinMR0
Administrator    (2021-03-09 06:06:32)
20/1/17</t>
        </r>
      </text>
    </comment>
    <comment ref="E64" authorId="0" shapeId="0" xr:uid="{00000000-0006-0000-0100-000064000000}">
      <text>
        <r>
          <rPr>
            <sz val="11"/>
            <color theme="1"/>
            <rFont val="Calibri"/>
            <family val="2"/>
            <scheme val="minor"/>
          </rPr>
          <t>======
ID#AAAALoinMMk
Administrator    (2021-03-09 06:06:32)
20/1/17</t>
        </r>
      </text>
    </comment>
    <comment ref="Q64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======
ID#AAAALoinMcY
Administrator    (2021-03-09 06:06:32)
20/1/2017</t>
        </r>
      </text>
    </comment>
    <comment ref="E65" authorId="0" shapeId="0" xr:uid="{00000000-0006-0000-0100-00005A000000}">
      <text>
        <r>
          <rPr>
            <sz val="11"/>
            <color theme="1"/>
            <rFont val="Calibri"/>
            <family val="2"/>
            <scheme val="minor"/>
          </rPr>
          <t>======
ID#AAAALoinMPc
Administrator    (2021-03-09 06:06:32)
20/1/17</t>
        </r>
      </text>
    </comment>
    <comment ref="E66" authorId="0" shapeId="0" xr:uid="{00000000-0006-0000-0100-00002A000000}">
      <text>
        <r>
          <rPr>
            <sz val="11"/>
            <color theme="1"/>
            <rFont val="Calibri"/>
            <family val="2"/>
            <scheme val="minor"/>
          </rPr>
          <t>======
ID#AAAALoinMZw
Administrator    (2021-03-09 06:06:32)
20/1/17</t>
        </r>
      </text>
    </comment>
    <comment ref="Q66" authorId="0" shapeId="0" xr:uid="{00000000-0006-0000-0100-00003A000000}">
      <text>
        <r>
          <rPr>
            <sz val="11"/>
            <color theme="1"/>
            <rFont val="Calibri"/>
            <family val="2"/>
            <scheme val="minor"/>
          </rPr>
          <t>======
ID#AAAALoinMWk
Administrator    (2021-03-09 06:06:32)
20/1/2017</t>
        </r>
      </text>
    </comment>
    <comment ref="E67" authorId="0" shapeId="0" xr:uid="{00000000-0006-0000-0100-00005C000000}">
      <text>
        <r>
          <rPr>
            <sz val="11"/>
            <color theme="1"/>
            <rFont val="Calibri"/>
            <family val="2"/>
            <scheme val="minor"/>
          </rPr>
          <t>======
ID#AAAALoinMOU
Administrator    (2021-03-09 06:06:32)
20/1/17</t>
        </r>
      </text>
    </comment>
    <comment ref="E68" authorId="0" shapeId="0" xr:uid="{00000000-0006-0000-0100-00002B000000}">
      <text>
        <r>
          <rPr>
            <sz val="11"/>
            <color theme="1"/>
            <rFont val="Calibri"/>
            <family val="2"/>
            <scheme val="minor"/>
          </rPr>
          <t>======
ID#AAAALoinMZc
Administrator    (2021-03-09 06:06:32)
20/1/17</t>
        </r>
      </text>
    </comment>
    <comment ref="E69" authorId="0" shapeId="0" xr:uid="{00000000-0006-0000-0100-00003C000000}">
      <text>
        <r>
          <rPr>
            <sz val="11"/>
            <color theme="1"/>
            <rFont val="Calibri"/>
            <family val="2"/>
            <scheme val="minor"/>
          </rPr>
          <t>======
ID#AAAALoinMV0
Administrator    (2021-03-09 06:06:32)
20/1/17</t>
        </r>
      </text>
    </comment>
    <comment ref="Q69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======
ID#AAAALoinMdg
Administrator    (2021-03-09 06:06:32)
20/1/2017</t>
        </r>
      </text>
    </comment>
    <comment ref="E70" authorId="0" shapeId="0" xr:uid="{00000000-0006-0000-0100-000047000000}">
      <text>
        <r>
          <rPr>
            <sz val="11"/>
            <color theme="1"/>
            <rFont val="Calibri"/>
            <family val="2"/>
            <scheme val="minor"/>
          </rPr>
          <t>======
ID#AAAALoinMSg
Administrator    (2021-03-09 06:06:32)
20/1/17</t>
        </r>
      </text>
    </comment>
    <comment ref="Q70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======
ID#AAAALoinMiQ
Administrator    (2021-03-09 06:06:32)
20/1/2017</t>
        </r>
      </text>
    </comment>
    <comment ref="E7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======
ID#AAAALoinMhk
Administrator    (2021-03-09 06:06:32)
20/1/17</t>
        </r>
      </text>
    </comment>
    <comment ref="Q71" authorId="0" shapeId="0" xr:uid="{00000000-0006-0000-0100-00006C000000}">
      <text>
        <r>
          <rPr>
            <sz val="11"/>
            <color theme="1"/>
            <rFont val="Calibri"/>
            <family val="2"/>
            <scheme val="minor"/>
          </rPr>
          <t>======
ID#AAAALoinMLE
Administrator    (2021-03-09 06:06:32)
20/1/2017</t>
        </r>
      </text>
    </comment>
    <comment ref="E72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======
ID#AAAALoinMd0
Administrator    (2021-03-09 06:06:32)
20/1/17</t>
        </r>
      </text>
    </comment>
    <comment ref="Q72" authorId="0" shapeId="0" xr:uid="{00000000-0006-0000-0100-000035000000}">
      <text>
        <r>
          <rPr>
            <sz val="11"/>
            <color theme="1"/>
            <rFont val="Calibri"/>
            <family val="2"/>
            <scheme val="minor"/>
          </rPr>
          <t>======
ID#AAAALoinMXw
Administrator    (2021-03-09 06:06:32)
20/1/2017</t>
        </r>
      </text>
    </comment>
    <comment ref="E73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======
ID#AAAALoinMaw
Administrator    (2021-03-09 06:06:32)
20/1/17</t>
        </r>
      </text>
    </comment>
    <comment ref="Q73" authorId="0" shapeId="0" xr:uid="{00000000-0006-0000-0100-000049000000}">
      <text>
        <r>
          <rPr>
            <sz val="11"/>
            <color theme="1"/>
            <rFont val="Calibri"/>
            <family val="2"/>
            <scheme val="minor"/>
          </rPr>
          <t>======
ID#AAAALoinMSM
Administrator    (2021-03-09 06:06:32)
20/1/2017</t>
        </r>
      </text>
    </comment>
    <comment ref="E74" authorId="0" shapeId="0" xr:uid="{00000000-0006-0000-0100-00004A000000}">
      <text>
        <r>
          <rPr>
            <sz val="11"/>
            <color theme="1"/>
            <rFont val="Calibri"/>
            <family val="2"/>
            <scheme val="minor"/>
          </rPr>
          <t>======
ID#AAAALoinMSE
Administrator    (2021-03-09 06:06:32)
20/1/17</t>
        </r>
      </text>
    </comment>
    <comment ref="Q74" authorId="0" shapeId="0" xr:uid="{00000000-0006-0000-0100-000042000000}">
      <text>
        <r>
          <rPr>
            <sz val="11"/>
            <color theme="1"/>
            <rFont val="Calibri"/>
            <family val="2"/>
            <scheme val="minor"/>
          </rPr>
          <t>======
ID#AAAALoinMUc
Administrator    (2021-03-09 06:06:32)
20/1/2017</t>
        </r>
      </text>
    </comment>
    <comment ref="E76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======
ID#AAAALoinMdY
Administrator    (2021-03-09 06:06:32)
21/1/17</t>
        </r>
      </text>
    </comment>
    <comment ref="E77" authorId="0" shapeId="0" xr:uid="{00000000-0006-0000-0100-00002F000000}">
      <text>
        <r>
          <rPr>
            <sz val="11"/>
            <color theme="1"/>
            <rFont val="Calibri"/>
            <family val="2"/>
            <scheme val="minor"/>
          </rPr>
          <t>======
ID#AAAALoinMY0
Administrator    (2021-03-09 06:06:32)
22/1/17</t>
        </r>
      </text>
    </comment>
    <comment ref="Q77" authorId="0" shapeId="0" xr:uid="{00000000-0006-0000-0100-000069000000}">
      <text>
        <r>
          <rPr>
            <sz val="11"/>
            <color theme="1"/>
            <rFont val="Calibri"/>
            <family val="2"/>
            <scheme val="minor"/>
          </rPr>
          <t>======
ID#AAAALoinMLw
Administrator    (2021-03-09 06:06:32)
22/1/17</t>
        </r>
      </text>
    </comment>
    <comment ref="E78" authorId="0" shapeId="0" xr:uid="{00000000-0006-0000-0100-00004E000000}">
      <text>
        <r>
          <rPr>
            <sz val="11"/>
            <color theme="1"/>
            <rFont val="Calibri"/>
            <family val="2"/>
            <scheme val="minor"/>
          </rPr>
          <t>======
ID#AAAALoinMRg
Administrator    (2021-03-09 06:06:32)
22/1/17</t>
        </r>
      </text>
    </comment>
    <comment ref="Q78" authorId="0" shapeId="0" xr:uid="{00000000-0006-0000-0100-000063000000}">
      <text>
        <r>
          <rPr>
            <sz val="11"/>
            <color theme="1"/>
            <rFont val="Calibri"/>
            <family val="2"/>
            <scheme val="minor"/>
          </rPr>
          <t>======
ID#AAAALoinMMs
Administrator    (2021-03-09 06:06:32)
22/1/17</t>
        </r>
      </text>
    </comment>
    <comment ref="E79" authorId="0" shapeId="0" xr:uid="{00000000-0006-0000-0100-000037000000}">
      <text>
        <r>
          <rPr>
            <sz val="11"/>
            <color theme="1"/>
            <rFont val="Calibri"/>
            <family val="2"/>
            <scheme val="minor"/>
          </rPr>
          <t>======
ID#AAAALoinMXI
Administrator    (2021-03-09 06:06:32)
22/1/17</t>
        </r>
      </text>
    </comment>
    <comment ref="Q79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======
ID#AAAALoinMao
Administrator    (2021-03-09 06:06:32)
22/1/17</t>
        </r>
      </text>
    </comment>
    <comment ref="E80" authorId="0" shapeId="0" xr:uid="{00000000-0006-0000-0100-000048000000}">
      <text>
        <r>
          <rPr>
            <sz val="11"/>
            <color theme="1"/>
            <rFont val="Calibri"/>
            <family val="2"/>
            <scheme val="minor"/>
          </rPr>
          <t>======
ID#AAAALoinMSI
Administrator    (2021-03-09 06:06:32)
22/1/17</t>
        </r>
      </text>
    </comment>
    <comment ref="E8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======
ID#AAAALoinMhE
Administrator    (2021-03-09 06:06:32)
22/1/17</t>
        </r>
      </text>
    </comment>
    <comment ref="Q81" authorId="0" shapeId="0" xr:uid="{00000000-0006-0000-0100-000052000000}">
      <text>
        <r>
          <rPr>
            <sz val="11"/>
            <color theme="1"/>
            <rFont val="Calibri"/>
            <family val="2"/>
            <scheme val="minor"/>
          </rPr>
          <t>======
ID#AAAALoinMQ0
Administrator    (2021-03-09 06:06:32)
22/1/17</t>
        </r>
      </text>
    </comment>
    <comment ref="E82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======
ID#AAAALoinMh4
Administrator    (2021-03-09 06:06:32)
22/1/17</t>
        </r>
      </text>
    </comment>
    <comment ref="Q82" authorId="0" shapeId="0" xr:uid="{00000000-0006-0000-0100-00006B000000}">
      <text>
        <r>
          <rPr>
            <sz val="11"/>
            <color theme="1"/>
            <rFont val="Calibri"/>
            <family val="2"/>
            <scheme val="minor"/>
          </rPr>
          <t>======
ID#AAAALoinMLc
Administrator    (2021-03-09 06:06:32)
22/1/17</t>
        </r>
      </text>
    </comment>
    <comment ref="Q83" authorId="0" shapeId="0" xr:uid="{00000000-0006-0000-0100-00005D000000}">
      <text>
        <r>
          <rPr>
            <sz val="11"/>
            <color theme="1"/>
            <rFont val="Calibri"/>
            <family val="2"/>
            <scheme val="minor"/>
          </rPr>
          <t>======
ID#AAAALoinMNo
Administrator    (2021-03-09 06:06:32)
22/1/17</t>
        </r>
      </text>
    </comment>
    <comment ref="E84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======
ID#AAAALoinMbg
Administrator    (2021-03-09 06:06:32)
24/1/17</t>
        </r>
      </text>
    </comment>
    <comment ref="E85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======
ID#AAAALoinMhY
Administrator    (2021-03-09 06:06:32)
24/1/17</t>
        </r>
      </text>
    </comment>
    <comment ref="E86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======
ID#AAAALoinMec
Administrator    (2021-03-09 06:06:32)
24/1/17</t>
        </r>
      </text>
    </comment>
    <comment ref="Q86" authorId="0" shapeId="0" xr:uid="{00000000-0006-0000-0100-000031000000}">
      <text>
        <r>
          <rPr>
            <sz val="11"/>
            <color theme="1"/>
            <rFont val="Calibri"/>
            <family val="2"/>
            <scheme val="minor"/>
          </rPr>
          <t>======
ID#AAAALoinMYo
Administrator    (2021-03-09 06:06:32)
22/1/17</t>
        </r>
      </text>
    </comment>
    <comment ref="Q87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======
ID#AAAALoinMgg
Administrator    (2021-03-09 06:06:32)
22/1/17</t>
        </r>
      </text>
    </comment>
    <comment ref="E13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======
ID#AAAALoinMj0
Administrator    (2021-03-09 06:06:32)
14/1/17</t>
        </r>
      </text>
    </comment>
    <comment ref="Q132" authorId="0" shapeId="0" xr:uid="{00000000-0006-0000-0100-00005E000000}">
      <text>
        <r>
          <rPr>
            <sz val="11"/>
            <color theme="1"/>
            <rFont val="Calibri"/>
            <family val="2"/>
            <scheme val="minor"/>
          </rPr>
          <t>======
ID#AAAALoinMNU
Administrator    (2021-03-09 06:06:32)
14/1/17</t>
        </r>
      </text>
    </comment>
    <comment ref="E135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======
ID#AAAALoinMbM
Administrator    (2021-03-09 06:06:32)
13/1/17</t>
        </r>
      </text>
    </comment>
    <comment ref="Q135" authorId="0" shapeId="0" xr:uid="{00000000-0006-0000-0100-00003D000000}">
      <text>
        <r>
          <rPr>
            <sz val="11"/>
            <color theme="1"/>
            <rFont val="Calibri"/>
            <family val="2"/>
            <scheme val="minor"/>
          </rPr>
          <t>======
ID#AAAALoinMVs
Administrator    (2021-03-09 06:06:32)
13/1/17</t>
        </r>
      </text>
    </comment>
    <comment ref="E136" authorId="0" shapeId="0" xr:uid="{00000000-0006-0000-0100-00003E000000}">
      <text>
        <r>
          <rPr>
            <sz val="11"/>
            <color theme="1"/>
            <rFont val="Calibri"/>
            <family val="2"/>
            <scheme val="minor"/>
          </rPr>
          <t>======
ID#AAAALoinMVM
Administrator    (2021-03-09 06:06:32)
15/1/17</t>
        </r>
      </text>
    </comment>
    <comment ref="Q136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======
ID#AAAALoinMdI
Administrator    (2021-03-09 06:06:32)
15/1/17</t>
        </r>
      </text>
    </comment>
    <comment ref="E137" authorId="0" shapeId="0" xr:uid="{00000000-0006-0000-0100-000053000000}">
      <text>
        <r>
          <rPr>
            <sz val="11"/>
            <color theme="1"/>
            <rFont val="Calibri"/>
            <family val="2"/>
            <scheme val="minor"/>
          </rPr>
          <t>======
ID#AAAALoinMQo
Administrator    (2021-03-09 06:06:32)
20/1/17</t>
        </r>
      </text>
    </comment>
    <comment ref="E138" authorId="0" shapeId="0" xr:uid="{00000000-0006-0000-0100-00006E000000}">
      <text>
        <r>
          <rPr>
            <sz val="11"/>
            <color theme="1"/>
            <rFont val="Calibri"/>
            <family val="2"/>
            <scheme val="minor"/>
          </rPr>
          <t>======
ID#AAAALoinMKo
Administrator    (2021-03-09 06:06:32)
20/1/17</t>
        </r>
      </text>
    </comment>
    <comment ref="E140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======
ID#AAAALoinMdk
Administrator    (2021-03-09 06:06:32)
15/1/17</t>
        </r>
      </text>
    </comment>
    <comment ref="Q140" authorId="0" shapeId="0" xr:uid="{00000000-0006-0000-0100-00004F000000}">
      <text>
        <r>
          <rPr>
            <sz val="11"/>
            <color theme="1"/>
            <rFont val="Calibri"/>
            <family val="2"/>
            <scheme val="minor"/>
          </rPr>
          <t>======
ID#AAAALoinMRI
Administrator    (2021-03-09 06:06:32)
15/1/17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HYHJrCuTxTVT6Sd6KtNvnnTxO6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5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======
ID#AAAALoinMgA
Administrator    (2021-03-09 06:06:32)
8/1/2017</t>
        </r>
      </text>
    </comment>
    <comment ref="E20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======
ID#AAAALoinMYs
Administrator    (2021-03-09 06:06:32)
10/1/17</t>
        </r>
      </text>
    </comment>
    <comment ref="E22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======
ID#AAAALoinMbE
Administrator    (2021-03-09 06:06:32)
7/1/2017</t>
        </r>
      </text>
    </comment>
    <comment ref="E3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======
ID#AAAALoinMf0
Administrator    (2021-03-09 06:06:32)
10/1/17</t>
        </r>
      </text>
    </comment>
    <comment ref="E33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======
ID#AAAALoinMgk
Administrator    (2021-03-09 06:06:32)
10/1/17</t>
        </r>
      </text>
    </comment>
    <comment ref="E34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======
ID#AAAALoinMXc
Administrator    (2021-03-09 06:06:32)
10/1/17</t>
        </r>
      </text>
    </comment>
    <comment ref="E35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======
ID#AAAALoinMTY
Administrator    (2021-03-09 06:06:32)
12/1/17</t>
        </r>
      </text>
    </comment>
    <comment ref="E36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======
ID#AAAALoinMb4
Administrator    (2021-03-09 06:06:32)
12/1/17</t>
        </r>
      </text>
    </comment>
    <comment ref="E37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======
ID#AAAALoinMaQ
Administrator    (2021-03-09 06:06:32)
12/1/17</t>
        </r>
      </text>
    </comment>
    <comment ref="E40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======
ID#AAAALoinMYw
Administrator    (2021-03-09 06:06:32)
12/1/17</t>
        </r>
      </text>
    </comment>
    <comment ref="E41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======
ID#AAAALoinMS8
Administrator    (2021-03-09 06:06:32)
12/1/17</t>
        </r>
      </text>
    </comment>
    <comment ref="Q41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======
ID#AAAALoinMVE
Administrator    (2021-03-09 06:06:32)
12/1/17</t>
        </r>
      </text>
    </comment>
    <comment ref="E42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======
ID#AAAALoinMTw
Administrator    (2021-03-09 06:06:32)
12/1/17</t>
        </r>
      </text>
    </comment>
    <comment ref="H42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======
ID#AAAALoinMU0
Administrator    (2021-03-09 06:06:32)
12/1/17</t>
        </r>
      </text>
    </comment>
    <comment ref="E43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======
ID#AAAALoinMgE
Administrator    (2021-03-09 06:06:32)
9/1/17</t>
        </r>
      </text>
    </comment>
    <comment ref="Q43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======
ID#AAAALoinMh8
Administrator    (2021-03-09 06:06:32)
9/1/17</t>
        </r>
      </text>
    </comment>
    <comment ref="E44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======
ID#AAAALoinMK0
Administrator    (2021-03-09 06:06:32)
9/1/17</t>
        </r>
      </text>
    </comment>
    <comment ref="E45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======
ID#AAAALoinMMQ
Administrator    (2021-03-09 06:06:32)
13/1/17</t>
        </r>
      </text>
    </comment>
    <comment ref="E46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======
ID#AAAALoinMa4
Administrator    (2021-03-09 06:06:32)
13/1/17</t>
        </r>
      </text>
    </comment>
    <comment ref="E47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======
ID#AAAALoinMWA
Administrator    (2021-03-09 06:06:32)
15/1/17</t>
        </r>
      </text>
    </comment>
    <comment ref="E48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======
ID#AAAALoinMRs
Administrator    (2021-03-09 06:06:32)
13/1/17</t>
        </r>
      </text>
    </comment>
    <comment ref="E49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======
ID#AAAALoinMOs
Administrator    (2021-03-09 06:06:32)
14/1/17</t>
        </r>
      </text>
    </comment>
    <comment ref="Q49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======
ID#AAAALoinMeg
Administrator    (2021-03-09 06:06:32)
14/1/17</t>
        </r>
      </text>
    </comment>
    <comment ref="E50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======
ID#AAAALoinMYM
Administrator    (2021-03-09 06:06:32)
15/1/17</t>
        </r>
      </text>
    </comment>
    <comment ref="Q50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======
ID#AAAALoinMaI
Administrator    (2021-03-09 06:06:32)
15/1/17</t>
        </r>
      </text>
    </comment>
    <comment ref="E51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======
ID#AAAALoinMOQ
Administrator    (2021-03-09 06:06:32)
15/1/17</t>
        </r>
      </text>
    </comment>
    <comment ref="Q51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======
ID#AAAALoinMOA
Administrator    (2021-03-09 06:06:32)
15/1/17</t>
        </r>
      </text>
    </comment>
    <comment ref="E52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======
ID#AAAALoinMUE
Administrator    (2021-03-09 06:06:32)
15/1/17</t>
        </r>
      </text>
    </comment>
    <comment ref="E53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======
ID#AAAALoinMTg
Administrator    (2021-03-09 06:06:32)
15/1/17</t>
        </r>
      </text>
    </comment>
    <comment ref="E54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======
ID#AAAALoinMZU
Administrator    (2021-03-09 06:06:32)
15/1/17</t>
        </r>
      </text>
    </comment>
    <comment ref="E55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======
ID#AAAALoinMfg
Administrator    (2021-03-09 06:06:32)
16/1/17</t>
        </r>
      </text>
    </comment>
    <comment ref="Q55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======
ID#AAAALoinMVU
Administrator    (2021-03-09 06:06:32)
16/1/17</t>
        </r>
      </text>
    </comment>
    <comment ref="E56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======
ID#AAAALoinMbU
Administrator    (2021-03-09 06:06:32)
16/1/17</t>
        </r>
      </text>
    </comment>
    <comment ref="E57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======
ID#AAAALoinMhI
Administrator    (2021-03-09 06:06:32)
16/1/17</t>
        </r>
      </text>
    </comment>
    <comment ref="E58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======
ID#AAAALoinMic
Administrator    (2021-03-09 06:06:32)
19/1/17</t>
        </r>
      </text>
    </comment>
    <comment ref="E60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======
ID#AAAALoinMPg
Administrator    (2021-03-09 06:06:32)
19/1/17</t>
        </r>
      </text>
    </comment>
    <comment ref="E61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======
ID#AAAALoinMeY
Administrator    (2021-03-09 06:06:32)
19/1/17</t>
        </r>
      </text>
    </comment>
    <comment ref="E6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ID#AAAALoinMjM
Administrator    (2021-03-09 06:06:32)
19/1/17</t>
        </r>
      </text>
    </comment>
    <comment ref="E63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======
ID#AAAALoinMbw
Administrator    (2021-03-09 06:06:32)
20/1/17</t>
        </r>
      </text>
    </comment>
    <comment ref="E64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======
ID#AAAALoinMcw
Administrator    (2021-03-09 06:06:32)
20/1/17</t>
        </r>
      </text>
    </comment>
    <comment ref="Q64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======
ID#AAAALoinMWc
Administrator    (2021-03-09 06:06:32)
20/1/2017</t>
        </r>
      </text>
    </comment>
    <comment ref="E65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======
ID#AAAALoinMbA
Administrator    (2021-03-09 06:06:32)
20/1/17</t>
        </r>
      </text>
    </comment>
    <comment ref="E66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======
ID#AAAALoinMLk
Administrator    (2021-03-09 06:06:32)
20/1/17</t>
        </r>
      </text>
    </comment>
    <comment ref="Q66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======
ID#AAAALoinMWQ
Administrator    (2021-03-09 06:06:32)
20/1/2017</t>
        </r>
      </text>
    </comment>
    <comment ref="E67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======
ID#AAAALoinMR8
Administrator    (2021-03-09 06:06:32)
20/1/17</t>
        </r>
      </text>
    </comment>
    <comment ref="E68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======
ID#AAAALoinMcA
Administrator    (2021-03-09 06:06:32)
20/1/17</t>
        </r>
      </text>
    </comment>
    <comment ref="E69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======
ID#AAAALoinMTU
Administrator    (2021-03-09 06:06:32)
20/1/17</t>
        </r>
      </text>
    </comment>
    <comment ref="E70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======
ID#AAAALoinMfQ
Administrator    (2021-03-09 06:06:32)
20/1/17</t>
        </r>
      </text>
    </comment>
    <comment ref="Q70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======
ID#AAAALoinMZg
Administrator    (2021-03-09 06:06:32)
20/1/2017</t>
        </r>
      </text>
    </comment>
    <comment ref="E71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======
ID#AAAALoinMPQ
Administrator    (2021-03-09 06:06:32)
20/1/17</t>
        </r>
      </text>
    </comment>
    <comment ref="Q71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======
ID#AAAALoinMQI
Administrator    (2021-03-09 06:06:32)
20/1/2017</t>
        </r>
      </text>
    </comment>
    <comment ref="E72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======
ID#AAAALoinMdA
Administrator    (2021-03-09 06:06:32)
20/1/17</t>
        </r>
      </text>
    </comment>
    <comment ref="E73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======
ID#AAAALoinMUU
Administrator    (2021-03-09 06:06:32)
20/1/17</t>
        </r>
      </text>
    </comment>
    <comment ref="E74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======
ID#AAAALoinMcs
Administrator    (2021-03-09 06:06:32)
20/1/17</t>
        </r>
      </text>
    </comment>
    <comment ref="E76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======
ID#AAAALoinMfE
Administrator    (2021-03-09 06:06:32)
21/1/17</t>
        </r>
      </text>
    </comment>
    <comment ref="E77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======
ID#AAAALoinMfM
Administrator    (2021-03-09 06:06:32)
22/1/17</t>
        </r>
      </text>
    </comment>
    <comment ref="Q77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======
ID#AAAALoinMdQ
Administrator    (2021-03-09 06:06:32)
22/1/17</t>
        </r>
      </text>
    </comment>
    <comment ref="E78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======
ID#AAAALoinMXM
Administrator    (2021-03-09 06:06:32)
22/1/17</t>
        </r>
      </text>
    </comment>
    <comment ref="E79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======
ID#AAAALoinMfU
Administrator    (2021-03-09 06:06:32)
22/1/17</t>
        </r>
      </text>
    </comment>
    <comment ref="E80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======
ID#AAAALoinMPE
Administrator    (2021-03-09 06:06:32)
22/1/17</t>
        </r>
      </text>
    </comment>
    <comment ref="E81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======
ID#AAAALoinMOE
Administrator    (2021-03-09 06:06:32)
22/1/17</t>
        </r>
      </text>
    </comment>
    <comment ref="Q81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======
ID#AAAALoinMRk
Administrator    (2021-03-09 06:06:32)
22/1/17</t>
        </r>
      </text>
    </comment>
    <comment ref="E82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======
ID#AAAALoinMMg
Administrator    (2021-03-09 06:06:32)
22/1/17</t>
        </r>
      </text>
    </comment>
    <comment ref="Q82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======
ID#AAAALoinMfc
Administrator    (2021-03-09 06:06:32)
22/1/17</t>
        </r>
      </text>
    </comment>
    <comment ref="E84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======
ID#AAAALoinMNw
Administrator    (2021-03-09 06:06:32)
24/1/17</t>
        </r>
      </text>
    </comment>
    <comment ref="E85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======
ID#AAAALoinMNg
Administrator    (2021-03-09 06:06:32)
24/1/17</t>
        </r>
      </text>
    </comment>
    <comment ref="E86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======
ID#AAAALoinMVg
Administrator    (2021-03-09 06:06:32)
24/1/17</t>
        </r>
      </text>
    </comment>
    <comment ref="E132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======
ID#AAAALoinMgc
Administrator    (2021-03-09 06:06:32)
14/1/17</t>
        </r>
      </text>
    </comment>
    <comment ref="E135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======
ID#AAAALoinMfI
Administrator    (2021-03-09 06:06:32)
13/1/17</t>
        </r>
      </text>
    </comment>
    <comment ref="Q135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======
ID#AAAALoinMZ0
Administrator    (2021-03-09 06:06:32)
13/1/17</t>
        </r>
      </text>
    </comment>
    <comment ref="E136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======
ID#AAAALoinMNc
Administrator    (2021-03-09 06:06:32)
15/1/17</t>
        </r>
      </text>
    </comment>
    <comment ref="E137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======
ID#AAAALoinMYI
Administrator    (2021-03-09 06:06:32)
20/1/17</t>
        </r>
      </text>
    </comment>
    <comment ref="E138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======
ID#AAAALoinMT4
Administrator    (2021-03-09 06:06:32)
20/1/17</t>
        </r>
      </text>
    </comment>
    <comment ref="E140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======
ID#AAAALoinMXo
Administrator    (2021-03-09 06:06:32)
15/1/17</t>
        </r>
      </text>
    </comment>
    <comment ref="Q140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======
ID#AAAALoinMUM
Administrator    (2021-03-09 06:06:32)
15/1/17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39lSKLVDjYDkaQ9FVGITgMSTxN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5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======
ID#AAAALoinMiE
Administrator    (2021-03-09 06:06:32)
8/1/2017</t>
        </r>
      </text>
    </comment>
    <comment ref="E20" authorId="0" shapeId="0" xr:uid="{00000000-0006-0000-0300-000042000000}">
      <text>
        <r>
          <rPr>
            <sz val="11"/>
            <color theme="1"/>
            <rFont val="Calibri"/>
            <family val="2"/>
            <scheme val="minor"/>
          </rPr>
          <t>======
ID#AAAALoinMM8
Administrator    (2021-03-09 06:06:32)
10/1/17</t>
        </r>
      </text>
    </comment>
    <comment ref="E22" authorId="0" shapeId="0" xr:uid="{00000000-0006-0000-0300-00001E000000}">
      <text>
        <r>
          <rPr>
            <sz val="11"/>
            <color theme="1"/>
            <rFont val="Calibri"/>
            <family val="2"/>
            <scheme val="minor"/>
          </rPr>
          <t>======
ID#AAAALoinMZE
Administrator    (2021-03-09 06:06:32)
7/1/2017</t>
        </r>
      </text>
    </comment>
    <comment ref="E31" authorId="0" shapeId="0" xr:uid="{00000000-0006-0000-0300-00003E000000}">
      <text>
        <r>
          <rPr>
            <sz val="11"/>
            <color theme="1"/>
            <rFont val="Calibri"/>
            <family val="2"/>
            <scheme val="minor"/>
          </rPr>
          <t>======
ID#AAAALoinMN0
Administrator    (2021-03-09 06:06:32)
10/1/17</t>
        </r>
      </text>
    </comment>
    <comment ref="E33" authorId="0" shapeId="0" xr:uid="{00000000-0006-0000-0300-00001A000000}">
      <text>
        <r>
          <rPr>
            <sz val="11"/>
            <color theme="1"/>
            <rFont val="Calibri"/>
            <family val="2"/>
            <scheme val="minor"/>
          </rPr>
          <t>======
ID#AAAALoinMcE
Administrator    (2021-03-09 06:06:32)
10/1/17</t>
        </r>
      </text>
    </comment>
    <comment ref="E34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======
ID#AAAALoinMfs
Administrator    (2021-03-09 06:06:32)
10/1/17</t>
        </r>
      </text>
    </comment>
    <comment ref="E35" authorId="0" shapeId="0" xr:uid="{00000000-0006-0000-0300-000036000000}">
      <text>
        <r>
          <rPr>
            <sz val="11"/>
            <color theme="1"/>
            <rFont val="Calibri"/>
            <family val="2"/>
            <scheme val="minor"/>
          </rPr>
          <t>======
ID#AAAALoinMPI
Administrator    (2021-03-09 06:06:32)
12/1/17</t>
        </r>
      </text>
    </comment>
    <comment ref="E36" authorId="0" shapeId="0" xr:uid="{00000000-0006-0000-0300-000018000000}">
      <text>
        <r>
          <rPr>
            <sz val="11"/>
            <color theme="1"/>
            <rFont val="Calibri"/>
            <family val="2"/>
            <scheme val="minor"/>
          </rPr>
          <t>======
ID#AAAALoinMcI
Administrator    (2021-03-09 06:06:32)
12/1/17</t>
        </r>
      </text>
    </comment>
    <comment ref="E37" authorId="0" shapeId="0" xr:uid="{00000000-0006-0000-0300-00003B000000}">
      <text>
        <r>
          <rPr>
            <sz val="11"/>
            <color theme="1"/>
            <rFont val="Calibri"/>
            <family val="2"/>
            <scheme val="minor"/>
          </rPr>
          <t>======
ID#AAAALoinMOI
Administrator    (2021-03-09 06:06:32)
12/1/17</t>
        </r>
      </text>
    </comment>
    <comment ref="E40" authorId="0" shapeId="0" xr:uid="{00000000-0006-0000-0300-000013000000}">
      <text>
        <r>
          <rPr>
            <sz val="11"/>
            <color theme="1"/>
            <rFont val="Calibri"/>
            <family val="2"/>
            <scheme val="minor"/>
          </rPr>
          <t>======
ID#AAAALoinMeA
Administrator    (2021-03-09 06:06:32)
12/1/17</t>
        </r>
      </text>
    </comment>
    <comment ref="Q40" authorId="0" shapeId="0" xr:uid="{00000000-0006-0000-0300-000010000000}">
      <text>
        <r>
          <rPr>
            <sz val="11"/>
            <color theme="1"/>
            <rFont val="Calibri"/>
            <family val="2"/>
            <scheme val="minor"/>
          </rPr>
          <t>======
ID#AAAALoinMe4
Administrator    (2021-03-09 06:06:32)
12/1/17</t>
        </r>
      </text>
    </comment>
    <comment ref="E41" authorId="0" shapeId="0" xr:uid="{00000000-0006-0000-0300-00001B000000}">
      <text>
        <r>
          <rPr>
            <sz val="11"/>
            <color theme="1"/>
            <rFont val="Calibri"/>
            <family val="2"/>
            <scheme val="minor"/>
          </rPr>
          <t>======
ID#AAAALoinMb8
Administrator    (2021-03-09 06:06:32)
12/1/17</t>
        </r>
      </text>
    </comment>
    <comment ref="E42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======
ID#AAAALoinMiI
Administrator    (2021-03-09 06:06:32)
12/1/17</t>
        </r>
      </text>
    </comment>
    <comment ref="H42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======
ID#AAAALoinMiU
Administrator    (2021-03-09 06:06:32)
12/1/17</t>
        </r>
      </text>
    </comment>
    <comment ref="E43" authorId="0" shapeId="0" xr:uid="{00000000-0006-0000-0300-000029000000}">
      <text>
        <r>
          <rPr>
            <sz val="11"/>
            <color theme="1"/>
            <rFont val="Calibri"/>
            <family val="2"/>
            <scheme val="minor"/>
          </rPr>
          <t>======
ID#AAAALoinMVQ
Administrator    (2021-03-09 06:06:32)
9/1/17</t>
        </r>
      </text>
    </comment>
    <comment ref="E44" authorId="0" shapeId="0" xr:uid="{00000000-0006-0000-0300-000014000000}">
      <text>
        <r>
          <rPr>
            <sz val="11"/>
            <color theme="1"/>
            <rFont val="Calibri"/>
            <family val="2"/>
            <scheme val="minor"/>
          </rPr>
          <t>======
ID#AAAALoinMdo
Administrator    (2021-03-09 06:06:32)
9/1/17</t>
        </r>
      </text>
    </comment>
    <comment ref="Q44" authorId="0" shapeId="0" xr:uid="{00000000-0006-0000-0300-00002D000000}">
      <text>
        <r>
          <rPr>
            <sz val="11"/>
            <color theme="1"/>
            <rFont val="Calibri"/>
            <family val="2"/>
            <scheme val="minor"/>
          </rPr>
          <t>======
ID#AAAALoinMTc
Administrator    (2021-03-09 06:06:32)
9/1/17</t>
        </r>
      </text>
    </comment>
    <comment ref="E45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======
ID#AAAALoinMis
Administrator    (2021-03-09 06:06:32)
13/1/17</t>
        </r>
      </text>
    </comment>
    <comment ref="E46" authorId="0" shapeId="0" xr:uid="{00000000-0006-0000-0300-00002C000000}">
      <text>
        <r>
          <rPr>
            <sz val="11"/>
            <color theme="1"/>
            <rFont val="Calibri"/>
            <family val="2"/>
            <scheme val="minor"/>
          </rPr>
          <t>======
ID#AAAALoinMUg
Administrator    (2021-03-09 06:06:32)
13/1/17</t>
        </r>
      </text>
    </comment>
    <comment ref="E47" authorId="0" shapeId="0" xr:uid="{00000000-0006-0000-0300-00001C000000}">
      <text>
        <r>
          <rPr>
            <sz val="11"/>
            <color theme="1"/>
            <rFont val="Calibri"/>
            <family val="2"/>
            <scheme val="minor"/>
          </rPr>
          <t>======
ID#AAAALoinMag
Administrator    (2021-03-09 06:06:32)
15/1/17</t>
        </r>
      </text>
    </comment>
    <comment ref="E48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======
ID#AAAALoinMjo
Administrator    (2021-03-09 06:06:32)
13/1/17</t>
        </r>
      </text>
    </comment>
    <comment ref="E49" authorId="0" shapeId="0" xr:uid="{00000000-0006-0000-0300-000024000000}">
      <text>
        <r>
          <rPr>
            <sz val="11"/>
            <color theme="1"/>
            <rFont val="Calibri"/>
            <family val="2"/>
            <scheme val="minor"/>
          </rPr>
          <t>======
ID#AAAALoinMX0
Administrator    (2021-03-09 06:06:32)
14/1/17</t>
        </r>
      </text>
    </comment>
    <comment ref="E50" authorId="0" shapeId="0" xr:uid="{00000000-0006-0000-0300-00002E000000}">
      <text>
        <r>
          <rPr>
            <sz val="11"/>
            <color theme="1"/>
            <rFont val="Calibri"/>
            <family val="2"/>
            <scheme val="minor"/>
          </rPr>
          <t>======
ID#AAAALoinMTI
Administrator    (2021-03-09 06:06:32)
15/1/17</t>
        </r>
      </text>
    </comment>
    <comment ref="Q50" authorId="0" shapeId="0" xr:uid="{00000000-0006-0000-0300-000031000000}">
      <text>
        <r>
          <rPr>
            <sz val="11"/>
            <color theme="1"/>
            <rFont val="Calibri"/>
            <family val="2"/>
            <scheme val="minor"/>
          </rPr>
          <t>======
ID#AAAALoinMSY
Administrator    (2021-03-09 06:06:32)
15/1/17</t>
        </r>
      </text>
    </comment>
    <comment ref="E51" authorId="0" shapeId="0" xr:uid="{00000000-0006-0000-0300-000048000000}">
      <text>
        <r>
          <rPr>
            <sz val="11"/>
            <color theme="1"/>
            <rFont val="Calibri"/>
            <family val="2"/>
            <scheme val="minor"/>
          </rPr>
          <t>======
ID#AAAALoinMKY
Administrator    (2021-03-09 06:06:32)
15/1/17</t>
        </r>
      </text>
    </comment>
    <comment ref="Q51" authorId="0" shapeId="0" xr:uid="{00000000-0006-0000-0300-000023000000}">
      <text>
        <r>
          <rPr>
            <sz val="11"/>
            <color theme="1"/>
            <rFont val="Calibri"/>
            <family val="2"/>
            <scheme val="minor"/>
          </rPr>
          <t>======
ID#AAAALoinMYc
Administrator    (2021-03-09 06:06:32)
15/1/17</t>
        </r>
      </text>
    </comment>
    <comment ref="E52" authorId="0" shapeId="0" xr:uid="{00000000-0006-0000-0300-000012000000}">
      <text>
        <r>
          <rPr>
            <sz val="11"/>
            <color theme="1"/>
            <rFont val="Calibri"/>
            <family val="2"/>
            <scheme val="minor"/>
          </rPr>
          <t>======
ID#AAAALoinMeI
Administrator    (2021-03-09 06:06:32)
15/1/17</t>
        </r>
      </text>
    </comment>
    <comment ref="E53" authorId="0" shapeId="0" xr:uid="{00000000-0006-0000-0300-000028000000}">
      <text>
        <r>
          <rPr>
            <sz val="11"/>
            <color theme="1"/>
            <rFont val="Calibri"/>
            <family val="2"/>
            <scheme val="minor"/>
          </rPr>
          <t>======
ID#AAAALoinMVk
Administrator    (2021-03-09 06:06:32)
15/1/17</t>
        </r>
      </text>
    </comment>
    <comment ref="E54" authorId="0" shapeId="0" xr:uid="{00000000-0006-0000-0300-000045000000}">
      <text>
        <r>
          <rPr>
            <sz val="11"/>
            <color theme="1"/>
            <rFont val="Calibri"/>
            <family val="2"/>
            <scheme val="minor"/>
          </rPr>
          <t>======
ID#AAAALoinMLY
Administrator    (2021-03-09 06:06:32)
15/1/17</t>
        </r>
      </text>
    </comment>
    <comment ref="E55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======
ID#AAAALoinMgU
Administrator    (2021-03-09 06:06:32)
16/1/17</t>
        </r>
      </text>
    </comment>
    <comment ref="E56" authorId="0" shapeId="0" xr:uid="{00000000-0006-0000-0300-00001F000000}">
      <text>
        <r>
          <rPr>
            <sz val="11"/>
            <color theme="1"/>
            <rFont val="Calibri"/>
            <family val="2"/>
            <scheme val="minor"/>
          </rPr>
          <t>======
ID#AAAALoinMZM
Administrator    (2021-03-09 06:06:32)
16/1/17</t>
        </r>
      </text>
    </comment>
    <comment ref="E57" authorId="0" shapeId="0" xr:uid="{00000000-0006-0000-0300-000043000000}">
      <text>
        <r>
          <rPr>
            <sz val="11"/>
            <color theme="1"/>
            <rFont val="Calibri"/>
            <family val="2"/>
            <scheme val="minor"/>
          </rPr>
          <t>======
ID#AAAALoinMMc
Administrator    (2021-03-09 06:06:32)
16/1/17</t>
        </r>
      </text>
    </comment>
    <comment ref="E58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======
ID#AAAALoinMi4
Administrator    (2021-03-09 06:06:32)
19/1/17</t>
        </r>
      </text>
    </comment>
    <comment ref="E60" authorId="0" shapeId="0" xr:uid="{00000000-0006-0000-0300-000019000000}">
      <text>
        <r>
          <rPr>
            <sz val="11"/>
            <color theme="1"/>
            <rFont val="Calibri"/>
            <family val="2"/>
            <scheme val="minor"/>
          </rPr>
          <t>======
ID#AAAALoinMcQ
Administrator    (2021-03-09 06:06:32)
19/1/17</t>
        </r>
      </text>
    </comment>
    <comment ref="E61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======
ID#AAAALoinMe0
Administrator    (2021-03-09 06:06:32)
19/1/17</t>
        </r>
      </text>
    </comment>
    <comment ref="E62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======
ID#AAAALoinMhM
Administrator    (2021-03-09 06:06:32)
19/1/17</t>
        </r>
      </text>
    </comment>
    <comment ref="E63" authorId="0" shapeId="0" xr:uid="{00000000-0006-0000-0300-00002A000000}">
      <text>
        <r>
          <rPr>
            <sz val="11"/>
            <color theme="1"/>
            <rFont val="Calibri"/>
            <family val="2"/>
            <scheme val="minor"/>
          </rPr>
          <t>======
ID#AAAALoinMU8
Administrator    (2021-03-09 06:06:32)
20/1/17</t>
        </r>
      </text>
    </comment>
    <comment ref="E64" authorId="0" shapeId="0" xr:uid="{00000000-0006-0000-0300-000039000000}">
      <text>
        <r>
          <rPr>
            <sz val="11"/>
            <color theme="1"/>
            <rFont val="Calibri"/>
            <family val="2"/>
            <scheme val="minor"/>
          </rPr>
          <t>======
ID#AAAALoinMO8
Administrator    (2021-03-09 06:06:32)
20/1/17</t>
        </r>
      </text>
    </comment>
    <comment ref="Q64" authorId="0" shapeId="0" xr:uid="{00000000-0006-0000-0300-00003C000000}">
      <text>
        <r>
          <rPr>
            <sz val="11"/>
            <color theme="1"/>
            <rFont val="Calibri"/>
            <family val="2"/>
            <scheme val="minor"/>
          </rPr>
          <t>======
ID#AAAALoinMOM
Administrator    (2021-03-09 06:06:32)
20/1/2017</t>
        </r>
      </text>
    </comment>
    <comment ref="E65" authorId="0" shapeId="0" xr:uid="{00000000-0006-0000-0300-000038000000}">
      <text>
        <r>
          <rPr>
            <sz val="11"/>
            <color theme="1"/>
            <rFont val="Calibri"/>
            <family val="2"/>
            <scheme val="minor"/>
          </rPr>
          <t>======
ID#AAAALoinMPA
Administrator    (2021-03-09 06:06:32)
20/1/17</t>
        </r>
      </text>
    </comment>
    <comment ref="E66" authorId="0" shapeId="0" xr:uid="{00000000-0006-0000-0300-000020000000}">
      <text>
        <r>
          <rPr>
            <sz val="11"/>
            <color theme="1"/>
            <rFont val="Calibri"/>
            <family val="2"/>
            <scheme val="minor"/>
          </rPr>
          <t>======
ID#AAAALoinMY4
Administrator    (2021-03-09 06:06:32)
20/1/17</t>
        </r>
      </text>
    </comment>
    <comment ref="E67" authorId="0" shapeId="0" xr:uid="{00000000-0006-0000-0300-000049000000}">
      <text>
        <r>
          <rPr>
            <sz val="11"/>
            <color theme="1"/>
            <rFont val="Calibri"/>
            <family val="2"/>
            <scheme val="minor"/>
          </rPr>
          <t>======
ID#AAAALoinMKc
Administrator    (2021-03-09 06:06:32)
20/1/17</t>
        </r>
      </text>
    </comment>
    <comment ref="E68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======
ID#AAAALoinMfw
Administrator    (2021-03-09 06:06:32)
20/1/17</t>
        </r>
      </text>
    </comment>
    <comment ref="E69" authorId="0" shapeId="0" xr:uid="{00000000-0006-0000-0300-00002F000000}">
      <text>
        <r>
          <rPr>
            <sz val="11"/>
            <color theme="1"/>
            <rFont val="Calibri"/>
            <family val="2"/>
            <scheme val="minor"/>
          </rPr>
          <t>======
ID#AAAALoinMTE
Administrator    (2021-03-09 06:06:32)
20/1/17</t>
        </r>
      </text>
    </comment>
    <comment ref="Q69" authorId="0" shapeId="0" xr:uid="{00000000-0006-0000-0300-00003A000000}">
      <text>
        <r>
          <rPr>
            <sz val="11"/>
            <color theme="1"/>
            <rFont val="Calibri"/>
            <family val="2"/>
            <scheme val="minor"/>
          </rPr>
          <t>======
ID#AAAALoinMOg
Administrator    (2021-03-09 06:06:32)
20/1/2017</t>
        </r>
      </text>
    </comment>
    <comment ref="E70" authorId="0" shapeId="0" xr:uid="{00000000-0006-0000-0300-000015000000}">
      <text>
        <r>
          <rPr>
            <sz val="11"/>
            <color theme="1"/>
            <rFont val="Calibri"/>
            <family val="2"/>
            <scheme val="minor"/>
          </rPr>
          <t>======
ID#AAAALoinMdE
Administrator    (2021-03-09 06:06:32)
20/1/17</t>
        </r>
      </text>
    </comment>
    <comment ref="Q70" authorId="0" shapeId="0" xr:uid="{00000000-0006-0000-0300-000030000000}">
      <text>
        <r>
          <rPr>
            <sz val="11"/>
            <color theme="1"/>
            <rFont val="Calibri"/>
            <family val="2"/>
            <scheme val="minor"/>
          </rPr>
          <t>======
ID#AAAALoinMSc
Administrator    (2021-03-09 06:06:32)
20/1/2017</t>
        </r>
      </text>
    </comment>
    <comment ref="E71" authorId="0" shapeId="0" xr:uid="{00000000-0006-0000-0300-000035000000}">
      <text>
        <r>
          <rPr>
            <sz val="11"/>
            <color theme="1"/>
            <rFont val="Calibri"/>
            <family val="2"/>
            <scheme val="minor"/>
          </rPr>
          <t>======
ID#AAAALoinMP8
Administrator    (2021-03-09 06:06:32)
20/1/17</t>
        </r>
      </text>
    </comment>
    <comment ref="E72" authorId="0" shapeId="0" xr:uid="{00000000-0006-0000-0300-000041000000}">
      <text>
        <r>
          <rPr>
            <sz val="11"/>
            <color theme="1"/>
            <rFont val="Calibri"/>
            <family val="2"/>
            <scheme val="minor"/>
          </rPr>
          <t>======
ID#AAAALoinMNQ
Administrator    (2021-03-09 06:06:32)
20/1/17</t>
        </r>
      </text>
    </comment>
    <comment ref="E73" authorId="0" shapeId="0" xr:uid="{00000000-0006-0000-0300-000011000000}">
      <text>
        <r>
          <rPr>
            <sz val="11"/>
            <color theme="1"/>
            <rFont val="Calibri"/>
            <family val="2"/>
            <scheme val="minor"/>
          </rPr>
          <t>======
ID#AAAALoinMek
Administrator    (2021-03-09 06:06:32)
20/1/17</t>
        </r>
      </text>
    </comment>
    <comment ref="E74" authorId="0" shapeId="0" xr:uid="{00000000-0006-0000-0300-00003D000000}">
      <text>
        <r>
          <rPr>
            <sz val="11"/>
            <color theme="1"/>
            <rFont val="Calibri"/>
            <family val="2"/>
            <scheme val="minor"/>
          </rPr>
          <t>======
ID#AAAALoinMN8
Administrator    (2021-03-09 06:06:32)
20/1/17</t>
        </r>
      </text>
    </comment>
    <comment ref="E76" authorId="0" shapeId="0" xr:uid="{00000000-0006-0000-0300-000046000000}">
      <text>
        <r>
          <rPr>
            <sz val="11"/>
            <color theme="1"/>
            <rFont val="Calibri"/>
            <family val="2"/>
            <scheme val="minor"/>
          </rPr>
          <t>======
ID#AAAALoinMLI
Administrator    (2021-03-09 06:06:32)
21/1/17</t>
        </r>
      </text>
    </comment>
    <comment ref="E77" authorId="0" shapeId="0" xr:uid="{00000000-0006-0000-0300-00003F000000}">
      <text>
        <r>
          <rPr>
            <sz val="11"/>
            <color theme="1"/>
            <rFont val="Calibri"/>
            <family val="2"/>
            <scheme val="minor"/>
          </rPr>
          <t>======
ID#AAAALoinMNs
Administrator    (2021-03-09 06:06:32)
22/1/17</t>
        </r>
      </text>
    </comment>
    <comment ref="Q77" authorId="0" shapeId="0" xr:uid="{00000000-0006-0000-0300-000027000000}">
      <text>
        <r>
          <rPr>
            <sz val="11"/>
            <color theme="1"/>
            <rFont val="Calibri"/>
            <family val="2"/>
            <scheme val="minor"/>
          </rPr>
          <t>======
ID#AAAALoinMWE
Administrator    (2021-03-09 06:06:32)
22/1/17</t>
        </r>
      </text>
    </comment>
    <comment ref="E78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======
ID#AAAALoinMfo
Administrator    (2021-03-09 06:06:32)
22/1/17</t>
        </r>
      </text>
    </comment>
    <comment ref="E79" authorId="0" shapeId="0" xr:uid="{00000000-0006-0000-0300-000032000000}">
      <text>
        <r>
          <rPr>
            <sz val="11"/>
            <color theme="1"/>
            <rFont val="Calibri"/>
            <family val="2"/>
            <scheme val="minor"/>
          </rPr>
          <t>======
ID#AAAALoinMRw
Administrator    (2021-03-09 06:06:32)
22/1/17</t>
        </r>
      </text>
    </comment>
    <comment ref="E80" authorId="0" shapeId="0" xr:uid="{00000000-0006-0000-0300-000033000000}">
      <text>
        <r>
          <rPr>
            <sz val="11"/>
            <color theme="1"/>
            <rFont val="Calibri"/>
            <family val="2"/>
            <scheme val="minor"/>
          </rPr>
          <t>======
ID#AAAALoinMRo
Administrator    (2021-03-09 06:06:32)
22/1/17</t>
        </r>
      </text>
    </comment>
    <comment ref="E81" authorId="0" shapeId="0" xr:uid="{00000000-0006-0000-0300-000044000000}">
      <text>
        <r>
          <rPr>
            <sz val="11"/>
            <color theme="1"/>
            <rFont val="Calibri"/>
            <family val="2"/>
            <scheme val="minor"/>
          </rPr>
          <t>======
ID#AAAALoinML0
Administrator    (2021-03-09 06:06:32)
22/1/17</t>
        </r>
      </text>
    </comment>
    <comment ref="Q81" authorId="0" shapeId="0" xr:uid="{00000000-0006-0000-0300-000026000000}">
      <text>
        <r>
          <rPr>
            <sz val="11"/>
            <color theme="1"/>
            <rFont val="Calibri"/>
            <family val="2"/>
            <scheme val="minor"/>
          </rPr>
          <t>======
ID#AAAALoinMWw
Administrator    (2021-03-09 06:06:32)
22/1/17</t>
        </r>
      </text>
    </comment>
    <comment ref="E82" authorId="0" shapeId="0" xr:uid="{00000000-0006-0000-0300-00002B000000}">
      <text>
        <r>
          <rPr>
            <sz val="11"/>
            <color theme="1"/>
            <rFont val="Calibri"/>
            <family val="2"/>
            <scheme val="minor"/>
          </rPr>
          <t>======
ID#AAAALoinMUo
Administrator    (2021-03-09 06:06:32)
22/1/17</t>
        </r>
      </text>
    </comment>
    <comment ref="Q82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======
ID#AAAALoinMjQ
Administrator    (2021-03-09 06:06:32)
22/1/17</t>
        </r>
      </text>
    </comment>
    <comment ref="E84" authorId="0" shapeId="0" xr:uid="{00000000-0006-0000-0300-000022000000}">
      <text>
        <r>
          <rPr>
            <sz val="11"/>
            <color theme="1"/>
            <rFont val="Calibri"/>
            <family val="2"/>
            <scheme val="minor"/>
          </rPr>
          <t>======
ID#AAAALoinMYY
Administrator    (2021-03-09 06:06:32)
24/1/17</t>
        </r>
      </text>
    </comment>
    <comment ref="E85" authorId="0" shapeId="0" xr:uid="{00000000-0006-0000-0300-000037000000}">
      <text>
        <r>
          <rPr>
            <sz val="11"/>
            <color theme="1"/>
            <rFont val="Calibri"/>
            <family val="2"/>
            <scheme val="minor"/>
          </rPr>
          <t>======
ID#AAAALoinMPM
Administrator    (2021-03-09 06:06:32)
24/1/17</t>
        </r>
      </text>
    </comment>
    <comment ref="E86" authorId="0" shapeId="0" xr:uid="{00000000-0006-0000-0300-000017000000}">
      <text>
        <r>
          <rPr>
            <sz val="11"/>
            <color theme="1"/>
            <rFont val="Calibri"/>
            <family val="2"/>
            <scheme val="minor"/>
          </rPr>
          <t>======
ID#AAAALoinMcc
Administrator    (2021-03-09 06:06:32)
24/1/17</t>
        </r>
      </text>
    </comment>
    <comment ref="E132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======
ID#AAAALoinMiA
Administrator    (2021-03-09 06:06:32)
14/1/17</t>
        </r>
      </text>
    </comment>
    <comment ref="Q132" authorId="0" shapeId="0" xr:uid="{00000000-0006-0000-0300-000047000000}">
      <text>
        <r>
          <rPr>
            <sz val="11"/>
            <color theme="1"/>
            <rFont val="Calibri"/>
            <family val="2"/>
            <scheme val="minor"/>
          </rPr>
          <t>======
ID#AAAALoinMKk
Administrator    (2021-03-09 06:06:32)
14/1/17</t>
        </r>
      </text>
    </comment>
    <comment ref="E135" authorId="0" shapeId="0" xr:uid="{00000000-0006-0000-0300-000040000000}">
      <text>
        <r>
          <rPr>
            <sz val="11"/>
            <color theme="1"/>
            <rFont val="Calibri"/>
            <family val="2"/>
            <scheme val="minor"/>
          </rPr>
          <t>======
ID#AAAALoinMNI
Administrator    (2021-03-09 06:06:32)
13/1/17</t>
        </r>
      </text>
    </comment>
    <comment ref="Q135" authorId="0" shapeId="0" xr:uid="{00000000-0006-0000-0300-000025000000}">
      <text>
        <r>
          <rPr>
            <sz val="11"/>
            <color theme="1"/>
            <rFont val="Calibri"/>
            <family val="2"/>
            <scheme val="minor"/>
          </rPr>
          <t>======
ID#AAAALoinMXg
Administrator    (2021-03-09 06:06:32)
13/1/17</t>
        </r>
      </text>
    </comment>
    <comment ref="E136" authorId="0" shapeId="0" xr:uid="{00000000-0006-0000-0300-000034000000}">
      <text>
        <r>
          <rPr>
            <sz val="11"/>
            <color theme="1"/>
            <rFont val="Calibri"/>
            <family val="2"/>
            <scheme val="minor"/>
          </rPr>
          <t>======
ID#AAAALoinMQ4
Administrator    (2021-03-09 06:06:32)
15/1/17</t>
        </r>
      </text>
    </comment>
    <comment ref="E137" authorId="0" shapeId="0" xr:uid="{00000000-0006-0000-0300-00001D000000}">
      <text>
        <r>
          <rPr>
            <sz val="11"/>
            <color theme="1"/>
            <rFont val="Calibri"/>
            <family val="2"/>
            <scheme val="minor"/>
          </rPr>
          <t>======
ID#AAAALoinMak
Administrator    (2021-03-09 06:06:32)
20/1/17</t>
        </r>
      </text>
    </comment>
    <comment ref="E138" authorId="0" shapeId="0" xr:uid="{00000000-0006-0000-0300-000021000000}">
      <text>
        <r>
          <rPr>
            <sz val="11"/>
            <color theme="1"/>
            <rFont val="Calibri"/>
            <family val="2"/>
            <scheme val="minor"/>
          </rPr>
          <t>======
ID#AAAALoinMYU
Administrator    (2021-03-09 06:06:32)
20/1/17</t>
        </r>
      </text>
    </comment>
    <comment ref="E140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======
ID#AAAALoinMiw
Administrator    (2021-03-09 06:06:32)
15/1/17</t>
        </r>
      </text>
    </comment>
    <comment ref="Q140" authorId="0" shapeId="0" xr:uid="{00000000-0006-0000-0300-000016000000}">
      <text>
        <r>
          <rPr>
            <sz val="11"/>
            <color theme="1"/>
            <rFont val="Calibri"/>
            <family val="2"/>
            <scheme val="minor"/>
          </rPr>
          <t>======
ID#AAAALoinMc4
Administrator    (2021-03-09 06:06:32)
15/1/17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I+ZveyoRkuXOq0DLspogjOg9fEA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5" authorId="0" shapeId="0" xr:uid="{00000000-0006-0000-0400-00001B000000}">
      <text>
        <r>
          <rPr>
            <sz val="11"/>
            <color theme="1"/>
            <rFont val="Calibri"/>
            <family val="2"/>
            <scheme val="minor"/>
          </rPr>
          <t>======
ID#AAAALoinMbo
Administrator    (2021-03-09 06:06:32)
8/1/2017</t>
        </r>
      </text>
    </comment>
    <comment ref="E20" authorId="0" shapeId="0" xr:uid="{00000000-0006-0000-0400-00001D000000}">
      <text>
        <r>
          <rPr>
            <sz val="11"/>
            <color theme="1"/>
            <rFont val="Calibri"/>
            <family val="2"/>
            <scheme val="minor"/>
          </rPr>
          <t>======
ID#AAAALoinMbQ
Administrator    (2021-03-09 06:06:32)
10/1/17</t>
        </r>
      </text>
    </comment>
    <comment ref="E22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======
ID#AAAALoinMjA
Administrator    (2021-03-09 06:06:32)
7/1/2017</t>
        </r>
      </text>
    </comment>
    <comment ref="E31" authorId="0" shapeId="0" xr:uid="{00000000-0006-0000-0400-000026000000}">
      <text>
        <r>
          <rPr>
            <sz val="11"/>
            <color theme="1"/>
            <rFont val="Calibri"/>
            <family val="2"/>
            <scheme val="minor"/>
          </rPr>
          <t>======
ID#AAAALoinMZA
Administrator    (2021-03-09 06:06:32)
10/1/17</t>
        </r>
      </text>
    </comment>
    <comment ref="E33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======
ID#AAAALoinMjw
Administrator    (2021-03-09 06:06:32)
10/1/17</t>
        </r>
      </text>
    </comment>
    <comment ref="E34" authorId="0" shapeId="0" xr:uid="{00000000-0006-0000-0400-000021000000}">
      <text>
        <r>
          <rPr>
            <sz val="11"/>
            <color theme="1"/>
            <rFont val="Calibri"/>
            <family val="2"/>
            <scheme val="minor"/>
          </rPr>
          <t>======
ID#AAAALoinMaA
Administrator    (2021-03-09 06:06:32)
10/1/17</t>
        </r>
      </text>
    </comment>
    <comment ref="E35" authorId="0" shapeId="0" xr:uid="{00000000-0006-0000-0400-00000F000000}">
      <text>
        <r>
          <rPr>
            <sz val="11"/>
            <color theme="1"/>
            <rFont val="Calibri"/>
            <family val="2"/>
            <scheme val="minor"/>
          </rPr>
          <t>======
ID#AAAALoinMgs
Administrator    (2021-03-09 06:06:32)
12/1/17</t>
        </r>
      </text>
    </comment>
    <comment ref="E36" authorId="0" shapeId="0" xr:uid="{00000000-0006-0000-0400-000049000000}">
      <text>
        <r>
          <rPr>
            <sz val="11"/>
            <color theme="1"/>
            <rFont val="Calibri"/>
            <family val="2"/>
            <scheme val="minor"/>
          </rPr>
          <t>======
ID#AAAALoinMMw
Administrator    (2021-03-09 06:06:32)
12/1/17</t>
        </r>
      </text>
    </comment>
    <comment ref="E37" authorId="0" shapeId="0" xr:uid="{00000000-0006-0000-0400-000030000000}">
      <text>
        <r>
          <rPr>
            <sz val="11"/>
            <color theme="1"/>
            <rFont val="Calibri"/>
            <family val="2"/>
            <scheme val="minor"/>
          </rPr>
          <t>======
ID#AAAALoinMVc
Administrator    (2021-03-09 06:06:32)
12/1/17</t>
        </r>
      </text>
    </comment>
    <comment ref="E40" authorId="0" shapeId="0" xr:uid="{00000000-0006-0000-0400-00002D000000}">
      <text>
        <r>
          <rPr>
            <sz val="11"/>
            <color theme="1"/>
            <rFont val="Calibri"/>
            <family val="2"/>
            <scheme val="minor"/>
          </rPr>
          <t>======
ID#AAAALoinMWM
Administrator    (2021-03-09 06:06:32)
12/1/17</t>
        </r>
      </text>
    </comment>
    <comment ref="Q40" authorId="0" shapeId="0" xr:uid="{00000000-0006-0000-0400-000034000000}">
      <text>
        <r>
          <rPr>
            <sz val="11"/>
            <color theme="1"/>
            <rFont val="Calibri"/>
            <family val="2"/>
            <scheme val="minor"/>
          </rPr>
          <t>======
ID#AAAALoinMUA
Administrator    (2021-03-09 06:06:32)
12/1/17</t>
        </r>
      </text>
    </comment>
    <comment ref="E41" authorId="0" shapeId="0" xr:uid="{00000000-0006-0000-0400-000013000000}">
      <text>
        <r>
          <rPr>
            <sz val="11"/>
            <color theme="1"/>
            <rFont val="Calibri"/>
            <family val="2"/>
            <scheme val="minor"/>
          </rPr>
          <t>======
ID#AAAALoinMes
Administrator    (2021-03-09 06:06:32)
12/1/17</t>
        </r>
      </text>
    </comment>
    <comment ref="E42" authorId="0" shapeId="0" xr:uid="{00000000-0006-0000-0400-000032000000}">
      <text>
        <r>
          <rPr>
            <sz val="11"/>
            <color theme="1"/>
            <rFont val="Calibri"/>
            <family val="2"/>
            <scheme val="minor"/>
          </rPr>
          <t>======
ID#AAAALoinMUk
Administrator    (2021-03-09 06:06:32)
12/1/17</t>
        </r>
      </text>
    </comment>
    <comment ref="H42" authorId="0" shapeId="0" xr:uid="{00000000-0006-0000-0400-000047000000}">
      <text>
        <r>
          <rPr>
            <sz val="11"/>
            <color theme="1"/>
            <rFont val="Calibri"/>
            <family val="2"/>
            <scheme val="minor"/>
          </rPr>
          <t>======
ID#AAAALoinMOc
Administrator    (2021-03-09 06:06:32)
12/1/17</t>
        </r>
      </text>
    </comment>
    <comment ref="E43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======
ID#AAAALoinMi8
Administrator    (2021-03-09 06:06:32)
9/1/17</t>
        </r>
      </text>
    </comment>
    <comment ref="Q43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======
ID#AAAALoinMjs
Administrator    (2021-03-09 06:06:32)
9/1/17</t>
        </r>
      </text>
    </comment>
    <comment ref="E44" authorId="0" shapeId="0" xr:uid="{00000000-0006-0000-0400-00001F000000}">
      <text>
        <r>
          <rPr>
            <sz val="11"/>
            <color theme="1"/>
            <rFont val="Calibri"/>
            <family val="2"/>
            <scheme val="minor"/>
          </rPr>
          <t>======
ID#AAAALoinMac
Administrator    (2021-03-09 06:06:32)
9/1/17</t>
        </r>
      </text>
    </comment>
    <comment ref="Q44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======
ID#AAAALoinMig
Administrator    (2021-03-09 06:06:32)
9/1/17</t>
        </r>
      </text>
    </comment>
    <comment ref="E45" authorId="0" shapeId="0" xr:uid="{00000000-0006-0000-0400-00001E000000}">
      <text>
        <r>
          <rPr>
            <sz val="11"/>
            <color theme="1"/>
            <rFont val="Calibri"/>
            <family val="2"/>
            <scheme val="minor"/>
          </rPr>
          <t>======
ID#AAAALoinMas
Administrator    (2021-03-09 06:06:32)
13/1/17</t>
        </r>
      </text>
    </comment>
    <comment ref="E46" authorId="0" shapeId="0" xr:uid="{00000000-0006-0000-0400-000018000000}">
      <text>
        <r>
          <rPr>
            <sz val="11"/>
            <color theme="1"/>
            <rFont val="Calibri"/>
            <family val="2"/>
            <scheme val="minor"/>
          </rPr>
          <t>======
ID#AAAALoinMc8
Administrator    (2021-03-09 06:06:32)
13/1/17</t>
        </r>
      </text>
    </comment>
    <comment ref="E47" authorId="0" shapeId="0" xr:uid="{00000000-0006-0000-0400-000045000000}">
      <text>
        <r>
          <rPr>
            <sz val="11"/>
            <color theme="1"/>
            <rFont val="Calibri"/>
            <family val="2"/>
            <scheme val="minor"/>
          </rPr>
          <t>======
ID#AAAALoinMOo
Administrator    (2021-03-09 06:06:32)
15/1/17</t>
        </r>
      </text>
    </comment>
    <comment ref="E48" authorId="0" shapeId="0" xr:uid="{00000000-0006-0000-0400-000040000000}">
      <text>
        <r>
          <rPr>
            <sz val="11"/>
            <color theme="1"/>
            <rFont val="Calibri"/>
            <family val="2"/>
            <scheme val="minor"/>
          </rPr>
          <t>======
ID#AAAALoinMP4
Administrator    (2021-03-09 06:06:32)
13/1/17</t>
        </r>
      </text>
    </comment>
    <comment ref="E49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======
ID#AAAALoinMhw
Administrator    (2021-03-09 06:06:32)
14/1/17</t>
        </r>
      </text>
    </comment>
    <comment ref="Q49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======
ID#AAAALoinMg8
Administrator    (2021-03-09 06:06:32)
14/1/17</t>
        </r>
      </text>
    </comment>
    <comment ref="E50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======
ID#AAAALoinMjc
Administrator    (2021-03-09 06:06:32)
15/1/17</t>
        </r>
      </text>
    </comment>
    <comment ref="Q50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======
ID#AAAALoinMjE
Administrator    (2021-03-09 06:06:32)
15/1/17</t>
        </r>
      </text>
    </comment>
    <comment ref="E51" authorId="0" shapeId="0" xr:uid="{00000000-0006-0000-0400-000014000000}">
      <text>
        <r>
          <rPr>
            <sz val="11"/>
            <color theme="1"/>
            <rFont val="Calibri"/>
            <family val="2"/>
            <scheme val="minor"/>
          </rPr>
          <t>======
ID#AAAALoinMew
Administrator    (2021-03-09 06:06:32)
15/1/17</t>
        </r>
      </text>
    </comment>
    <comment ref="Q51" authorId="0" shapeId="0" xr:uid="{00000000-0006-0000-0400-000019000000}">
      <text>
        <r>
          <rPr>
            <sz val="11"/>
            <color theme="1"/>
            <rFont val="Calibri"/>
            <family val="2"/>
            <scheme val="minor"/>
          </rPr>
          <t>======
ID#AAAALoinMco
Administrator    (2021-03-09 06:06:32)
15/1/17</t>
        </r>
      </text>
    </comment>
    <comment ref="E52" authorId="0" shapeId="0" xr:uid="{00000000-0006-0000-0400-000027000000}">
      <text>
        <r>
          <rPr>
            <sz val="11"/>
            <color theme="1"/>
            <rFont val="Calibri"/>
            <family val="2"/>
            <scheme val="minor"/>
          </rPr>
          <t>======
ID#AAAALoinMYk
Administrator    (2021-03-09 06:06:32)
15/1/17</t>
        </r>
      </text>
    </comment>
    <comment ref="E53" authorId="0" shapeId="0" xr:uid="{00000000-0006-0000-0400-00003D000000}">
      <text>
        <r>
          <rPr>
            <sz val="11"/>
            <color theme="1"/>
            <rFont val="Calibri"/>
            <family val="2"/>
            <scheme val="minor"/>
          </rPr>
          <t>======
ID#AAAALoinMQY
Administrator    (2021-03-09 06:06:32)
15/1/17</t>
        </r>
      </text>
    </comment>
    <comment ref="E54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======
ID#AAAALoinMik
Administrator    (2021-03-09 06:06:32)
15/1/17</t>
        </r>
      </text>
    </comment>
    <comment ref="E55" authorId="0" shapeId="0" xr:uid="{00000000-0006-0000-0400-000023000000}">
      <text>
        <r>
          <rPr>
            <sz val="11"/>
            <color theme="1"/>
            <rFont val="Calibri"/>
            <family val="2"/>
            <scheme val="minor"/>
          </rPr>
          <t>======
ID#AAAALoinMZo
Administrator    (2021-03-09 06:06:32)
16/1/17</t>
        </r>
      </text>
    </comment>
    <comment ref="E56" authorId="0" shapeId="0" xr:uid="{00000000-0006-0000-0400-00003E000000}">
      <text>
        <r>
          <rPr>
            <sz val="11"/>
            <color theme="1"/>
            <rFont val="Calibri"/>
            <family val="2"/>
            <scheme val="minor"/>
          </rPr>
          <t>======
ID#AAAALoinMQA
Administrator    (2021-03-09 06:06:32)
16/1/17</t>
        </r>
      </text>
    </comment>
    <comment ref="E57" authorId="0" shapeId="0" xr:uid="{00000000-0006-0000-0400-00002B000000}">
      <text>
        <r>
          <rPr>
            <sz val="11"/>
            <color theme="1"/>
            <rFont val="Calibri"/>
            <family val="2"/>
            <scheme val="minor"/>
          </rPr>
          <t>======
ID#AAAALoinMWs
Administrator    (2021-03-09 06:06:32)
16/1/17</t>
        </r>
      </text>
    </comment>
    <comment ref="E58" authorId="0" shapeId="0" xr:uid="{00000000-0006-0000-0400-000025000000}">
      <text>
        <r>
          <rPr>
            <sz val="11"/>
            <color theme="1"/>
            <rFont val="Calibri"/>
            <family val="2"/>
            <scheme val="minor"/>
          </rPr>
          <t>======
ID#AAAALoinMY8
Administrator    (2021-03-09 06:06:32)
19/1/17</t>
        </r>
      </text>
    </comment>
    <comment ref="E60" authorId="0" shapeId="0" xr:uid="{00000000-0006-0000-0400-000029000000}">
      <text>
        <r>
          <rPr>
            <sz val="11"/>
            <color theme="1"/>
            <rFont val="Calibri"/>
            <family val="2"/>
            <scheme val="minor"/>
          </rPr>
          <t>======
ID#AAAALoinMXk
Administrator    (2021-03-09 06:06:32)
19/1/17</t>
        </r>
      </text>
    </comment>
    <comment ref="E61" authorId="0" shapeId="0" xr:uid="{00000000-0006-0000-0400-000043000000}">
      <text>
        <r>
          <rPr>
            <sz val="11"/>
            <color theme="1"/>
            <rFont val="Calibri"/>
            <family val="2"/>
            <scheme val="minor"/>
          </rPr>
          <t>======
ID#AAAALoinMPk
Administrator    (2021-03-09 06:06:32)
19/1/17</t>
        </r>
      </text>
    </comment>
    <comment ref="E62" authorId="0" shapeId="0" xr:uid="{00000000-0006-0000-0400-000028000000}">
      <text>
        <r>
          <rPr>
            <sz val="11"/>
            <color theme="1"/>
            <rFont val="Calibri"/>
            <family val="2"/>
            <scheme val="minor"/>
          </rPr>
          <t>======
ID#AAAALoinMX8
Administrator    (2021-03-09 06:06:32)
19/1/17</t>
        </r>
      </text>
    </comment>
    <comment ref="E63" authorId="0" shapeId="0" xr:uid="{00000000-0006-0000-0400-00002C000000}">
      <text>
        <r>
          <rPr>
            <sz val="11"/>
            <color theme="1"/>
            <rFont val="Calibri"/>
            <family val="2"/>
            <scheme val="minor"/>
          </rPr>
          <t>======
ID#AAAALoinMWI
Administrator    (2021-03-09 06:06:32)
20/1/17</t>
        </r>
      </text>
    </comment>
    <comment ref="E64" authorId="0" shapeId="0" xr:uid="{00000000-0006-0000-0400-000042000000}">
      <text>
        <r>
          <rPr>
            <sz val="11"/>
            <color theme="1"/>
            <rFont val="Calibri"/>
            <family val="2"/>
            <scheme val="minor"/>
          </rPr>
          <t>======
ID#AAAALoinMPo
Administrator    (2021-03-09 06:06:32)
20/1/17</t>
        </r>
      </text>
    </comment>
    <comment ref="Q64" authorId="0" shapeId="0" xr:uid="{00000000-0006-0000-0400-000031000000}">
      <text>
        <r>
          <rPr>
            <sz val="11"/>
            <color theme="1"/>
            <rFont val="Calibri"/>
            <family val="2"/>
            <scheme val="minor"/>
          </rPr>
          <t>======
ID#AAAALoinMUw
Administrator    (2021-03-09 06:06:32)
20/1/2017</t>
        </r>
      </text>
    </comment>
    <comment ref="E65" authorId="0" shapeId="0" xr:uid="{00000000-0006-0000-0400-000033000000}">
      <text>
        <r>
          <rPr>
            <sz val="11"/>
            <color theme="1"/>
            <rFont val="Calibri"/>
            <family val="2"/>
            <scheme val="minor"/>
          </rPr>
          <t>======
ID#AAAALoinMT8
Administrator    (2021-03-09 06:06:32)
20/1/17</t>
        </r>
      </text>
    </comment>
    <comment ref="E66" authorId="0" shapeId="0" xr:uid="{00000000-0006-0000-0400-000010000000}">
      <text>
        <r>
          <rPr>
            <sz val="11"/>
            <color theme="1"/>
            <rFont val="Calibri"/>
            <family val="2"/>
            <scheme val="minor"/>
          </rPr>
          <t>======
ID#AAAALoinMgY
Administrator    (2021-03-09 06:06:32)
20/1/17</t>
        </r>
      </text>
    </comment>
    <comment ref="E67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======
ID#AAAALoinMjU
Administrator    (2021-03-09 06:06:32)
20/1/17</t>
        </r>
      </text>
    </comment>
    <comment ref="E68" authorId="0" shapeId="0" xr:uid="{00000000-0006-0000-0400-000016000000}">
      <text>
        <r>
          <rPr>
            <sz val="11"/>
            <color theme="1"/>
            <rFont val="Calibri"/>
            <family val="2"/>
            <scheme val="minor"/>
          </rPr>
          <t>======
ID#AAAALoinMdU
Administrator    (2021-03-09 06:06:32)
20/1/17</t>
        </r>
      </text>
    </comment>
    <comment ref="E69" authorId="0" shapeId="0" xr:uid="{00000000-0006-0000-0400-000048000000}">
      <text>
        <r>
          <rPr>
            <sz val="11"/>
            <color theme="1"/>
            <rFont val="Calibri"/>
            <family val="2"/>
            <scheme val="minor"/>
          </rPr>
          <t>======
ID#AAAALoinMNY
Administrator    (2021-03-09 06:06:32)
20/1/17</t>
        </r>
      </text>
    </comment>
    <comment ref="Q69" authorId="0" shapeId="0" xr:uid="{00000000-0006-0000-0400-00004A000000}">
      <text>
        <r>
          <rPr>
            <sz val="11"/>
            <color theme="1"/>
            <rFont val="Calibri"/>
            <family val="2"/>
            <scheme val="minor"/>
          </rPr>
          <t>======
ID#AAAALoinMMU
Administrator    (2021-03-09 06:06:32)
20/1/2017</t>
        </r>
      </text>
    </comment>
    <comment ref="E70" authorId="0" shapeId="0" xr:uid="{00000000-0006-0000-0400-00003F000000}">
      <text>
        <r>
          <rPr>
            <sz val="11"/>
            <color theme="1"/>
            <rFont val="Calibri"/>
            <family val="2"/>
            <scheme val="minor"/>
          </rPr>
          <t>======
ID#AAAALoinMP0
Administrator    (2021-03-09 06:06:32)
20/1/17</t>
        </r>
      </text>
    </comment>
    <comment ref="Q70" authorId="0" shapeId="0" xr:uid="{00000000-0006-0000-0400-00002E000000}">
      <text>
        <r>
          <rPr>
            <sz val="11"/>
            <color theme="1"/>
            <rFont val="Calibri"/>
            <family val="2"/>
            <scheme val="minor"/>
          </rPr>
          <t>======
ID#AAAALoinMV4
Administrator    (2021-03-09 06:06:32)
20/1/2017</t>
        </r>
      </text>
    </comment>
    <comment ref="E71" authorId="0" shapeId="0" xr:uid="{00000000-0006-0000-0400-00002A000000}">
      <text>
        <r>
          <rPr>
            <sz val="11"/>
            <color theme="1"/>
            <rFont val="Calibri"/>
            <family val="2"/>
            <scheme val="minor"/>
          </rPr>
          <t>======
ID#AAAALoinMXQ
Administrator    (2021-03-09 06:06:32)
20/1/17</t>
        </r>
      </text>
    </comment>
    <comment ref="Q71" authorId="0" shapeId="0" xr:uid="{00000000-0006-0000-0400-000037000000}">
      <text>
        <r>
          <rPr>
            <sz val="11"/>
            <color theme="1"/>
            <rFont val="Calibri"/>
            <family val="2"/>
            <scheme val="minor"/>
          </rPr>
          <t>======
ID#AAAALoinMTQ
Administrator    (2021-03-09 06:06:32)
20/1/2017</t>
        </r>
      </text>
    </comment>
    <comment ref="E72" authorId="0" shapeId="0" xr:uid="{00000000-0006-0000-0400-000035000000}">
      <text>
        <r>
          <rPr>
            <sz val="11"/>
            <color theme="1"/>
            <rFont val="Calibri"/>
            <family val="2"/>
            <scheme val="minor"/>
          </rPr>
          <t>======
ID#AAAALoinMTs
Administrator    (2021-03-09 06:06:32)
20/1/17</t>
        </r>
      </text>
    </comment>
    <comment ref="E73" authorId="0" shapeId="0" xr:uid="{00000000-0006-0000-0400-00004E000000}">
      <text>
        <r>
          <rPr>
            <sz val="11"/>
            <color theme="1"/>
            <rFont val="Calibri"/>
            <family val="2"/>
            <scheme val="minor"/>
          </rPr>
          <t>======
ID#AAAALoinMKw
Administrator    (2021-03-09 06:06:32)
20/1/17</t>
        </r>
      </text>
    </comment>
    <comment ref="E74" authorId="0" shapeId="0" xr:uid="{00000000-0006-0000-0400-000046000000}">
      <text>
        <r>
          <rPr>
            <sz val="11"/>
            <color theme="1"/>
            <rFont val="Calibri"/>
            <family val="2"/>
            <scheme val="minor"/>
          </rPr>
          <t>======
ID#AAAALoinMOw
Administrator    (2021-03-09 06:06:32)
20/1/17</t>
        </r>
      </text>
    </comment>
    <comment ref="Q74" authorId="0" shapeId="0" xr:uid="{00000000-0006-0000-0400-00001A000000}">
      <text>
        <r>
          <rPr>
            <sz val="11"/>
            <color theme="1"/>
            <rFont val="Calibri"/>
            <family val="2"/>
            <scheme val="minor"/>
          </rPr>
          <t>======
ID#AAAALoinMcU
Administrator    (2021-03-09 06:06:32)
20/1/2017</t>
        </r>
      </text>
    </comment>
    <comment ref="E76" authorId="0" shapeId="0" xr:uid="{00000000-0006-0000-0400-000017000000}">
      <text>
        <r>
          <rPr>
            <sz val="11"/>
            <color theme="1"/>
            <rFont val="Calibri"/>
            <family val="2"/>
            <scheme val="minor"/>
          </rPr>
          <t>======
ID#AAAALoinMc0
Administrator    (2021-03-09 06:06:32)
21/1/17</t>
        </r>
      </text>
    </comment>
    <comment ref="E77" authorId="0" shapeId="0" xr:uid="{00000000-0006-0000-0400-000038000000}">
      <text>
        <r>
          <rPr>
            <sz val="11"/>
            <color theme="1"/>
            <rFont val="Calibri"/>
            <family val="2"/>
            <scheme val="minor"/>
          </rPr>
          <t>======
ID#AAAALoinMTA
Administrator    (2021-03-09 06:06:32)
22/1/17</t>
        </r>
      </text>
    </comment>
    <comment ref="Q77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======
ID#AAAALoinMjY
Administrator    (2021-03-09 06:06:32)
22/1/17</t>
        </r>
      </text>
    </comment>
    <comment ref="E78" authorId="0" shapeId="0" xr:uid="{00000000-0006-0000-0400-00003C000000}">
      <text>
        <r>
          <rPr>
            <sz val="11"/>
            <color theme="1"/>
            <rFont val="Calibri"/>
            <family val="2"/>
            <scheme val="minor"/>
          </rPr>
          <t>======
ID#AAAALoinMRM
Administrator    (2021-03-09 06:06:32)
22/1/17</t>
        </r>
      </text>
    </comment>
    <comment ref="E79" authorId="0" shapeId="0" xr:uid="{00000000-0006-0000-0400-000024000000}">
      <text>
        <r>
          <rPr>
            <sz val="11"/>
            <color theme="1"/>
            <rFont val="Calibri"/>
            <family val="2"/>
            <scheme val="minor"/>
          </rPr>
          <t>======
ID#AAAALoinMZY
Administrator    (2021-03-09 06:06:32)
22/1/17</t>
        </r>
      </text>
    </comment>
    <comment ref="Q79" authorId="0" shapeId="0" xr:uid="{00000000-0006-0000-0400-000022000000}">
      <text>
        <r>
          <rPr>
            <sz val="11"/>
            <color theme="1"/>
            <rFont val="Calibri"/>
            <family val="2"/>
            <scheme val="minor"/>
          </rPr>
          <t>======
ID#AAAALoinMZ4
Administrator    (2021-03-09 06:06:32)
22/1/17</t>
        </r>
      </text>
    </comment>
    <comment ref="E80" authorId="0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======
ID#AAAALoinMhA
Administrator    (2021-03-09 06:06:32)
22/1/17</t>
        </r>
      </text>
    </comment>
    <comment ref="E81" authorId="0" shapeId="0" xr:uid="{00000000-0006-0000-0400-00004B000000}">
      <text>
        <r>
          <rPr>
            <sz val="11"/>
            <color theme="1"/>
            <rFont val="Calibri"/>
            <family val="2"/>
            <scheme val="minor"/>
          </rPr>
          <t>======
ID#AAAALoinMME
Administrator    (2021-03-09 06:06:32)
22/1/17</t>
        </r>
      </text>
    </comment>
    <comment ref="Q81" authorId="0" shapeId="0" xr:uid="{00000000-0006-0000-0400-00003A000000}">
      <text>
        <r>
          <rPr>
            <sz val="11"/>
            <color theme="1"/>
            <rFont val="Calibri"/>
            <family val="2"/>
            <scheme val="minor"/>
          </rPr>
          <t>======
ID#AAAALoinMRQ
Administrator    (2021-03-09 06:06:32)
22/1/17</t>
        </r>
      </text>
    </comment>
    <comment ref="E82" authorId="0" shapeId="0" xr:uid="{00000000-0006-0000-0400-000015000000}">
      <text>
        <r>
          <rPr>
            <sz val="11"/>
            <color theme="1"/>
            <rFont val="Calibri"/>
            <family val="2"/>
            <scheme val="minor"/>
          </rPr>
          <t>======
ID#AAAALoinMds
Administrator    (2021-03-09 06:06:32)
22/1/17</t>
        </r>
      </text>
    </comment>
    <comment ref="Q82" authorId="0" shapeId="0" xr:uid="{00000000-0006-0000-0400-00002F000000}">
      <text>
        <r>
          <rPr>
            <sz val="11"/>
            <color theme="1"/>
            <rFont val="Calibri"/>
            <family val="2"/>
            <scheme val="minor"/>
          </rPr>
          <t>======
ID#AAAALoinMVw
Administrator    (2021-03-09 06:06:32)
22/1/17</t>
        </r>
      </text>
    </comment>
    <comment ref="E84" authorId="0" shapeId="0" xr:uid="{00000000-0006-0000-0400-000020000000}">
      <text>
        <r>
          <rPr>
            <sz val="11"/>
            <color theme="1"/>
            <rFont val="Calibri"/>
            <family val="2"/>
            <scheme val="minor"/>
          </rPr>
          <t>======
ID#AAAALoinMaM
Administrator    (2021-03-09 06:06:32)
24/1/17</t>
        </r>
      </text>
    </comment>
    <comment ref="E85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======
ID#AAAALoinMh0
Administrator    (2021-03-09 06:06:32)
24/1/17</t>
        </r>
      </text>
    </comment>
    <comment ref="E86" authorId="0" shapeId="0" xr:uid="{00000000-0006-0000-0400-00004C000000}">
      <text>
        <r>
          <rPr>
            <sz val="11"/>
            <color theme="1"/>
            <rFont val="Calibri"/>
            <family val="2"/>
            <scheme val="minor"/>
          </rPr>
          <t>======
ID#AAAALoinMLo
Administrator    (2021-03-09 06:06:32)
24/1/17</t>
        </r>
      </text>
    </comment>
    <comment ref="E132" authorId="0" shapeId="0" xr:uid="{00000000-0006-0000-0400-00003B000000}">
      <text>
        <r>
          <rPr>
            <sz val="11"/>
            <color theme="1"/>
            <rFont val="Calibri"/>
            <family val="2"/>
            <scheme val="minor"/>
          </rPr>
          <t>======
ID#AAAALoinMRY
Administrator    (2021-03-09 06:06:32)
14/1/17</t>
        </r>
      </text>
    </comment>
    <comment ref="Q132" authorId="0" shapeId="0" xr:uid="{00000000-0006-0000-0400-00001C000000}">
      <text>
        <r>
          <rPr>
            <sz val="11"/>
            <color theme="1"/>
            <rFont val="Calibri"/>
            <family val="2"/>
            <scheme val="minor"/>
          </rPr>
          <t>======
ID#AAAALoinMbc
Administrator    (2021-03-09 06:06:32)
14/1/17</t>
        </r>
      </text>
    </comment>
    <comment ref="E135" authorId="0" shapeId="0" xr:uid="{00000000-0006-0000-0400-000011000000}">
      <text>
        <r>
          <rPr>
            <sz val="11"/>
            <color theme="1"/>
            <rFont val="Calibri"/>
            <family val="2"/>
            <scheme val="minor"/>
          </rPr>
          <t>======
ID#AAAALoinMgQ
Administrator    (2021-03-09 06:06:32)
13/1/17</t>
        </r>
      </text>
    </comment>
    <comment ref="Q135" authorId="0" shapeId="0" xr:uid="{00000000-0006-0000-0400-000036000000}">
      <text>
        <r>
          <rPr>
            <sz val="11"/>
            <color theme="1"/>
            <rFont val="Calibri"/>
            <family val="2"/>
            <scheme val="minor"/>
          </rPr>
          <t>======
ID#AAAALoinMTk
Administrator    (2021-03-09 06:06:32)
13/1/17</t>
        </r>
      </text>
    </comment>
    <comment ref="E136" authorId="0" shapeId="0" xr:uid="{00000000-0006-0000-0400-000039000000}">
      <text>
        <r>
          <rPr>
            <sz val="11"/>
            <color theme="1"/>
            <rFont val="Calibri"/>
            <family val="2"/>
            <scheme val="minor"/>
          </rPr>
          <t>======
ID#AAAALoinMSU
Administrator    (2021-03-09 06:06:32)
15/1/17</t>
        </r>
      </text>
    </comment>
    <comment ref="E137" authorId="0" shapeId="0" xr:uid="{00000000-0006-0000-0400-000012000000}">
      <text>
        <r>
          <rPr>
            <sz val="11"/>
            <color theme="1"/>
            <rFont val="Calibri"/>
            <family val="2"/>
            <scheme val="minor"/>
          </rPr>
          <t>======
ID#AAAALoinMf4
Administrator    (2021-03-09 06:06:32)
20/1/17</t>
        </r>
      </text>
    </comment>
    <comment ref="E138" authorId="0" shapeId="0" xr:uid="{00000000-0006-0000-0400-00004D000000}">
      <text>
        <r>
          <rPr>
            <sz val="11"/>
            <color theme="1"/>
            <rFont val="Calibri"/>
            <family val="2"/>
            <scheme val="minor"/>
          </rPr>
          <t>======
ID#AAAALoinMK4
Administrator    (2021-03-09 06:06:32)
20/1/17</t>
        </r>
      </text>
    </comment>
    <comment ref="E140" authorId="0" shapeId="0" xr:uid="{00000000-0006-0000-0400-000041000000}">
      <text>
        <r>
          <rPr>
            <sz val="11"/>
            <color theme="1"/>
            <rFont val="Calibri"/>
            <family val="2"/>
            <scheme val="minor"/>
          </rPr>
          <t>======
ID#AAAALoinMPw
Administrator    (2021-03-09 06:06:32)
15/1/17</t>
        </r>
      </text>
    </comment>
    <comment ref="Q140" authorId="0" shapeId="0" xr:uid="{00000000-0006-0000-0400-000044000000}">
      <text>
        <r>
          <rPr>
            <sz val="11"/>
            <color theme="1"/>
            <rFont val="Calibri"/>
            <family val="2"/>
            <scheme val="minor"/>
          </rPr>
          <t>======
ID#AAAALoinMPY
Administrator    (2021-03-09 06:06:32)
15/1/17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YQly9TQJk8IB51bD8cMa8c7gxsg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5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======
ID#AAAALoinMLM
Administrator    (2021-03-09 06:06:32)
8/1/2017</t>
        </r>
      </text>
    </comment>
    <comment ref="E20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======
ID#AAAALoinMbk
Administrator    (2021-03-09 06:06:32)
10/1/17</t>
        </r>
      </text>
    </comment>
    <comment ref="E22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======
ID#AAAALoinMOk
Administrator    (2021-03-09 06:06:32)
7/1/2017</t>
        </r>
      </text>
    </comment>
    <comment ref="E31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======
ID#AAAALoinMck
Administrator    (2021-03-09 06:06:32)
10/1/17</t>
        </r>
      </text>
    </comment>
    <comment ref="E33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======
ID#AAAALoinMiY
Administrator    (2021-03-09 06:06:32)
10/1/17</t>
        </r>
      </text>
    </comment>
    <comment ref="E34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======
ID#AAAALoinMQQ
Administrator    (2021-03-09 06:06:32)
10/1/17</t>
        </r>
      </text>
    </comment>
    <comment ref="E35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======
ID#AAAALoinMi0
Administrator    (2021-03-09 06:06:32)
12/1/17</t>
        </r>
      </text>
    </comment>
    <comment ref="E36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======
ID#AAAALoinMO0
Administrator    (2021-03-09 06:06:32)
12/1/17</t>
        </r>
      </text>
    </comment>
    <comment ref="E37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======
ID#AAAALoinMhg
Administrator    (2021-03-09 06:06:32)
12/1/17</t>
        </r>
      </text>
    </comment>
    <comment ref="E40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======
ID#AAAALoinMd4
Administrator    (2021-03-09 06:06:32)
12/1/17</t>
        </r>
      </text>
    </comment>
    <comment ref="Q40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======
ID#AAAALoinMWo
Administrator    (2021-03-09 06:06:32)
12/1/17</t>
        </r>
      </text>
    </comment>
    <comment ref="E41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======
ID#AAAALoinMio
Administrator    (2021-03-09 06:06:32)
12/1/17</t>
        </r>
      </text>
    </comment>
    <comment ref="E42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======
ID#AAAALoinMfY
Administrator    (2021-03-09 06:06:32)
12/1/17</t>
        </r>
      </text>
    </comment>
    <comment ref="H42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======
ID#AAAALoinMS0
Administrator    (2021-03-09 06:06:32)
12/1/17</t>
        </r>
      </text>
    </comment>
    <comment ref="E43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======
ID#AAAALoinMN4
Administrator    (2021-03-09 06:06:32)
9/1/17</t>
        </r>
      </text>
    </comment>
    <comment ref="Q43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======
ID#AAAALoinMPs
Administrator    (2021-03-09 06:06:32)
9/1/17</t>
        </r>
      </text>
    </comment>
    <comment ref="E44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======
ID#AAAALoinMhU
Administrator    (2021-03-09 06:06:32)
9/1/17</t>
        </r>
      </text>
    </comment>
    <comment ref="E45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======
ID#AAAALoinMfk
Administrator    (2021-03-09 06:06:32)
13/1/17</t>
        </r>
      </text>
    </comment>
    <comment ref="E46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======
ID#AAAALoinMjg
Administrator    (2021-03-09 06:06:32)
13/1/17</t>
        </r>
      </text>
    </comment>
    <comment ref="E47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======
ID#AAAALoinMjk
Administrator    (2021-03-09 06:06:32)
15/1/17</t>
        </r>
      </text>
    </comment>
    <comment ref="E48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======
ID#AAAALoinMeM
Administrator    (2021-03-09 06:06:32)
13/1/17</t>
        </r>
      </text>
    </comment>
    <comment ref="E49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======
ID#AAAALoinMQ8
Administrator    (2021-03-09 06:06:32)
14/1/17</t>
        </r>
      </text>
    </comment>
    <comment ref="Q49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======
ID#AAAALoinML4
Administrator    (2021-03-09 06:06:32)
14/1/17</t>
        </r>
      </text>
    </comment>
    <comment ref="E50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======
ID#AAAALoinMKg
Administrator    (2021-03-09 06:06:32)
15/1/17</t>
        </r>
      </text>
    </comment>
    <comment ref="E51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======
ID#AAAALoinMPU
Administrator    (2021-03-09 06:06:32)
15/1/17</t>
        </r>
      </text>
    </comment>
    <comment ref="Q51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======
ID#AAAALoinMg0
Administrator    (2021-03-09 06:06:32)
15/1/17</t>
        </r>
      </text>
    </comment>
    <comment ref="E52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======
ID#AAAALoinMUY
Administrator    (2021-03-09 06:06:32)
15/1/17</t>
        </r>
      </text>
    </comment>
    <comment ref="E53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======
ID#AAAALoinMXA
Administrator    (2021-03-09 06:06:32)
15/1/17</t>
        </r>
      </text>
    </comment>
    <comment ref="E54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======
ID#AAAALoinMVo
Administrator    (2021-03-09 06:06:32)
15/1/17</t>
        </r>
      </text>
    </comment>
    <comment ref="E55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======
ID#AAAALoinMMo
Administrator    (2021-03-09 06:06:32)
16/1/17</t>
        </r>
      </text>
    </comment>
    <comment ref="E56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======
ID#AAAALoinMfA
Administrator    (2021-03-09 06:06:32)
16/1/17</t>
        </r>
      </text>
    </comment>
    <comment ref="E57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======
ID#AAAALoinMW0
Administrator    (2021-03-09 06:06:32)
16/1/17</t>
        </r>
      </text>
    </comment>
    <comment ref="E58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======
ID#AAAALoinMLQ
Administrator    (2021-03-09 06:06:32)
19/1/17</t>
        </r>
      </text>
    </comment>
    <comment ref="E60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======
ID#AAAALoinMVY
Administrator    (2021-03-09 06:06:32)
19/1/17</t>
        </r>
      </text>
    </comment>
    <comment ref="E61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======
ID#AAAALoinMLU
Administrator    (2021-03-09 06:06:32)
19/1/17</t>
        </r>
      </text>
    </comment>
    <comment ref="E62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======
ID#AAAALoinMXE
Administrator    (2021-03-09 06:06:32)
19/1/17</t>
        </r>
      </text>
    </comment>
    <comment ref="E63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======
ID#AAAALoinMa0
Administrator    (2021-03-09 06:06:32)
20/1/17</t>
        </r>
      </text>
    </comment>
    <comment ref="E64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======
ID#AAAALoinMKs
Administrator    (2021-03-09 06:06:32)
20/1/17</t>
        </r>
      </text>
    </comment>
    <comment ref="Q64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======
ID#AAAALoinMgo
Administrator    (2021-03-09 06:06:32)
20/1/2017</t>
        </r>
      </text>
    </comment>
    <comment ref="E65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======
ID#AAAALoinMYA
Administrator    (2021-03-09 06:06:32)
20/1/17</t>
        </r>
      </text>
    </comment>
    <comment ref="E66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======
ID#AAAALoinMLA
Administrator    (2021-03-09 06:06:32)
20/1/17</t>
        </r>
      </text>
    </comment>
    <comment ref="E67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======
ID#AAAALoinMQU
Administrator    (2021-03-09 06:06:32)
20/1/17</t>
        </r>
      </text>
    </comment>
    <comment ref="E68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======
ID#AAAALoinMVA
Administrator    (2021-03-09 06:06:32)
20/1/17</t>
        </r>
      </text>
    </comment>
    <comment ref="E69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======
ID#AAAALoinMhQ
Administrator    (2021-03-09 06:06:32)
20/1/17</t>
        </r>
      </text>
    </comment>
    <comment ref="E70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======
ID#AAAALoinMcg
Administrator    (2021-03-09 06:06:32)
20/1/17</t>
        </r>
      </text>
    </comment>
    <comment ref="Q70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======
ID#AAAALoinMbY
Administrator    (2021-03-09 06:06:32)
20/1/2017</t>
        </r>
      </text>
    </comment>
    <comment ref="E71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======
ID#AAAALoinMSw
Administrator    (2021-03-09 06:06:32)
20/1/17</t>
        </r>
      </text>
    </comment>
    <comment ref="E72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======
ID#AAAALoinMZ8
Administrator    (2021-03-09 06:06:32)
20/1/17</t>
        </r>
      </text>
    </comment>
    <comment ref="E73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======
ID#AAAALoinMTM
Administrator    (2021-03-09 06:06:32)
20/1/17</t>
        </r>
      </text>
    </comment>
    <comment ref="E74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======
ID#AAAALoinMQw
Administrator    (2021-03-09 06:06:32)
20/1/17</t>
        </r>
      </text>
    </comment>
    <comment ref="E76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======
ID#AAAALoinMTo
Administrator    (2021-03-09 06:06:32)
21/1/17</t>
        </r>
      </text>
    </comment>
    <comment ref="E77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======
ID#AAAALoinMWU
Administrator    (2021-03-09 06:06:32)
22/1/17</t>
        </r>
      </text>
    </comment>
    <comment ref="Q77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======
ID#AAAALoinMhs
Administrator    (2021-03-09 06:06:32)
22/1/17</t>
        </r>
      </text>
    </comment>
    <comment ref="E78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======
ID#AAAALoinML8
Administrator    (2021-03-09 06:06:32)
22/1/17</t>
        </r>
      </text>
    </comment>
    <comment ref="E79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======
ID#AAAALoinMeQ
Administrator    (2021-03-09 06:06:32)
22/1/17</t>
        </r>
      </text>
    </comment>
    <comment ref="E80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======
ID#AAAALoinMO4
Administrator    (2021-03-09 06:06:32)
22/1/17</t>
        </r>
      </text>
    </comment>
    <comment ref="E81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======
ID#AAAALoinMW4
Administrator    (2021-03-09 06:06:32)
22/1/17</t>
        </r>
      </text>
    </comment>
    <comment ref="Q81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======
ID#AAAALoinMXs
Administrator    (2021-03-09 06:06:32)
22/1/17</t>
        </r>
      </text>
    </comment>
    <comment ref="E82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======
ID#AAAALoinMSk
Administrator    (2021-03-09 06:06:32)
22/1/17</t>
        </r>
      </text>
    </comment>
    <comment ref="Q82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======
ID#AAAALoinMRU
Administrator    (2021-03-09 06:06:32)
22/1/17</t>
        </r>
      </text>
    </comment>
    <comment ref="E84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======
ID#AAAALoinMSQ
Administrator    (2021-03-09 06:06:32)
24/1/17</t>
        </r>
      </text>
    </comment>
    <comment ref="E85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======
ID#AAAALoinMXY
Administrator    (2021-03-09 06:06:32)
24/1/17</t>
        </r>
      </text>
    </comment>
    <comment ref="E86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======
ID#AAAALoinMNk
Administrator    (2021-03-09 06:06:32)
24/1/17</t>
        </r>
      </text>
    </comment>
    <comment ref="E132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======
ID#AAAALoinMUQ
Administrator    (2021-03-09 06:06:32)
14/1/17</t>
        </r>
      </text>
    </comment>
    <comment ref="Q132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======
ID#AAAALoinMSA
Administrator    (2021-03-09 06:06:32)
14/1/17</t>
        </r>
      </text>
    </comment>
    <comment ref="E135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======
ID#AAAALoinMNA
Administrator    (2021-03-09 06:06:32)
13/1/17</t>
        </r>
      </text>
    </comment>
    <comment ref="Q135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======
ID#AAAALoinMMA
Administrator    (2021-03-09 06:06:32)
13/1/17</t>
        </r>
      </text>
    </comment>
    <comment ref="E136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======
ID#AAAALoinMUI
Administrator    (2021-03-09 06:06:32)
15/1/17</t>
        </r>
      </text>
    </comment>
    <comment ref="E137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======
ID#AAAALoinMgI
Administrator    (2021-03-09 06:06:32)
20/1/17</t>
        </r>
      </text>
    </comment>
    <comment ref="E138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======
ID#AAAALoinMe8
Administrator    (2021-03-09 06:06:32)
20/1/17</t>
        </r>
      </text>
    </comment>
    <comment ref="E140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======
ID#AAAALoinMV8
Administrator    (2021-03-09 06:06:32)
15/1/17</t>
        </r>
      </text>
    </comment>
    <comment ref="Q140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======
ID#AAAALoinMjI
Administrator    (2021-03-09 06:06:32)
15/1/17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fHQfpyMNyLMQDi4kalAs054pIbw=="/>
    </ext>
  </extLst>
</comments>
</file>

<file path=xl/sharedStrings.xml><?xml version="1.0" encoding="utf-8"?>
<sst xmlns="http://schemas.openxmlformats.org/spreadsheetml/2006/main" count="4341" uniqueCount="1233">
  <si>
    <t>Payment(RM)</t>
  </si>
  <si>
    <t>No Ahli</t>
  </si>
  <si>
    <t>No resit</t>
  </si>
  <si>
    <t>No</t>
  </si>
  <si>
    <t>Jalan</t>
  </si>
  <si>
    <t>Status Rumah</t>
  </si>
  <si>
    <t xml:space="preserve">Nama Penuh </t>
  </si>
  <si>
    <t>No Kad Pengenalan (cth. 901212-14-1234)</t>
  </si>
  <si>
    <t>No Telefon (cth. 012-3456789)</t>
  </si>
  <si>
    <t xml:space="preserve">Nama Penuh Pasangan </t>
  </si>
  <si>
    <t xml:space="preserve">Kereta </t>
  </si>
  <si>
    <t>Motor  (jika ada)</t>
  </si>
  <si>
    <t>Lain-lain kenderaan berdaftar (jika ada)</t>
  </si>
  <si>
    <t>203</t>
  </si>
  <si>
    <t>00057</t>
  </si>
  <si>
    <t>Penyewa</t>
  </si>
  <si>
    <t>Fauzi Tahir</t>
  </si>
  <si>
    <t>760610-01-7729</t>
  </si>
  <si>
    <t>019-3803639</t>
  </si>
  <si>
    <t>Fauziah Ali</t>
  </si>
  <si>
    <t>1. WUQ 696
2. WMQ 4246</t>
  </si>
  <si>
    <t>1. WQU 3431
2. BJL 5551</t>
  </si>
  <si>
    <t>043</t>
  </si>
  <si>
    <t>00001</t>
  </si>
  <si>
    <t>Tuan Rumah</t>
  </si>
  <si>
    <t>Mohd Razali Bin Mohamad</t>
  </si>
  <si>
    <t>700610-11-5057</t>
  </si>
  <si>
    <t>019-3158031</t>
  </si>
  <si>
    <t>Sabariah Binti Mahmud</t>
  </si>
  <si>
    <t>1. WGY 5057
2. WXH 5057</t>
  </si>
  <si>
    <t>1. TR 463</t>
  </si>
  <si>
    <t>032</t>
  </si>
  <si>
    <t>00002</t>
  </si>
  <si>
    <t>Abdullah Bin Muhammed</t>
  </si>
  <si>
    <t>750707-03-6043</t>
  </si>
  <si>
    <t>019-3918844</t>
  </si>
  <si>
    <t>Azura Binti Ishak</t>
  </si>
  <si>
    <t>1. G1M 2660
2. WWM 7700</t>
  </si>
  <si>
    <t>Tiada</t>
  </si>
  <si>
    <t>005</t>
  </si>
  <si>
    <t>00003</t>
  </si>
  <si>
    <t>Wan Yusnirfan bin Wan Yusoff</t>
  </si>
  <si>
    <t>741225-03-5019</t>
  </si>
  <si>
    <t>019-6698328</t>
  </si>
  <si>
    <t>Norhazlina Binti Mat zin</t>
  </si>
  <si>
    <t>WYV 7457</t>
  </si>
  <si>
    <t>W 6504 Y</t>
  </si>
  <si>
    <t>037</t>
  </si>
  <si>
    <t>00004</t>
  </si>
  <si>
    <t>Razali Bin Embong</t>
  </si>
  <si>
    <t>560525-11-5261</t>
  </si>
  <si>
    <t>019-7522453</t>
  </si>
  <si>
    <t>Jamaliah Bt Ismail</t>
  </si>
  <si>
    <t>1.WSG 4860
2.WYH 9093
3. VD 9093</t>
  </si>
  <si>
    <t>008</t>
  </si>
  <si>
    <t>00005</t>
  </si>
  <si>
    <t>MOHAMAD YUSREY BIN MAHAT</t>
  </si>
  <si>
    <t>751106-13-5059</t>
  </si>
  <si>
    <t>019-3911357</t>
  </si>
  <si>
    <t>ANITA ROSELIN BINTI AZIZAN</t>
  </si>
  <si>
    <t>WTP5395</t>
  </si>
  <si>
    <t>TU4682</t>
  </si>
  <si>
    <t>TIDAK INGAT</t>
  </si>
  <si>
    <t>036</t>
  </si>
  <si>
    <t>00006</t>
  </si>
  <si>
    <t>syamsul arifin bin muhd irpan</t>
  </si>
  <si>
    <t>790428-08-6271</t>
  </si>
  <si>
    <t>019-3336271</t>
  </si>
  <si>
    <t>siti aida binti shaikh zakaria</t>
  </si>
  <si>
    <t>1) wsf 6476
2) bmj 5938</t>
  </si>
  <si>
    <t>1) bkb 5294</t>
  </si>
  <si>
    <t>1) wky 2355</t>
  </si>
  <si>
    <t>011</t>
  </si>
  <si>
    <t>00007</t>
  </si>
  <si>
    <t xml:space="preserve">Alzuhari bin Hasan </t>
  </si>
  <si>
    <t>670922-03-5035</t>
  </si>
  <si>
    <t>019-3326747</t>
  </si>
  <si>
    <t>Norasiah binti Hassan</t>
  </si>
  <si>
    <t xml:space="preserve">1. ST 44 F
2. ST 44 L </t>
  </si>
  <si>
    <t>015</t>
  </si>
  <si>
    <t>00008</t>
  </si>
  <si>
    <t>Zainal abidin hj saari</t>
  </si>
  <si>
    <t>Norsuhaila Abd Rahman</t>
  </si>
  <si>
    <t>TAG 6997</t>
  </si>
  <si>
    <t>WVP 4644</t>
  </si>
  <si>
    <t>030</t>
  </si>
  <si>
    <t>00009</t>
  </si>
  <si>
    <t>Azrol Bin Arshad</t>
  </si>
  <si>
    <t>780428-01-5693</t>
  </si>
  <si>
    <t>013-3940396</t>
  </si>
  <si>
    <t>Noramiliawati bte mohamad noor</t>
  </si>
  <si>
    <t>1. Putrajaya 5557
2. WSC 5559</t>
  </si>
  <si>
    <t>1. Jep 3279</t>
  </si>
  <si>
    <t>204</t>
  </si>
  <si>
    <t>00060</t>
  </si>
  <si>
    <t>Najmi Dawami Abdul Hamid</t>
  </si>
  <si>
    <t>Farhah Abdullah</t>
  </si>
  <si>
    <t>Wtt 6275
Vf 4411
Wkh 5985</t>
  </si>
  <si>
    <t>3A</t>
  </si>
  <si>
    <t>Zainul Alam Yaakub</t>
  </si>
  <si>
    <t>Roslina Mahari</t>
  </si>
  <si>
    <t>WUP 9601
WA 9601 G</t>
  </si>
  <si>
    <t>BJV 7616</t>
  </si>
  <si>
    <t>003</t>
  </si>
  <si>
    <t>00010</t>
  </si>
  <si>
    <t>Zaidi mohamad</t>
  </si>
  <si>
    <t>690103-06-5159</t>
  </si>
  <si>
    <t>Norashekin tukiman</t>
  </si>
  <si>
    <t>1. WGF 125
2. WLV 125
3. W373 T</t>
  </si>
  <si>
    <t>1. BNJ 373
2. BPA 373
3. WWR lupa...</t>
  </si>
  <si>
    <t>044</t>
  </si>
  <si>
    <t>00058</t>
  </si>
  <si>
    <t>Othman Mohamed</t>
  </si>
  <si>
    <t>Fadhilah Mohd Nor</t>
  </si>
  <si>
    <t>DCD 128</t>
  </si>
  <si>
    <t>DAL 28</t>
  </si>
  <si>
    <t>BHU 3014
DCA 228
DAT 128
JFM 114</t>
  </si>
  <si>
    <t>033</t>
  </si>
  <si>
    <t>00011</t>
  </si>
  <si>
    <t>Marwelies Bin Mohd Yusoff</t>
  </si>
  <si>
    <t>770206-14-5469</t>
  </si>
  <si>
    <t>013-3890420</t>
  </si>
  <si>
    <t>Faezah Binti Fajardin</t>
  </si>
  <si>
    <t>BMB 5977</t>
  </si>
  <si>
    <t>WSV 5424</t>
  </si>
  <si>
    <t>WLC 3305</t>
  </si>
  <si>
    <t>053</t>
  </si>
  <si>
    <t>00012</t>
  </si>
  <si>
    <t>Yusof Said</t>
  </si>
  <si>
    <t>610420-10-6601</t>
  </si>
  <si>
    <t>012-9879874</t>
  </si>
  <si>
    <t>Sapiah bte Othman</t>
  </si>
  <si>
    <t>1. WUQ 177
2. WPJ 2045
3. WSY 4878
4. QMU 4076
5. DCT 143
6. WWR 5752</t>
  </si>
  <si>
    <t>WVL 5711</t>
  </si>
  <si>
    <t>045</t>
  </si>
  <si>
    <t>00056</t>
  </si>
  <si>
    <t>Shahrizal Bin Ishak</t>
  </si>
  <si>
    <t>771016-08-6773</t>
  </si>
  <si>
    <t>013-3338545</t>
  </si>
  <si>
    <t>Azlina Binti Abd Aziz</t>
  </si>
  <si>
    <t>1. WTW 7977
2. WXX 779</t>
  </si>
  <si>
    <t>1. MBN 7262</t>
  </si>
  <si>
    <t>083</t>
  </si>
  <si>
    <t>00013</t>
  </si>
  <si>
    <t>Mustapha Kamal Bin Md Salleh</t>
  </si>
  <si>
    <t>670922-05-5167</t>
  </si>
  <si>
    <t>019-3051055</t>
  </si>
  <si>
    <t>Zaharah Bt Ali</t>
  </si>
  <si>
    <t>1.WQG 8237
2. W6769E
3.'WYX xxx</t>
  </si>
  <si>
    <t>NAS8440</t>
  </si>
  <si>
    <t>057</t>
  </si>
  <si>
    <t>00064</t>
  </si>
  <si>
    <t>Md Noor Azman Musa</t>
  </si>
  <si>
    <t>780501-08-6587</t>
  </si>
  <si>
    <t>013-3822400</t>
  </si>
  <si>
    <t>Shahidah bt Seran</t>
  </si>
  <si>
    <t>1. WVS 660
2. WNM 7952
3. CBQ 9968</t>
  </si>
  <si>
    <t>040</t>
  </si>
  <si>
    <t>00014</t>
  </si>
  <si>
    <t>Azizi Umar</t>
  </si>
  <si>
    <t>740302-03-6011</t>
  </si>
  <si>
    <t>013-3921511</t>
  </si>
  <si>
    <t>Dr Siti Norhaiza Ibrahim</t>
  </si>
  <si>
    <t>1. WUC 8764
2.WKR 8765</t>
  </si>
  <si>
    <t>1. BFH 1530</t>
  </si>
  <si>
    <t>123</t>
  </si>
  <si>
    <t>00015</t>
  </si>
  <si>
    <t>Azamin Nordin</t>
  </si>
  <si>
    <t>019-2416033</t>
  </si>
  <si>
    <t>Suzanah Salam</t>
  </si>
  <si>
    <t>1.WUJ 4635
2. WSV 1308
3. W 9308 F</t>
  </si>
  <si>
    <t>1.WA 1308 L
2.WVW 8676
3.WC 9214 W</t>
  </si>
  <si>
    <t>028</t>
  </si>
  <si>
    <t>00016</t>
  </si>
  <si>
    <t>Mazlan abdullah</t>
  </si>
  <si>
    <t>760902-03-5299</t>
  </si>
  <si>
    <t>019-2608471</t>
  </si>
  <si>
    <t>Nurul najmi khamis</t>
  </si>
  <si>
    <t>1. Wng 211
2. Wa3805b</t>
  </si>
  <si>
    <t>Wuv 1637</t>
  </si>
  <si>
    <t>ZAABA BiN MAHAT</t>
  </si>
  <si>
    <t>550725-05-5751</t>
  </si>
  <si>
    <t>016-6771405</t>
  </si>
  <si>
    <t>NAJIBAH BT SHAMSUDIN</t>
  </si>
  <si>
    <t>I. WRV 4292
2. WLC 7526</t>
  </si>
  <si>
    <t>067</t>
  </si>
  <si>
    <t>00065</t>
  </si>
  <si>
    <t>RIZALMAN DARUS</t>
  </si>
  <si>
    <t>760205-02-5263</t>
  </si>
  <si>
    <t>NOR KAMALIATI BINTI KHAMIS</t>
  </si>
  <si>
    <t>1. WB760R 2. WA7600L</t>
  </si>
  <si>
    <t>1.WWX500 2.WD900B</t>
  </si>
  <si>
    <t>046</t>
  </si>
  <si>
    <t>00061</t>
  </si>
  <si>
    <t>Saiful Azlin bin Maskan</t>
  </si>
  <si>
    <t>760922-14-6279</t>
  </si>
  <si>
    <t>017-8781128</t>
  </si>
  <si>
    <t>Noris binti Mohd. Norowi</t>
  </si>
  <si>
    <t>WNY7081
JNP3034</t>
  </si>
  <si>
    <t>JMK7456</t>
  </si>
  <si>
    <t>006</t>
  </si>
  <si>
    <t>00017</t>
  </si>
  <si>
    <t>Ismail bin Mohamed Wahi</t>
  </si>
  <si>
    <t>591221-10-5533</t>
  </si>
  <si>
    <t>012-3683761</t>
  </si>
  <si>
    <t>Roslinah bt Ismail</t>
  </si>
  <si>
    <t>1. WLL 7047
2. WSK 8671
3. WGC 508
4. WXQ 5829</t>
  </si>
  <si>
    <t>1. BDL 8294
2. WTJ 480</t>
  </si>
  <si>
    <t>112</t>
  </si>
  <si>
    <t>38077</t>
  </si>
  <si>
    <t>Saiful Ezral Arifin</t>
  </si>
  <si>
    <t>Tarikh Sertai: 28 Jun 2021</t>
  </si>
  <si>
    <t>Md azmi Mohamad Sukaimi</t>
  </si>
  <si>
    <t>650710_05_5343</t>
  </si>
  <si>
    <t>Maszanah Adnan</t>
  </si>
  <si>
    <t>1- WC 7195 B
2- WPW 5032</t>
  </si>
  <si>
    <t>Why 7030</t>
  </si>
  <si>
    <t>060</t>
  </si>
  <si>
    <t>00066</t>
  </si>
  <si>
    <t>Lukman Abdul Mutalib</t>
  </si>
  <si>
    <t>660807-08-6145</t>
  </si>
  <si>
    <t>Maziyah Binti Osman</t>
  </si>
  <si>
    <t>AKA 2661</t>
  </si>
  <si>
    <t>WLN8751</t>
  </si>
  <si>
    <t>026</t>
  </si>
  <si>
    <t>00018</t>
  </si>
  <si>
    <t>Azhar Ahmad</t>
  </si>
  <si>
    <t>710219-03-5571</t>
  </si>
  <si>
    <t>019-2785686</t>
  </si>
  <si>
    <t>Asmini Mahasan</t>
  </si>
  <si>
    <t>1. WTL 7985
2. WJV 1184
3. WWT 7174</t>
  </si>
  <si>
    <t>1. BFL 1541
2. AFR 4758</t>
  </si>
  <si>
    <t>016</t>
  </si>
  <si>
    <t>00019</t>
  </si>
  <si>
    <t>Hafiz Al-Asadi Bin Ahmad Murad</t>
  </si>
  <si>
    <t>740103-08-5777</t>
  </si>
  <si>
    <t>019-3808947</t>
  </si>
  <si>
    <t>Fatimah Binti Tahir</t>
  </si>
  <si>
    <t>1. WTQ 6480
2. WD 3946 E
3. WFV 8096</t>
  </si>
  <si>
    <t>054</t>
  </si>
  <si>
    <t>00067</t>
  </si>
  <si>
    <t>Mohd Fadly Hashim</t>
  </si>
  <si>
    <t>720319-11-5287</t>
  </si>
  <si>
    <t>Noorismawati Ishak</t>
  </si>
  <si>
    <t>1. WYY 1908
2. WD 1908 E
3. WDX 1908</t>
  </si>
  <si>
    <t>Yamaha Skuter.</t>
  </si>
  <si>
    <t>120</t>
  </si>
  <si>
    <t>Mohamed Fauzi bin Mohamed Salleh</t>
  </si>
  <si>
    <t>Tarikh Sertai:5/1/2022</t>
  </si>
  <si>
    <t>055</t>
  </si>
  <si>
    <t>00068</t>
  </si>
  <si>
    <t>HASANOLZAMRI BIN AHMAD</t>
  </si>
  <si>
    <t>740716-13-5423</t>
  </si>
  <si>
    <t>019-3517185</t>
  </si>
  <si>
    <t>ROHANI BINTI REDZUAN</t>
  </si>
  <si>
    <t>1.WYM 8932
2.WVK 5556</t>
  </si>
  <si>
    <t>1. AKC 7475
2. WXL 6392</t>
  </si>
  <si>
    <t>050</t>
  </si>
  <si>
    <t>00069</t>
  </si>
  <si>
    <t>Prof. Madya Dr. Zaini Sakawi</t>
  </si>
  <si>
    <t>680718-13-5169</t>
  </si>
  <si>
    <t>013-5337668</t>
  </si>
  <si>
    <t>Sofia Binti Ayup</t>
  </si>
  <si>
    <t>1. WUD7668 2. WPU5818</t>
  </si>
  <si>
    <t>1. WXH7668</t>
  </si>
  <si>
    <t>035</t>
  </si>
  <si>
    <t>00020</t>
  </si>
  <si>
    <t>MOHD NARANG BIN ABU BAKAR</t>
  </si>
  <si>
    <t>700101-07-5071</t>
  </si>
  <si>
    <t>0122494017/0162855978</t>
  </si>
  <si>
    <t>SHARIFAH SAJIDAH BT SYED NOOR MOHAMMAD</t>
  </si>
  <si>
    <t>1.WUD 64
2. WSB 3168
3. WFQ 1475</t>
  </si>
  <si>
    <t>13A</t>
  </si>
  <si>
    <t>Sarizah Bt Sulaiman</t>
  </si>
  <si>
    <t>TIADA</t>
  </si>
  <si>
    <t>WUC5943</t>
  </si>
  <si>
    <t>068</t>
  </si>
  <si>
    <t>00070</t>
  </si>
  <si>
    <t>Esmet Sidqie bun A Muttalib</t>
  </si>
  <si>
    <t>601030-07-5403</t>
  </si>
  <si>
    <t>Siti Raihan Sazali</t>
  </si>
  <si>
    <t>1. WSY 7160
2. WVN 5560
3. WB 1174N
4. AJM 5145</t>
  </si>
  <si>
    <t>-</t>
  </si>
  <si>
    <t>004</t>
  </si>
  <si>
    <t>00021</t>
  </si>
  <si>
    <t>Mohd Halim bin Omar</t>
  </si>
  <si>
    <t>Zaitun binti said</t>
  </si>
  <si>
    <t>WJB4305
WXY346
BJA5461
MV9930</t>
  </si>
  <si>
    <t>WB9670K</t>
  </si>
  <si>
    <t>063</t>
  </si>
  <si>
    <t>00022</t>
  </si>
  <si>
    <t>Mohamad Nazri Bin Shahadan</t>
  </si>
  <si>
    <t>790203-01-6483</t>
  </si>
  <si>
    <t>Ziana Ellieza Binti Darus</t>
  </si>
  <si>
    <t>WA 3707 E</t>
  </si>
  <si>
    <t>NCW 4472
KAW 8617</t>
  </si>
  <si>
    <t>NORBAITI BINTI SIDIK</t>
  </si>
  <si>
    <t>770421-02-6032</t>
  </si>
  <si>
    <t>012-3374337</t>
  </si>
  <si>
    <t>WRJ 199</t>
  </si>
  <si>
    <t>BHE 3445</t>
  </si>
  <si>
    <t>061</t>
  </si>
  <si>
    <t>00071</t>
  </si>
  <si>
    <t>Khairol Anuar Mohd Ali</t>
  </si>
  <si>
    <t>700511-10-5179</t>
  </si>
  <si>
    <t>Shamsinar Binti Adi</t>
  </si>
  <si>
    <t>wky 338 &amp; wwn 4102</t>
  </si>
  <si>
    <t>059</t>
  </si>
  <si>
    <t>00072</t>
  </si>
  <si>
    <t>Roslimi bin Ramlee</t>
  </si>
  <si>
    <t>650302-03-5829</t>
  </si>
  <si>
    <t>013-3866555</t>
  </si>
  <si>
    <t>Rosshita bin Mansor</t>
  </si>
  <si>
    <t>1. SUKOM 1427
2. BMW 1427
3. WXM 1427
4. MBL 3839</t>
  </si>
  <si>
    <t>Mohd Alwi Misman</t>
  </si>
  <si>
    <t>740320-08-6143</t>
  </si>
  <si>
    <t>019-3515947</t>
  </si>
  <si>
    <t>Siti Khairul Zaidah Mohd Yazid</t>
  </si>
  <si>
    <t>1. WA551C
2. WC551Q
3. WFQ9500</t>
  </si>
  <si>
    <t>WB5511G</t>
  </si>
  <si>
    <t>Nil</t>
  </si>
  <si>
    <t>047</t>
  </si>
  <si>
    <t>00062</t>
  </si>
  <si>
    <t>Meor Nazrin Shah Bin Md Nasir</t>
  </si>
  <si>
    <t>790506-10-5213</t>
  </si>
  <si>
    <t>Nor'edah Binti Asmuni</t>
  </si>
  <si>
    <t>W 8047 S
WB 8047 A</t>
  </si>
  <si>
    <t>WC 8047 V
WYE 1719</t>
  </si>
  <si>
    <t>027</t>
  </si>
  <si>
    <t>Mohd Nazri b Hashim</t>
  </si>
  <si>
    <t>012-2340724</t>
  </si>
  <si>
    <t>Sharifah Rohana bt Syed Hassan</t>
  </si>
  <si>
    <t>1. VC 3973
2. WD4681F
3. WVU 6426</t>
  </si>
  <si>
    <t>1. WC9994S
2. BGF 8731</t>
  </si>
  <si>
    <t>tiada</t>
  </si>
  <si>
    <t>012</t>
  </si>
  <si>
    <t>00023</t>
  </si>
  <si>
    <t>Abdul Rahim Bin Md Arshad</t>
  </si>
  <si>
    <t>640620-10-7075</t>
  </si>
  <si>
    <t>017-3323343</t>
  </si>
  <si>
    <t>Siti Maimunah Bt Esa</t>
  </si>
  <si>
    <t>1. WVW 9467
2. WPA 6694
3. WML 776
4. WB 2581 L</t>
  </si>
  <si>
    <t>062</t>
  </si>
  <si>
    <t>00073</t>
  </si>
  <si>
    <t>HAKIM BIN ZAINAL</t>
  </si>
  <si>
    <t>661026-01-6261</t>
  </si>
  <si>
    <t>WAN FATIMAH AZDEE BT WAN KAMARUDDIN</t>
  </si>
  <si>
    <t>1. W 1620 Y
2. WSN 3031
3. WEA 7493
4. DAG 1991
5. WGH 3029</t>
  </si>
  <si>
    <t>029</t>
  </si>
  <si>
    <t>00024</t>
  </si>
  <si>
    <t>MOHAMMAD ZUHARDY BIN ABDUL MANAF</t>
  </si>
  <si>
    <t>810719-02-5415</t>
  </si>
  <si>
    <t>019-3735415</t>
  </si>
  <si>
    <t>Siti norhuda binti mohd salli</t>
  </si>
  <si>
    <t>1. WVQ 3520
2. WLW 9584</t>
  </si>
  <si>
    <t>1. WQD 7308
2. BNT 525
3. WWE 1701</t>
  </si>
  <si>
    <t>024</t>
  </si>
  <si>
    <t>00025</t>
  </si>
  <si>
    <t>MOHD NAZUL KARNINE BIN MUHAMAD</t>
  </si>
  <si>
    <t>781125-01-5797</t>
  </si>
  <si>
    <t>012-3628291</t>
  </si>
  <si>
    <t>MARINA BINTI A RAHIM++++</t>
  </si>
  <si>
    <t>WRS 8506</t>
  </si>
  <si>
    <t>WYC 7636</t>
  </si>
  <si>
    <t>051</t>
  </si>
  <si>
    <t>00074</t>
  </si>
  <si>
    <t>Badli Abu Hassan</t>
  </si>
  <si>
    <t>621222-11-5025</t>
  </si>
  <si>
    <t>017-2015928</t>
  </si>
  <si>
    <t>Sharipah Faridah Ibrahim</t>
  </si>
  <si>
    <t>1. WSM5920
2. WA1672B</t>
  </si>
  <si>
    <t>1. VL6453</t>
  </si>
  <si>
    <t>014</t>
  </si>
  <si>
    <t>00026</t>
  </si>
  <si>
    <t>Mohd Yusof Abas</t>
  </si>
  <si>
    <t>540119-11-5065</t>
  </si>
  <si>
    <t>019-3378434</t>
  </si>
  <si>
    <t>Junaidah Gani</t>
  </si>
  <si>
    <t>1. WWU 5340
2. WTA 2749
3. WUB 8370
4. WA 4642 U
5. WLJ 1594</t>
  </si>
  <si>
    <t>DY 1949</t>
  </si>
  <si>
    <t>038</t>
  </si>
  <si>
    <t>00027</t>
  </si>
  <si>
    <t>Khairul Bin Mohd Anua</t>
  </si>
  <si>
    <t>760817-05-5199</t>
  </si>
  <si>
    <t>019-2599806</t>
  </si>
  <si>
    <t>Nor Areena Bt Mohd Kamal Husaini</t>
  </si>
  <si>
    <t>1. BND 9199
2. NAJ 9299</t>
  </si>
  <si>
    <t>200</t>
  </si>
  <si>
    <t>00028</t>
  </si>
  <si>
    <t>Muadz bin Mohammed Zain</t>
  </si>
  <si>
    <t>840408-91-5039</t>
  </si>
  <si>
    <t>013-3044180</t>
  </si>
  <si>
    <t>Maria Ulfa bt Md. Shah</t>
  </si>
  <si>
    <t>1. WQU 7348
2. BLG 7235</t>
  </si>
  <si>
    <t>1. WLG 1449</t>
  </si>
  <si>
    <t>056</t>
  </si>
  <si>
    <t>00075</t>
  </si>
  <si>
    <t>WAN ZULKIFLI BIN WAN HASSAN</t>
  </si>
  <si>
    <t>721021-11-5115</t>
  </si>
  <si>
    <t>012-2568312</t>
  </si>
  <si>
    <t>NABILAH BT. ABDULLAH</t>
  </si>
  <si>
    <t>1. WC 9566 T
2. WWF 3535</t>
  </si>
  <si>
    <t>007</t>
  </si>
  <si>
    <t>00029</t>
  </si>
  <si>
    <t>Farhan bin Abdul Rahim</t>
  </si>
  <si>
    <t>761215-08-5491</t>
  </si>
  <si>
    <t>012-3143146</t>
  </si>
  <si>
    <t>Syira Sahiza Binti Abd Bashid</t>
  </si>
  <si>
    <t>1. WTF 8061
2. WYY 8061</t>
  </si>
  <si>
    <t>205</t>
  </si>
  <si>
    <t>00076</t>
  </si>
  <si>
    <t>23A</t>
  </si>
  <si>
    <t>Khairul Amin b Mohd Jamri</t>
  </si>
  <si>
    <t>761108-10-5987</t>
  </si>
  <si>
    <t>Nazaha binti Idris</t>
  </si>
  <si>
    <t>1. WNR 3523</t>
  </si>
  <si>
    <t>077</t>
  </si>
  <si>
    <t>00030</t>
  </si>
  <si>
    <t>Noraidi Nordin</t>
  </si>
  <si>
    <t>750729-10-5169</t>
  </si>
  <si>
    <t>Marina bt Md.Din</t>
  </si>
  <si>
    <t>1.BNX1777
2.WB1777F</t>
  </si>
  <si>
    <t>1.WC3177J
2.LE1177</t>
  </si>
  <si>
    <t>009</t>
  </si>
  <si>
    <t>00031</t>
  </si>
  <si>
    <t>Noor Azam Mohd Noor</t>
  </si>
  <si>
    <t>760605-14-5141</t>
  </si>
  <si>
    <t>012-3037840</t>
  </si>
  <si>
    <t>Akmalazura Abdul Aziz</t>
  </si>
  <si>
    <t>WMQ9130
WD4750D
WA4750C</t>
  </si>
  <si>
    <t>010</t>
  </si>
  <si>
    <t>00032</t>
  </si>
  <si>
    <t>ROZI BIN ZAKARIA</t>
  </si>
  <si>
    <t>750810-02-6193</t>
  </si>
  <si>
    <t>012-3171741</t>
  </si>
  <si>
    <t>AZIMAH ABDUL GHAPAR</t>
  </si>
  <si>
    <t>1. WVV 3421
2. WTV 6228</t>
  </si>
  <si>
    <t>WRA 3421</t>
  </si>
  <si>
    <t>058</t>
  </si>
  <si>
    <t>00077</t>
  </si>
  <si>
    <t>Mohammad Iqwhanus Syaffa Amir</t>
  </si>
  <si>
    <t>770723-02-5895</t>
  </si>
  <si>
    <t>Nor Fadzillah Mohd Mokhtar</t>
  </si>
  <si>
    <t>1. WB 6438 B
2. BNR 2278
3. CAT 5428</t>
  </si>
  <si>
    <t>034</t>
  </si>
  <si>
    <t>00033</t>
  </si>
  <si>
    <t>mohd rizal yaakop</t>
  </si>
  <si>
    <t>720921-08-6765</t>
  </si>
  <si>
    <t>sharifah aluya alinda dewi syed ali</t>
  </si>
  <si>
    <t>bjc9146</t>
  </si>
  <si>
    <t>048</t>
  </si>
  <si>
    <t>00063</t>
  </si>
  <si>
    <t>Noramzaidy bin Ramli</t>
  </si>
  <si>
    <t>Fety Salwany Mat Isa</t>
  </si>
  <si>
    <t>1. WA 2404 L</t>
  </si>
  <si>
    <t>002</t>
  </si>
  <si>
    <t>00034</t>
  </si>
  <si>
    <t>Saiful Irwan bin Zubairi</t>
  </si>
  <si>
    <t>800812-08-5587</t>
  </si>
  <si>
    <t>011-23526007</t>
  </si>
  <si>
    <t>Nurhafzan Anis bt Ismail</t>
  </si>
  <si>
    <t>1. WYC 9442
2. WYJ 4680</t>
  </si>
  <si>
    <t>025</t>
  </si>
  <si>
    <t>00035</t>
  </si>
  <si>
    <t>Mohammad Farhan Bin Mansor</t>
  </si>
  <si>
    <t>801005-11-5561</t>
  </si>
  <si>
    <t>Khushartini Kamarulzaman</t>
  </si>
  <si>
    <t>To be available soon</t>
  </si>
  <si>
    <t>105</t>
  </si>
  <si>
    <t>00036</t>
  </si>
  <si>
    <t>Adi Fazuli bin Mamat</t>
  </si>
  <si>
    <t>730507-03-5419</t>
  </si>
  <si>
    <t>012-3130312</t>
  </si>
  <si>
    <t>Che Hasni binti Mohamad</t>
  </si>
  <si>
    <t>1. WA 9252H
2. WSL 4354</t>
  </si>
  <si>
    <t>1.DCD 4930</t>
  </si>
  <si>
    <t>125</t>
  </si>
  <si>
    <t>00037</t>
  </si>
  <si>
    <t>Azlan iskandar ishak</t>
  </si>
  <si>
    <t>760518-14-5741</t>
  </si>
  <si>
    <t xml:space="preserve">Suria Hayati Md Pauzi </t>
  </si>
  <si>
    <t>WB6844H
WB4620P</t>
  </si>
  <si>
    <t>066</t>
  </si>
  <si>
    <t>00078</t>
  </si>
  <si>
    <t>Mohamad Termizi Hj Mohamad Yusof</t>
  </si>
  <si>
    <t>650529-08-5097</t>
  </si>
  <si>
    <t>016-2250502</t>
  </si>
  <si>
    <t>Hjh Mardziah Haji Ismail</t>
  </si>
  <si>
    <t>1. WLJ 8967
2. BLF 8967
3. VK 8967</t>
  </si>
  <si>
    <t>052</t>
  </si>
  <si>
    <t>00079</t>
  </si>
  <si>
    <t>Muhamad Azhanudin Bin Kasdi</t>
  </si>
  <si>
    <t>720707-01-5333</t>
  </si>
  <si>
    <t>012-7123559</t>
  </si>
  <si>
    <t>Maszieta Binti Maarop</t>
  </si>
  <si>
    <t>1) WUX 9312
2) JKC236</t>
  </si>
  <si>
    <t>202</t>
  </si>
  <si>
    <t>00038</t>
  </si>
  <si>
    <t>Khairudin bin Hj Mohd Ali</t>
  </si>
  <si>
    <t>750203-01-6305</t>
  </si>
  <si>
    <t>019-2677180</t>
  </si>
  <si>
    <t>Rasyidah bt Arshad</t>
  </si>
  <si>
    <t>WVM 1708
WA 8920 U
WTB 4463</t>
  </si>
  <si>
    <t>017</t>
  </si>
  <si>
    <t>00039</t>
  </si>
  <si>
    <t>MOHD NAIM BIN NORMAN</t>
  </si>
  <si>
    <t>771201-01-6507</t>
  </si>
  <si>
    <t>012-2027255</t>
  </si>
  <si>
    <t>NIK NURASHIKIN BINTI NIK MANSOR</t>
  </si>
  <si>
    <t>1. WA4004G
2. WJP4004</t>
  </si>
  <si>
    <t>JFC7903</t>
  </si>
  <si>
    <t>039</t>
  </si>
  <si>
    <t>00040</t>
  </si>
  <si>
    <t>Zainal Abidin Bin Abu Bakar</t>
  </si>
  <si>
    <t>710306-05-5255</t>
  </si>
  <si>
    <t>012-9129127</t>
  </si>
  <si>
    <t>Shuhanida Bte Ayub</t>
  </si>
  <si>
    <t>1. WTW 7176
2. WB 7176 N</t>
  </si>
  <si>
    <t>WXW 7176</t>
  </si>
  <si>
    <t>013</t>
  </si>
  <si>
    <t>00041</t>
  </si>
  <si>
    <t>Musa bin Abd. Rahman</t>
  </si>
  <si>
    <t>Puspa Ambrani binti Abdullah</t>
  </si>
  <si>
    <t>1. WYS 217
2. JFJ 9789</t>
  </si>
  <si>
    <t>020</t>
  </si>
  <si>
    <t>00042</t>
  </si>
  <si>
    <t>Hasril Hasini</t>
  </si>
  <si>
    <t>770611-08-7557</t>
  </si>
  <si>
    <t>016-2130362</t>
  </si>
  <si>
    <t>Nadzratun Naiemah Tarmiji</t>
  </si>
  <si>
    <t>1. BMY 7780
2. BKP 7780</t>
  </si>
  <si>
    <t>1. WWE 3357</t>
  </si>
  <si>
    <t>021</t>
  </si>
  <si>
    <t>00043</t>
  </si>
  <si>
    <t>Mohammad Asmadi Bin Misbah</t>
  </si>
  <si>
    <t>770703-10-5759</t>
  </si>
  <si>
    <t>013-3656710</t>
  </si>
  <si>
    <t>Norhaslinda Binti Hasan</t>
  </si>
  <si>
    <t>1. WWK 7516
2. WQM 1203</t>
  </si>
  <si>
    <t>WXQ 5940</t>
  </si>
  <si>
    <t>121</t>
  </si>
  <si>
    <t>00044</t>
  </si>
  <si>
    <t>Synol Azhan B. Mohd Sekak</t>
  </si>
  <si>
    <t>751113-14-5765</t>
  </si>
  <si>
    <t>019-3521152</t>
  </si>
  <si>
    <t>Nadzmeen Binti Mohd Sharip</t>
  </si>
  <si>
    <t>1. BLM 799
2. WD 2530 D</t>
  </si>
  <si>
    <t>1. JRG 5675</t>
  </si>
  <si>
    <t>065</t>
  </si>
  <si>
    <t>00080</t>
  </si>
  <si>
    <t>Khairul Anuar b. Abu Othman</t>
  </si>
  <si>
    <t>760515-02-5699</t>
  </si>
  <si>
    <t>013-4037000</t>
  </si>
  <si>
    <t>Aishah bt. Juri</t>
  </si>
  <si>
    <t>WTU1059
WC8159S</t>
  </si>
  <si>
    <t>WWB7651</t>
  </si>
  <si>
    <t>018</t>
  </si>
  <si>
    <t>00045</t>
  </si>
  <si>
    <t>Masli Irwan Bin Rosli</t>
  </si>
  <si>
    <t>791123-06-5415</t>
  </si>
  <si>
    <t>019-5742505</t>
  </si>
  <si>
    <t>Zeti Mazianna Binti Mazlan</t>
  </si>
  <si>
    <t>WNU 8404
WNN 2977</t>
  </si>
  <si>
    <t>WYA 1236</t>
  </si>
  <si>
    <t>069</t>
  </si>
  <si>
    <t>00046</t>
  </si>
  <si>
    <t>Ahmad Shairul Akram bin Sabli</t>
  </si>
  <si>
    <t>751128-03-6115</t>
  </si>
  <si>
    <t>012-2805455</t>
  </si>
  <si>
    <t>Jameah binti kamarudin</t>
  </si>
  <si>
    <t>1. WXC 7772
2. WKF 5974</t>
  </si>
  <si>
    <t>1. BMM 6786
2. WLJ 7466</t>
  </si>
  <si>
    <t>Mohaamad Hardi bin Abdullah</t>
  </si>
  <si>
    <t>750207-01-7049</t>
  </si>
  <si>
    <t>012-3362181</t>
  </si>
  <si>
    <t>Nor Ezatul Eza binti Jamalludin</t>
  </si>
  <si>
    <t>1. WVK2183
2. WVL8910</t>
  </si>
  <si>
    <t>031</t>
  </si>
  <si>
    <t>00047</t>
  </si>
  <si>
    <t>Zainal Adnan B Hawari</t>
  </si>
  <si>
    <t>660723-08-5145</t>
  </si>
  <si>
    <t>019-2336670</t>
  </si>
  <si>
    <t>Zurida Shahriman</t>
  </si>
  <si>
    <t>1. WSD 4352
2. WA 4678 M
3. WLL 1131</t>
  </si>
  <si>
    <t>Fithri Bin Yahaya</t>
  </si>
  <si>
    <t>850315-10-5589</t>
  </si>
  <si>
    <t>016-2226498</t>
  </si>
  <si>
    <t>Maizatul Farahah Binti Ab Ghani</t>
  </si>
  <si>
    <t>1. WTC 4486, 2. JLT 6269, 3. WPW 8545</t>
  </si>
  <si>
    <t>1. BKR 2415</t>
  </si>
  <si>
    <t>041</t>
  </si>
  <si>
    <t>00059</t>
  </si>
  <si>
    <t>Jamalullail bin Abdul Wahab</t>
  </si>
  <si>
    <t>Norlisana binti Mahmood</t>
  </si>
  <si>
    <t>1. BHX 5001
2. WB 5001Y
3. WC 5001C
4. WME 754</t>
  </si>
  <si>
    <t>019</t>
  </si>
  <si>
    <t>00048</t>
  </si>
  <si>
    <t>faisol mubarak bin ismail</t>
  </si>
  <si>
    <t>770619-01-5101</t>
  </si>
  <si>
    <t>012-6787475</t>
  </si>
  <si>
    <t>Nor Affizah Binti Abdul Ghani</t>
  </si>
  <si>
    <t>wqy 990</t>
  </si>
  <si>
    <t>206</t>
  </si>
  <si>
    <t>00081</t>
  </si>
  <si>
    <t>ZAINUL AZIZI B. MAT ZIN</t>
  </si>
  <si>
    <t>750212-03-5145</t>
  </si>
  <si>
    <t>AIDIL FARINA BT OMAR</t>
  </si>
  <si>
    <t>1. WWE 6966
2. WC 603 R</t>
  </si>
  <si>
    <t>064</t>
  </si>
  <si>
    <t>00082</t>
  </si>
  <si>
    <t>Zahariman bin Jazuli</t>
  </si>
  <si>
    <t>750106-08-5771</t>
  </si>
  <si>
    <t>Zarina bt Mohamad Napiah</t>
  </si>
  <si>
    <t>1. WWS 3587
2. BND 3587</t>
  </si>
  <si>
    <t>042</t>
  </si>
  <si>
    <t>00049</t>
  </si>
  <si>
    <t>Mohamad Nizam Jaafar</t>
  </si>
  <si>
    <t>760727-11-5047</t>
  </si>
  <si>
    <t>016-3646459</t>
  </si>
  <si>
    <t>Syahzatul Erna Taib</t>
  </si>
  <si>
    <t>1. Wyd 2587
2. Wvy 6157</t>
  </si>
  <si>
    <t>111</t>
  </si>
  <si>
    <t>00050</t>
  </si>
  <si>
    <t>M. Fadzel Selamat</t>
  </si>
  <si>
    <t>720319-01-5075</t>
  </si>
  <si>
    <t>019-3809545</t>
  </si>
  <si>
    <t>Rohaila Abdullah</t>
  </si>
  <si>
    <t>1. WYA 4105
2. WA 7273 L
3. WB 2164 E</t>
  </si>
  <si>
    <t>BMC 6482</t>
  </si>
  <si>
    <t>070</t>
  </si>
  <si>
    <t>00083</t>
  </si>
  <si>
    <t>Mustafa salleh</t>
  </si>
  <si>
    <t>670121-11-5043</t>
  </si>
  <si>
    <t>Nor Hasimah Mokhtar</t>
  </si>
  <si>
    <t>1. Blm 949
2.wwk 4586</t>
  </si>
  <si>
    <t>WkG 8926</t>
  </si>
  <si>
    <t>001</t>
  </si>
  <si>
    <t>00051</t>
  </si>
  <si>
    <t>Mohd Rosdi Naim B. Mat</t>
  </si>
  <si>
    <t>691202-06-5183</t>
  </si>
  <si>
    <t>019-3587886</t>
  </si>
  <si>
    <t>Faizah bt. Md Yasin</t>
  </si>
  <si>
    <t>1. W6324S
2. W610P
3. WGG 3601
4. VK610</t>
  </si>
  <si>
    <t>1. CAX 4082</t>
  </si>
  <si>
    <t>088</t>
  </si>
  <si>
    <t>00052</t>
  </si>
  <si>
    <t>12A</t>
  </si>
  <si>
    <t>Zul @ Zulkifli Ahamid</t>
  </si>
  <si>
    <t>700926-11-5053</t>
  </si>
  <si>
    <t>017-2228373</t>
  </si>
  <si>
    <t>Aneeza Mohamad</t>
  </si>
  <si>
    <t>1. WUS 7072
2. WA 525 D</t>
  </si>
  <si>
    <t>1. WTF 2435
2. WC 6647 W</t>
  </si>
  <si>
    <t>022</t>
  </si>
  <si>
    <t>00053</t>
  </si>
  <si>
    <t>22A</t>
  </si>
  <si>
    <t>MUHAMMAD NIZAR MANSHOR</t>
  </si>
  <si>
    <t>760627-02-5757</t>
  </si>
  <si>
    <t>019-6601660</t>
  </si>
  <si>
    <t>SHARIFAH MAJID</t>
  </si>
  <si>
    <t>KAS 2552
WB 975 W</t>
  </si>
  <si>
    <t>KBR 9496</t>
  </si>
  <si>
    <t>201</t>
  </si>
  <si>
    <t>00054</t>
  </si>
  <si>
    <t>2A</t>
  </si>
  <si>
    <t xml:space="preserve">Norazli Mohamad Nor </t>
  </si>
  <si>
    <t>721007-10-5113</t>
  </si>
  <si>
    <t xml:space="preserve">Hazdiana Bahari </t>
  </si>
  <si>
    <t>1. WWT 2310
2. WQL 7274
3. WFY 9995</t>
  </si>
  <si>
    <t>049</t>
  </si>
  <si>
    <t>00084</t>
  </si>
  <si>
    <t>32A</t>
  </si>
  <si>
    <t xml:space="preserve">Mohd. Nizam bin pujaman </t>
  </si>
  <si>
    <t>780511-01-5547</t>
  </si>
  <si>
    <t>012-2765511</t>
  </si>
  <si>
    <t>Nazarizah binti abdul rahman</t>
  </si>
  <si>
    <t>WLD1741
JRF7822</t>
  </si>
  <si>
    <t>JEX4998</t>
  </si>
  <si>
    <t>023</t>
  </si>
  <si>
    <t>00055</t>
  </si>
  <si>
    <t>42A</t>
  </si>
  <si>
    <t>Hj Bukhari Yahya</t>
  </si>
  <si>
    <t>690617-02-5453</t>
  </si>
  <si>
    <t>Hajah Paridah Abdul Rahman</t>
  </si>
  <si>
    <t>1. WC3013Q
2. WYB6061
3. WJF3091</t>
  </si>
  <si>
    <t>1. WNT3053
2. WC8155K</t>
  </si>
  <si>
    <t>Yuran Keahlian Tahunan dan Bulanan Tracker</t>
  </si>
  <si>
    <t>Grand total</t>
  </si>
  <si>
    <t>No Keahlian</t>
  </si>
  <si>
    <t>Nama</t>
  </si>
  <si>
    <t>No Rumah</t>
  </si>
  <si>
    <t>Yuran Keahlian</t>
  </si>
  <si>
    <t>Yuran Bulanan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</si>
  <si>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</si>
  <si>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</si>
  <si>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</si>
  <si>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</si>
  <si>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</si>
  <si>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</si>
  <si>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</si>
  <si>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</si>
  <si>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</si>
  <si>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</si>
  <si>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</si>
  <si>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</si>
  <si>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Jumlah</t>
  </si>
  <si>
    <t>43/5</t>
  </si>
  <si>
    <t>Cash</t>
  </si>
  <si>
    <t>Saiful Irwan bin Zubairi (Anis)</t>
  </si>
  <si>
    <t>8/5</t>
  </si>
  <si>
    <t>Online banking Maybank</t>
  </si>
  <si>
    <t>1/3</t>
  </si>
  <si>
    <t>Mohd Halim bin Omar (Zaiton)</t>
  </si>
  <si>
    <t>1/4</t>
  </si>
  <si>
    <t>RM 90 22/1/17</t>
  </si>
  <si>
    <t>Wan Yusnirfan bin Wan Yusoff (Lin)</t>
  </si>
  <si>
    <t>5/2</t>
  </si>
  <si>
    <t>Hj Ismail</t>
  </si>
  <si>
    <t>19/3</t>
  </si>
  <si>
    <t>Online banking Bank Muamalat</t>
  </si>
  <si>
    <t>Farhan Abdul Rahim</t>
  </si>
  <si>
    <t>32/5</t>
  </si>
  <si>
    <t>7/2</t>
  </si>
  <si>
    <t>2/5</t>
  </si>
  <si>
    <t>3/5</t>
  </si>
  <si>
    <t>11/2</t>
  </si>
  <si>
    <t>16/4</t>
  </si>
  <si>
    <t>19/5</t>
  </si>
  <si>
    <t>RM 110 22/1/17</t>
  </si>
  <si>
    <t>26/4</t>
  </si>
  <si>
    <t>12/2</t>
  </si>
  <si>
    <t>27/3</t>
  </si>
  <si>
    <t>17/5</t>
  </si>
  <si>
    <t xml:space="preserve">Masli </t>
  </si>
  <si>
    <t>25/5</t>
  </si>
  <si>
    <t>Faisol Mubarak Ismail</t>
  </si>
  <si>
    <t>35/5</t>
  </si>
  <si>
    <t>20/5</t>
  </si>
  <si>
    <t>21/5</t>
  </si>
  <si>
    <t>22A/5</t>
  </si>
  <si>
    <t>42A/5</t>
  </si>
  <si>
    <t>Nazul</t>
  </si>
  <si>
    <t>22/4</t>
  </si>
  <si>
    <t>Mohammad Farhan Mansor</t>
  </si>
  <si>
    <t>9/5</t>
  </si>
  <si>
    <t>Azhar Ahmad (Asmini)</t>
  </si>
  <si>
    <t>26/3</t>
  </si>
  <si>
    <t>13/4</t>
  </si>
  <si>
    <t>13/3</t>
  </si>
  <si>
    <t>Mohammad Zuhardy bin Abdul Manaf</t>
  </si>
  <si>
    <t>20/4</t>
  </si>
  <si>
    <t>Azrol Arshad</t>
  </si>
  <si>
    <t>15/2</t>
  </si>
  <si>
    <t>28/5</t>
  </si>
  <si>
    <t>Abdullah Bin Muhammed (Zura)</t>
  </si>
  <si>
    <t>3/2</t>
  </si>
  <si>
    <t>3/3</t>
  </si>
  <si>
    <t>6/5</t>
  </si>
  <si>
    <t>33/3</t>
  </si>
  <si>
    <t>9/2</t>
  </si>
  <si>
    <t>27/7/2017 Bank in</t>
  </si>
  <si>
    <t>6/2</t>
  </si>
  <si>
    <t>27/4</t>
  </si>
  <si>
    <t>18/5</t>
  </si>
  <si>
    <t>11/3</t>
  </si>
  <si>
    <t>Jamalullail</t>
  </si>
  <si>
    <t>33/5</t>
  </si>
  <si>
    <t>Nizam</t>
  </si>
  <si>
    <t>40/5</t>
  </si>
  <si>
    <t>Mohd Razali</t>
  </si>
  <si>
    <t>2/2</t>
  </si>
  <si>
    <t>2/3</t>
  </si>
  <si>
    <t>6/3</t>
  </si>
  <si>
    <t>Saiful Azlin Maskan</t>
  </si>
  <si>
    <t>18/3</t>
  </si>
  <si>
    <t>12/4</t>
  </si>
  <si>
    <t>7/5</t>
  </si>
  <si>
    <t>32A/5</t>
  </si>
  <si>
    <t>31/3</t>
  </si>
  <si>
    <t>23/4</t>
  </si>
  <si>
    <t>15/5</t>
  </si>
  <si>
    <t>5/3</t>
  </si>
  <si>
    <t>Fadly</t>
  </si>
  <si>
    <t>28/3</t>
  </si>
  <si>
    <t>cash</t>
  </si>
  <si>
    <t>30/3</t>
  </si>
  <si>
    <t>29/4</t>
  </si>
  <si>
    <t>Online banking</t>
  </si>
  <si>
    <t>Online banking 25 Jul 2017</t>
  </si>
  <si>
    <t>10/3</t>
  </si>
  <si>
    <t>90 Online banking  31/12/2017 Maybank</t>
  </si>
  <si>
    <t>5/5</t>
  </si>
  <si>
    <t>9/4</t>
  </si>
  <si>
    <t>25/3</t>
  </si>
  <si>
    <t>Khairul Anuar Ali</t>
  </si>
  <si>
    <t>7 /4</t>
  </si>
  <si>
    <t>19/4</t>
  </si>
  <si>
    <t>3/4</t>
  </si>
  <si>
    <t>Zariman</t>
  </si>
  <si>
    <t>39/5</t>
  </si>
  <si>
    <t>23/5</t>
  </si>
  <si>
    <t>Termizi</t>
  </si>
  <si>
    <t>13/5</t>
  </si>
  <si>
    <t>Bank in</t>
  </si>
  <si>
    <t>17/3</t>
  </si>
  <si>
    <t>Ismeet</t>
  </si>
  <si>
    <t>3A/3</t>
  </si>
  <si>
    <t>Shairul</t>
  </si>
  <si>
    <t>26/5</t>
  </si>
  <si>
    <t>42/5</t>
  </si>
  <si>
    <t>071</t>
  </si>
  <si>
    <t>Zaki</t>
  </si>
  <si>
    <t>31/4</t>
  </si>
  <si>
    <t>072</t>
  </si>
  <si>
    <t>Abdul Aziz Mohd Zohdi</t>
  </si>
  <si>
    <t>20/2</t>
  </si>
  <si>
    <t>073</t>
  </si>
  <si>
    <t>Badrol Hisham Ibrahim</t>
  </si>
  <si>
    <t>18/4</t>
  </si>
  <si>
    <t>074</t>
  </si>
  <si>
    <t xml:space="preserve">Zainul Alam </t>
  </si>
  <si>
    <t>3A/2</t>
  </si>
  <si>
    <t>075</t>
  </si>
  <si>
    <t>Buslima</t>
  </si>
  <si>
    <t>7/3</t>
  </si>
  <si>
    <t>076</t>
  </si>
  <si>
    <t>Jusmawardi</t>
  </si>
  <si>
    <t>2A/4</t>
  </si>
  <si>
    <t>1/5</t>
  </si>
  <si>
    <t>078</t>
  </si>
  <si>
    <t>Noor Asna Mokhtar</t>
  </si>
  <si>
    <t>22/3</t>
  </si>
  <si>
    <t>079</t>
  </si>
  <si>
    <t>080</t>
  </si>
  <si>
    <t>6/4</t>
  </si>
  <si>
    <t>Bank in 3/1/2018</t>
  </si>
  <si>
    <t>081</t>
  </si>
  <si>
    <t>082</t>
  </si>
  <si>
    <t>8/3</t>
  </si>
  <si>
    <t>084</t>
  </si>
  <si>
    <t>085</t>
  </si>
  <si>
    <t>086</t>
  </si>
  <si>
    <t>087</t>
  </si>
  <si>
    <t>12A/5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</si>
  <si>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</si>
  <si>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</si>
  <si>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</si>
  <si>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</si>
  <si>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</si>
  <si>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</si>
  <si>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</si>
  <si>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</si>
  <si>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</si>
  <si>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</si>
  <si>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</si>
  <si>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</si>
  <si>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</si>
  <si>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</si>
  <si>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</si>
  <si>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</si>
  <si>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10/5</t>
  </si>
  <si>
    <t>106</t>
  </si>
  <si>
    <t>107</t>
  </si>
  <si>
    <t>108</t>
  </si>
  <si>
    <t>109</t>
  </si>
  <si>
    <t>110</t>
  </si>
  <si>
    <t>41/5</t>
  </si>
  <si>
    <t>113</t>
  </si>
  <si>
    <t>114</t>
  </si>
  <si>
    <t>115</t>
  </si>
  <si>
    <t>116</t>
  </si>
  <si>
    <t>117</t>
  </si>
  <si>
    <t>118</t>
  </si>
  <si>
    <t>119</t>
  </si>
  <si>
    <t>Azhan</t>
  </si>
  <si>
    <t>22/5</t>
  </si>
  <si>
    <t>122</t>
  </si>
  <si>
    <t>12/3</t>
  </si>
  <si>
    <t>124</t>
  </si>
  <si>
    <t>12/5</t>
  </si>
  <si>
    <t>Muadz</t>
  </si>
  <si>
    <t>28/4</t>
  </si>
  <si>
    <t>2A/5</t>
  </si>
  <si>
    <t>Khairudin</t>
  </si>
  <si>
    <t>16/5</t>
  </si>
  <si>
    <t>Online banking MBB 2/3/17 RM 110</t>
  </si>
  <si>
    <t>Fauzi</t>
  </si>
  <si>
    <t>1/2</t>
  </si>
  <si>
    <t>23A/4</t>
  </si>
  <si>
    <t>Zainul Azizi Mat Zin</t>
  </si>
  <si>
    <t>207</t>
  </si>
  <si>
    <t>Ustaz Faizal</t>
  </si>
  <si>
    <t>30/5</t>
  </si>
  <si>
    <t>208</t>
  </si>
  <si>
    <t>Amir Shukri Kamaruizaman Bin Sahol Hamid</t>
  </si>
  <si>
    <t>13/2</t>
  </si>
  <si>
    <t>Total</t>
  </si>
  <si>
    <t>Online banking  4/4/2018</t>
  </si>
  <si>
    <t>Cash 31/1/2018</t>
  </si>
  <si>
    <t>Online 15/32019</t>
  </si>
  <si>
    <t>cash 27/7/2018</t>
  </si>
  <si>
    <t>Cash 1/1/2018</t>
  </si>
  <si>
    <t>Online banking 5/4/2018</t>
  </si>
  <si>
    <t>Online banking 8/8/17 Maybank</t>
  </si>
  <si>
    <t>Cash 5/1/18</t>
  </si>
  <si>
    <t>Online banking 6/1/18 CIMB</t>
  </si>
  <si>
    <t>Online banking 2/1/2020</t>
  </si>
  <si>
    <t>Online banking 10/3/2019</t>
  </si>
  <si>
    <t>Online banking 8/1/18 MBB</t>
  </si>
  <si>
    <t>Online banking 2/1/18 MBB</t>
  </si>
  <si>
    <t>Online banking 28/2/2018</t>
  </si>
  <si>
    <t>Online banking 29/1/2018</t>
  </si>
  <si>
    <t>Online banking 22/1/2018</t>
  </si>
  <si>
    <t>Online Banking 1/1/2018 CIMB</t>
  </si>
  <si>
    <t>Online banking 31/12/2017 -Together with RM 90 from 2017 outstanding</t>
  </si>
  <si>
    <t>online Banking: 26/1/2021</t>
  </si>
  <si>
    <t>Resit belum keluar</t>
  </si>
  <si>
    <t>online Banking: 18/8/2021</t>
  </si>
  <si>
    <t>Bank in 11/3/2019</t>
  </si>
  <si>
    <t>Tawfiq</t>
  </si>
  <si>
    <t>15/4</t>
  </si>
  <si>
    <t xml:space="preserve">Lina Ahmad </t>
  </si>
  <si>
    <t>11/5</t>
  </si>
  <si>
    <t>27/5</t>
  </si>
  <si>
    <t>Ahli Baru 2018</t>
  </si>
  <si>
    <t>Mustapa</t>
  </si>
  <si>
    <t>21/3</t>
  </si>
  <si>
    <t>Cash 11/3/2019</t>
  </si>
  <si>
    <t>Online 15/3/2019</t>
  </si>
  <si>
    <t>Cash 2/1/2020</t>
  </si>
  <si>
    <t>Online 22/9/2018</t>
  </si>
  <si>
    <t>18/2</t>
  </si>
  <si>
    <t>Online banking 15/3/2019</t>
  </si>
  <si>
    <t>Zainul</t>
  </si>
  <si>
    <t>Online banking 8/3/2019</t>
  </si>
  <si>
    <t>Contra claim 18 March 2019</t>
  </si>
  <si>
    <t>Zaidi Mohamad</t>
  </si>
  <si>
    <t>online Banking: 28/8/2022</t>
  </si>
  <si>
    <t>Cash 11 Jan 2020</t>
  </si>
  <si>
    <t>Online transfer during 2019 AGM</t>
  </si>
  <si>
    <t>Online bankin 17/3/2019</t>
  </si>
  <si>
    <t>Online banking 14/3/2019</t>
  </si>
  <si>
    <t>online banking 1/2/2020</t>
  </si>
  <si>
    <t>Update 26/1/2021</t>
  </si>
  <si>
    <t>Online transfer 2/1/2020 by Adli</t>
  </si>
  <si>
    <t>Online banking 27/2/2019</t>
  </si>
  <si>
    <t>online banking 15/3/2019</t>
  </si>
  <si>
    <t>online banking 11/3/2019</t>
  </si>
  <si>
    <t>online banking 9/3/2019</t>
  </si>
  <si>
    <t>online banking 20/1/2020</t>
  </si>
  <si>
    <t>MBB transfer 19/04/2020</t>
  </si>
  <si>
    <t>online banking 31/12/2019 by Rina Razali</t>
  </si>
  <si>
    <t>online transfer 28/09/2019</t>
  </si>
  <si>
    <t>Online transfer 7/1/2020</t>
  </si>
  <si>
    <t>Online banking 27/1/2020</t>
  </si>
  <si>
    <t>Online banking 22/3/2019</t>
  </si>
  <si>
    <t>online Banking: 21/1/2021</t>
  </si>
  <si>
    <t>Dato' Mohd Fadly Bin Hashim</t>
  </si>
  <si>
    <t>Online banking:  18 Jan 2021</t>
  </si>
  <si>
    <t>Ahli Baru</t>
  </si>
  <si>
    <t>Online banking 28/2/19</t>
  </si>
  <si>
    <t>Online banking 3/12/19. Ahli Baru</t>
  </si>
  <si>
    <t>Online banking 7/1/2020</t>
  </si>
  <si>
    <t>32/4</t>
  </si>
  <si>
    <t>on;line banking 5/1/2020</t>
  </si>
  <si>
    <t>Online banking 16/1/2020</t>
  </si>
  <si>
    <t xml:space="preserve">Online banking </t>
  </si>
  <si>
    <t>Online banking 20/1/2020</t>
  </si>
  <si>
    <t>MBB 19/04/2020</t>
  </si>
  <si>
    <t>online Banking: 26/5/2021</t>
  </si>
  <si>
    <t>online Banking: 28/1/2021</t>
  </si>
  <si>
    <t>online Banking: 22/1/2021</t>
  </si>
  <si>
    <t>Online Banking 10/1/2020</t>
  </si>
  <si>
    <t>online Banking: 5/1/2022</t>
  </si>
  <si>
    <t>Online banking 10/4/2020</t>
  </si>
  <si>
    <t>online Banking: 29/1/2021</t>
  </si>
  <si>
    <t>Online banking: 18 Jan 2021</t>
  </si>
  <si>
    <t>Online banking: 17 Ogos 2021</t>
  </si>
  <si>
    <t>Cash: 27/1/2021</t>
  </si>
  <si>
    <t>online Banking: 25/1/2021</t>
  </si>
  <si>
    <t>online Banking: 24/4/2021</t>
  </si>
  <si>
    <t>online Banking: 24/1/2021</t>
  </si>
  <si>
    <t>online Banking: 20/1/2021</t>
  </si>
  <si>
    <t>fund transfer: 31/12/2021</t>
  </si>
  <si>
    <t>online Banking: 17/1/2021</t>
  </si>
  <si>
    <t>Cash: 22/1/2021</t>
  </si>
  <si>
    <t>Mohd Nazul Karnine Muhamad</t>
  </si>
  <si>
    <t>online Banking: 9/3/2021</t>
  </si>
  <si>
    <t>online Banking: 11/3/2021</t>
  </si>
  <si>
    <t>fund transfer: 22/4/2022</t>
  </si>
  <si>
    <t>Jamalullail Abdul Wahab</t>
  </si>
  <si>
    <t>online Banking: 18/1/2021</t>
  </si>
  <si>
    <t>online Banking: 23/1/2021</t>
  </si>
  <si>
    <t>RM360</t>
  </si>
  <si>
    <t>2019 - 2021</t>
  </si>
  <si>
    <t>RM240</t>
  </si>
  <si>
    <t>2020, 2021</t>
  </si>
  <si>
    <t>Cash  pd 11 Mac 2021</t>
  </si>
  <si>
    <t>online Banking: 4/6/2021</t>
  </si>
  <si>
    <t>Termizi Hj Yusof</t>
  </si>
  <si>
    <t>Esmet Sidqie bin A. Muttalib</t>
  </si>
  <si>
    <t>Online Banking: 20/1/2021</t>
  </si>
  <si>
    <t>Online Banking: 18 Jan 2021</t>
  </si>
  <si>
    <t>Total Bayar</t>
  </si>
  <si>
    <t>Jumlah Ahli</t>
  </si>
  <si>
    <t>cash Banking: 19/5/2021</t>
  </si>
  <si>
    <t>Saiful Ezral Bin Arifiin</t>
  </si>
  <si>
    <t>20/3</t>
  </si>
  <si>
    <t>Online Banking: 28 Jun 2021 (plus yuran daftar)</t>
  </si>
  <si>
    <t>16/5 (31/5)</t>
  </si>
  <si>
    <t>paid in advance</t>
  </si>
  <si>
    <t>Mustafa Mohd Yassin</t>
  </si>
  <si>
    <t>209</t>
  </si>
  <si>
    <t>Muhammad Fitri Muhammad Hashim</t>
  </si>
  <si>
    <t>17/4</t>
  </si>
  <si>
    <t>Tunggakan Yuran</t>
  </si>
  <si>
    <t>Tahun</t>
  </si>
  <si>
    <t>Mohamad Yusrey Mahat</t>
  </si>
  <si>
    <t>Rozi Zakaria</t>
  </si>
  <si>
    <t>Zainal Aabidin hj Saari</t>
  </si>
  <si>
    <t>Mohd Naim Norman</t>
  </si>
  <si>
    <t>Muhammad Nizar Manshor</t>
  </si>
  <si>
    <t>Syamsul Arifin bin Muhd Irpan</t>
  </si>
  <si>
    <t>Mohd Razali Mohamad</t>
  </si>
  <si>
    <t xml:space="preserve">Mohd. Nizam bin Pujaman </t>
  </si>
  <si>
    <t>Rizalman Darus</t>
  </si>
  <si>
    <t>Zakir</t>
  </si>
  <si>
    <t>N/A</t>
  </si>
  <si>
    <t xml:space="preserve">Mohamed Fauzi bin Mohamed Salleh </t>
  </si>
  <si>
    <t>29/3</t>
  </si>
  <si>
    <t>Azlan Iskandar Ishak</t>
  </si>
  <si>
    <t>Ustaz Faizal (Mustafa Mohd Yassin)</t>
  </si>
  <si>
    <t>pindah</t>
  </si>
  <si>
    <t>fund transfer: 28/8/2022</t>
  </si>
  <si>
    <t>Cash: 15/3/2022</t>
  </si>
  <si>
    <t>Cash: 2/1/2022</t>
  </si>
  <si>
    <t>online Banking: 14/1/2022</t>
  </si>
  <si>
    <t>Zainal Abidin hj Saari</t>
  </si>
  <si>
    <t>Cash: 18/1/2022</t>
  </si>
  <si>
    <t>fund transfer: 3/1/2022</t>
  </si>
  <si>
    <t>fund transfer: 13/2/2022</t>
  </si>
  <si>
    <t>fund transfer: 26/3/2022</t>
  </si>
  <si>
    <t>fund transfer: 9/5/2022</t>
  </si>
  <si>
    <t>fund transfer: 24/5/2022</t>
  </si>
  <si>
    <t>Mohd Rizal Yaakop</t>
  </si>
  <si>
    <t>Mohd Narang Abu Bakar</t>
  </si>
  <si>
    <t>Tahun  2021 &amp; 2022</t>
  </si>
  <si>
    <t>fund transfer: 5/1/2022</t>
  </si>
  <si>
    <t>fund transfer: 9/1/2022</t>
  </si>
  <si>
    <t>fund transfer: 28/2/2022</t>
  </si>
  <si>
    <t>HasanolZamri Bin Ahmad</t>
  </si>
  <si>
    <t>Wan Zulkifli Wan Hassan</t>
  </si>
  <si>
    <t>Hakim Zainal</t>
  </si>
  <si>
    <t>Ustaz Khairul Anuar b. Abu Othman</t>
  </si>
  <si>
    <t>Norbaiti Binti Sidik</t>
  </si>
  <si>
    <t>online Banking: 17/1/2022</t>
  </si>
  <si>
    <t>Yuran ahli baharu</t>
  </si>
  <si>
    <t>online Banking: 16/1/2022</t>
  </si>
  <si>
    <t>online Banking: 23/8/2022</t>
  </si>
  <si>
    <t>Penyewa telah berpindah</t>
  </si>
  <si>
    <t>Penyata Kewangan 2022</t>
  </si>
  <si>
    <t>RM</t>
  </si>
  <si>
    <t>Tarikh</t>
  </si>
  <si>
    <t>Terima dari Tn Azamin Pendahuluan Gotong Royong (18 Jan 2022)</t>
  </si>
  <si>
    <t>16/1</t>
  </si>
  <si>
    <t>Yuran Zainal Saari</t>
  </si>
  <si>
    <t>18/1</t>
  </si>
  <si>
    <t>Yuran Hj Ismail</t>
  </si>
  <si>
    <t>Bayar pada Azamin Pendahuluan Gotong Royong pd 18/1</t>
  </si>
  <si>
    <t>Caterer Abang Nik Zul (Syauqina Cafe)</t>
  </si>
  <si>
    <t>120x 15.00</t>
  </si>
  <si>
    <t>Akaun</t>
  </si>
  <si>
    <t>CIMB</t>
  </si>
  <si>
    <t>Bayaran Irfan/Lin minum pagi gotong royong RM5x 100</t>
  </si>
  <si>
    <t>100 x 5.00</t>
  </si>
  <si>
    <t>Alatan Gotong Royong FS Home Hardware (Glove 100, facemask 100)</t>
  </si>
  <si>
    <t>Alatan Gotong Royong Chuan Heng Trading</t>
  </si>
  <si>
    <t>Speedmart: Kertas Pembungkus Makanan, plastik bag</t>
  </si>
  <si>
    <t>Kedai Acheh: Plastik Pembungkus Makanan dan Getah 1 beg</t>
  </si>
  <si>
    <t>Nasi Kukus Villa Seafood: Alam Flora dan MPKJ</t>
  </si>
  <si>
    <t>40x 6.50</t>
  </si>
  <si>
    <t>Kuih Aneka Gotong Royong</t>
  </si>
  <si>
    <t>Total Belanja Gotong Royong</t>
  </si>
  <si>
    <t>Baki daripada 1500</t>
  </si>
  <si>
    <t>LAPORAN KEWANGAN TAHUN BERAKHIR 31 DISEMBER 2022</t>
  </si>
  <si>
    <t>PERSATUAN PENDUDUK TAMAN TROPIKA (PPTT), KAJANG</t>
  </si>
  <si>
    <t>A) PENYATA PENDAPATAN BAGI TAHUN BERAKHIR 31 DISEMBER 2022</t>
  </si>
  <si>
    <t>HASIL</t>
  </si>
  <si>
    <t>NO</t>
  </si>
  <si>
    <t>KETERANGAN</t>
  </si>
  <si>
    <t>JUMLAH (RM)</t>
  </si>
  <si>
    <t>JUMLAH HASIL (RM)</t>
  </si>
  <si>
    <t>BELANJA</t>
  </si>
  <si>
    <t>Bayaran Jamuan Makan Majlis Gotong Royong (18/1/2022) – Syauqina Cafe 120x 15.00</t>
  </si>
  <si>
    <t>Kelengkapan Majlis Gotong Royong dan Tambahan Makanan (18/1/2022)</t>
  </si>
  <si>
    <t>Pecahan
 (2)</t>
  </si>
  <si>
    <t>Nasi Kukus Villa Seafood: Alam Flora dan MPKJ 
 40x 6.50</t>
  </si>
  <si>
    <t>Baki Tunai di Tangan</t>
  </si>
  <si>
    <t>Jamuan Makan AGM (28/8/2022)</t>
  </si>
  <si>
    <t>27/8/2022</t>
  </si>
  <si>
    <t>Pembelian Hamper AGM (28/8/2022)</t>
  </si>
  <si>
    <t>Sewa Dewan Al-Amin (Guna baki di tangan dari penyata 2021)</t>
  </si>
  <si>
    <t>JUMLAH BELANJA (RM)</t>
  </si>
  <si>
    <t>B) PENYATA ALIRAN TUNAI BAGI TAHUN BERAKHIR 31 DISEMBER 2022</t>
  </si>
  <si>
    <t>Baki Sebenar</t>
  </si>
  <si>
    <t>Baki Tunai di bank pada 31/12/2021</t>
  </si>
  <si>
    <t>xx</t>
  </si>
  <si>
    <t>Baki Tunai di tangan pada 31/12/2021</t>
  </si>
  <si>
    <t>Disediakan oleh,</t>
  </si>
  <si>
    <t>MARWELIES MOHD YUSUFF</t>
  </si>
  <si>
    <t>Bendahari Persatuan Penduduk Taman Tropika Kajang</t>
  </si>
  <si>
    <t>LAPORAN PEMERIKSA KIRA-KIRA</t>
  </si>
  <si>
    <t>AKAUN PERSATUAN PENDUDUK TAMAN TROPIKA BAGI TAHUN 2022</t>
  </si>
  <si>
    <t>Saya selaku Pemeriksa Kira-kira Persatuan Penduduk Taman Tropika (PPTT) Kajang telah memeriksa Penyata Pendapatan bagi tahun berakhir 31 Disember 2022 serta nota-nota, rekod-rekod dan buku-buku yang berkaitan. Dengan itu diperakukan bahawa:</t>
  </si>
  <si>
    <t>1. Akaun PPTT Kajang yang dikemukakan telah direkodkan dengan sempurna dan diselenggara dengan baik dan teratur.</t>
  </si>
  <si>
    <t>2. Penyata pendapatan bersama-sama dengan nota-nota yang berkaitan memberi gambaran yang benar dan saksama terhadap transaksi dan kedudukan kewangan PPTT Kajang.</t>
  </si>
  <si>
    <t>Bersama-sama ini disertakan salinan Penyata Pendapatan yang telah diperiksa untuk dibentangkan dalam Mesyuarat Agung Tahunan PPTT Kajang 2022.</t>
  </si>
  <si>
    <t>TUAN HJ ABDUL AZIZ MOHD ZOHDI</t>
  </si>
  <si>
    <t>Pemeriksa Kira-kira 1</t>
  </si>
  <si>
    <t>ABDULLAH MUHAMMED</t>
  </si>
  <si>
    <t>Pemeriksa Kira-kira 2</t>
  </si>
  <si>
    <t xml:space="preserve">Syamsul Ariffin </t>
  </si>
  <si>
    <t>Mohd Nazri Hashim</t>
  </si>
  <si>
    <t xml:space="preserve">Othman Mohamed </t>
  </si>
  <si>
    <t>Mustapha</t>
  </si>
  <si>
    <t>Zaidi</t>
  </si>
  <si>
    <t>Faisol Boboboi</t>
  </si>
  <si>
    <t>Mazlan</t>
  </si>
  <si>
    <t>Fithri Yahaya</t>
  </si>
  <si>
    <t>fund transfer: 17/09/2022</t>
  </si>
  <si>
    <t>fund transfer: 04/09/2022</t>
  </si>
  <si>
    <t>Kos mesyuarat AJK PPTT di Restoran Adam Jidy - 16/09/2022</t>
  </si>
  <si>
    <t>fund transfer: 21/09/2022</t>
  </si>
  <si>
    <t>online banking 20/09/2022</t>
  </si>
  <si>
    <t>online Banking: 20/09/2022</t>
  </si>
  <si>
    <t>fund transfer: 20/09/2022 Tahun 2019 - 2023</t>
  </si>
  <si>
    <t>fund transfer - 28/8/2022 Tahun 2019 - 2022</t>
  </si>
  <si>
    <t xml:space="preserve"> </t>
  </si>
  <si>
    <t>fund transfer: 25/02/2022</t>
  </si>
  <si>
    <t>fund transfer: 04/10/2022</t>
  </si>
  <si>
    <t>fund transfer: 02/10/2022</t>
  </si>
  <si>
    <t>fund transfer: 23/09/2022</t>
  </si>
  <si>
    <t>Sumbangan pada ahli PPTT - Program Ziarah 03/10</t>
  </si>
  <si>
    <t>fund transfer: 11/10/2022</t>
  </si>
  <si>
    <t>fund transfer: 10/10/2022</t>
  </si>
  <si>
    <t>last updated: 31 Disember 2022</t>
  </si>
  <si>
    <t>penyewa</t>
  </si>
  <si>
    <t>Cenderahati untuk ex AJK 2020/2021 - 26.09.2022</t>
  </si>
  <si>
    <t>Print Sijil Penghargaan dan Perlantikan AJK sesi 2020/2021 dan 2022/2023 - 15.10.2022</t>
  </si>
  <si>
    <t>Majlis Penghargaan untuk AJK sesi 2020/2021 di Horizon Garden - 15.10.2022</t>
  </si>
  <si>
    <t>Transfer 14.01.2023</t>
  </si>
  <si>
    <t>Transfer 16.01.2023</t>
  </si>
  <si>
    <t>Transfer 01.02.2023</t>
  </si>
  <si>
    <t>Transfer 20.09.2022</t>
  </si>
  <si>
    <t>Transfer 02.02.2023</t>
  </si>
  <si>
    <t>Kerja2 membekal, memasang dan mengecat bracket stone barricade di Jalan 2 - 06.12.2022</t>
  </si>
  <si>
    <t>Meeting AJK di Adam Jidy - 08.12.2022</t>
  </si>
  <si>
    <t>Lin - settled by wilis</t>
  </si>
  <si>
    <t>wilis</t>
  </si>
  <si>
    <t>zura</t>
  </si>
  <si>
    <t>Hj Halim</t>
  </si>
  <si>
    <t xml:space="preserve">Lin </t>
  </si>
  <si>
    <t>Datin Isma</t>
  </si>
  <si>
    <t>Persatuan Muslimat</t>
  </si>
  <si>
    <t>Pembelian hadiah sempena Program Maulidur Rasul - 30.10.2022 (hadiah tambahan)</t>
  </si>
  <si>
    <t>Pembelian hadiah sempena Program Maulidur Rasul - 30.10.2022</t>
  </si>
  <si>
    <t>Hj Halim (settled by Dr Abdullah)</t>
  </si>
  <si>
    <t>Meeting AJK di Adam Jidy - 29.01.2023 - jumaat pagi</t>
  </si>
  <si>
    <t>Sewaan canopy (Ayob Canopy)</t>
  </si>
  <si>
    <t>Meja buffet</t>
  </si>
  <si>
    <t>Upah architect design pathway dari jalan besar ke sekolah - Hj Halim</t>
  </si>
  <si>
    <t>Sarapan pagi sempena gotong royong taman - 03.06.2023</t>
  </si>
  <si>
    <t>Upcoming programs : MAJU - 10.06.2023</t>
  </si>
  <si>
    <t>Lin</t>
  </si>
  <si>
    <t>Dr Abdullah</t>
  </si>
  <si>
    <t>Jamuan makan</t>
  </si>
  <si>
    <t>Dr - RM 400, Lin RM 100 (settled by wilis)</t>
  </si>
  <si>
    <t>Transfer14.01.2023</t>
  </si>
  <si>
    <t>Abdul Hanif Bin Che Hamid</t>
  </si>
  <si>
    <t>Transfer 08.03.2023</t>
  </si>
  <si>
    <t>Sarizah Binti Sulaiman</t>
  </si>
  <si>
    <t>13A/3</t>
  </si>
  <si>
    <t>Transfer 16.03.2023</t>
  </si>
  <si>
    <t>Transfer 04.04.2023</t>
  </si>
  <si>
    <t>Transfer 28.04.2023</t>
  </si>
  <si>
    <t>Transfer 17.05.2023</t>
  </si>
  <si>
    <t>Transfer 22.05.2023</t>
  </si>
  <si>
    <t>Transfer 05.06.2023</t>
  </si>
  <si>
    <t>Dr Husaini Bin Hussin</t>
  </si>
  <si>
    <t>new 2023</t>
  </si>
  <si>
    <t>Transfer 22.08.2023</t>
  </si>
  <si>
    <t>Transfer 10.09.2023</t>
  </si>
  <si>
    <t>Transfer 11.09.2023</t>
  </si>
  <si>
    <t>Transfer 12.09.2023</t>
  </si>
  <si>
    <t>fund transfer: 02/09/2022</t>
  </si>
  <si>
    <t>online Banking: 5/1/2022 (Yuran 2021 dan 2022 paid RM240)</t>
  </si>
  <si>
    <t>Yuran 2021 dan 2022</t>
  </si>
  <si>
    <t>fund transfer: 29/10/2022 (RM 50), 20.01.2023 (RM 50), 25/02/2023 (RM 50)</t>
  </si>
  <si>
    <t>5.25+8.05</t>
  </si>
  <si>
    <t>253.20+15</t>
  </si>
  <si>
    <t>plastik</t>
  </si>
  <si>
    <t>nasi kukus</t>
  </si>
  <si>
    <t>fund transfer: 2019-2022. Paid in advance 15.03.2019</t>
  </si>
  <si>
    <t>x resit</t>
  </si>
  <si>
    <t>Tolak : Pengeluaran</t>
  </si>
  <si>
    <t>Baki Tunai di bank pada 01/01/2022</t>
  </si>
  <si>
    <t>Terimaan / Hasil</t>
  </si>
  <si>
    <t>BIL</t>
  </si>
  <si>
    <t>BIL.</t>
  </si>
  <si>
    <t>(RM)</t>
  </si>
  <si>
    <t>Baki Tunai di tangan pada 31/12/2020 - RM 182.46</t>
  </si>
  <si>
    <t xml:space="preserve">            Service charge</t>
  </si>
  <si>
    <t xml:space="preserve">Yuran bulanan 01 Jan – 31 Disember 2022 (38 x RM 120) </t>
  </si>
  <si>
    <t>Yuran bulanan 01 Jan – 31 Disember 2022 - (1 x RM 50)</t>
  </si>
  <si>
    <t>Yuran Tunggakan 2021 (4 x RM 120)</t>
  </si>
  <si>
    <t>Yuran Tunggakan 2020 (2 x RM 120)</t>
  </si>
  <si>
    <t>Yuran Tunggakan 2019 (2 x RM 120)</t>
  </si>
  <si>
    <t>Yuran Keahlian baru (1 x RM 20)</t>
  </si>
  <si>
    <t>Yuran In Advance - 2023 (1 x RM 120) - 20.09.2022</t>
  </si>
  <si>
    <t>Transfer 28.09.2023 utk 2022 &amp; 2023</t>
  </si>
  <si>
    <t>Terlebih RM 10 - 15/08/2023 (Bank in RM 100)</t>
  </si>
  <si>
    <t>online Banking - 22.05.2023</t>
  </si>
  <si>
    <t>rekod tak wujud</t>
  </si>
  <si>
    <t>Transfer 29.12.2023</t>
  </si>
  <si>
    <t>Cash. Transfer 29.12.2023</t>
  </si>
  <si>
    <t>cash 21.01.2024</t>
  </si>
  <si>
    <t>Transfer 10.02.2024</t>
  </si>
  <si>
    <t>Transfer - RM 240 - 2024 &amp; 2023 - 25.01.2024</t>
  </si>
  <si>
    <t>Cash 05.2024 - RM 240 - 2023 &amp; 2024</t>
  </si>
  <si>
    <t>Transfer 08.05.2024 - RM 360</t>
  </si>
  <si>
    <t xml:space="preserve">Razali Bin Embong </t>
  </si>
  <si>
    <t>Razali Bin Embong (owner skrg - Mohd Hairos Soleh Bin Alimi)</t>
  </si>
  <si>
    <t>Transfer 21.06.2024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</si>
</sst>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MYR]\ #,##0.00"/>
    <numFmt numFmtId="165" formatCode="m/d"/>
    <numFmt numFmtId="166" formatCode="_(* #,##0.00_);_(* \(#,##0.00\);_(* &quot;-&quot;??_);_(@_)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sz val="11"/>
      <color rgb="FF0070C0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Roboto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rgb="FF000000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EBF1DE"/>
        <bgColor rgb="FFEBF1DE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F7CAAC"/>
        <bgColor rgb="FFF7CAAC"/>
      </patternFill>
    </fill>
    <fill>
      <patternFill patternType="solid">
        <fgColor rgb="FFB4C6E7"/>
        <bgColor rgb="FFB4C6E7"/>
      </patternFill>
    </fill>
    <fill>
      <patternFill patternType="solid">
        <fgColor rgb="FFD9EAD3"/>
        <bgColor rgb="FFD9EAD3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EF2CB"/>
      </patternFill>
    </fill>
    <fill>
      <patternFill patternType="solid">
        <fgColor theme="9" tint="0.59999389629810485"/>
        <bgColor rgb="FFF7CAAC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rgb="FFD9EAD3"/>
      </patternFill>
    </fill>
    <fill>
      <patternFill patternType="solid">
        <fgColor rgb="FFFFFF00"/>
        <bgColor rgb="FFE2EFD9"/>
      </patternFill>
    </fill>
    <fill>
      <patternFill patternType="solid">
        <fgColor rgb="FFFFFF00"/>
        <bgColor rgb="FFF4CCCC"/>
      </patternFill>
    </fill>
    <fill>
      <patternFill patternType="solid">
        <fgColor rgb="FFFFFF00"/>
        <bgColor rgb="FFC5E0B3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rgb="FFFEF2CB"/>
      </patternFill>
    </fill>
    <fill>
      <patternFill patternType="solid">
        <fgColor rgb="FF92D050"/>
        <bgColor rgb="FFFFF2CC"/>
      </patternFill>
    </fill>
    <fill>
      <patternFill patternType="solid">
        <fgColor rgb="FF92D050"/>
        <bgColor rgb="FFFEF2CB"/>
      </patternFill>
    </fill>
    <fill>
      <patternFill patternType="solid">
        <fgColor rgb="FF92D050"/>
        <bgColor rgb="FFE2EFD9"/>
      </patternFill>
    </fill>
    <fill>
      <patternFill patternType="solid">
        <fgColor rgb="FF92D050"/>
        <bgColor rgb="FFD9EAD3"/>
      </patternFill>
    </fill>
    <fill>
      <patternFill patternType="solid">
        <fgColor theme="9" tint="0.59999389629810485"/>
        <bgColor rgb="FFC5E0B3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0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400">
    <xf numFmtId="0" fontId="0" fillId="0" borderId="0" xfId="0"/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/>
    <xf numFmtId="0" fontId="4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/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49" fontId="4" fillId="4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49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6" fillId="0" borderId="0" xfId="0" applyFont="1"/>
    <xf numFmtId="0" fontId="4" fillId="5" borderId="1" xfId="0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center"/>
    </xf>
    <xf numFmtId="0" fontId="7" fillId="5" borderId="1" xfId="0" applyFont="1" applyFill="1" applyBorder="1"/>
    <xf numFmtId="0" fontId="4" fillId="5" borderId="1" xfId="0" applyFont="1" applyFill="1" applyBorder="1"/>
    <xf numFmtId="0" fontId="6" fillId="5" borderId="0" xfId="0" applyFont="1" applyFill="1"/>
    <xf numFmtId="0" fontId="5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9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3" fillId="0" borderId="2" xfId="0" applyFont="1" applyBorder="1"/>
    <xf numFmtId="0" fontId="3" fillId="0" borderId="0" xfId="0" applyFont="1" applyAlignment="1">
      <alignment horizontal="center"/>
    </xf>
    <xf numFmtId="49" fontId="3" fillId="0" borderId="0" xfId="0" applyNumberFormat="1" applyFont="1"/>
    <xf numFmtId="49" fontId="3" fillId="0" borderId="0" xfId="0" applyNumberFormat="1" applyFont="1" applyAlignment="1">
      <alignment horizontal="center"/>
    </xf>
    <xf numFmtId="1" fontId="3" fillId="0" borderId="1" xfId="0" applyNumberFormat="1" applyFont="1" applyBorder="1" applyAlignment="1">
      <alignment horizontal="center"/>
    </xf>
    <xf numFmtId="49" fontId="8" fillId="0" borderId="0" xfId="0" applyNumberFormat="1" applyFont="1"/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164" fontId="8" fillId="0" borderId="0" xfId="0" applyNumberFormat="1" applyFont="1"/>
    <xf numFmtId="0" fontId="8" fillId="6" borderId="1" xfId="0" applyFont="1" applyFill="1" applyBorder="1"/>
    <xf numFmtId="0" fontId="8" fillId="0" borderId="1" xfId="0" applyFont="1" applyBorder="1"/>
    <xf numFmtId="49" fontId="8" fillId="0" borderId="1" xfId="0" quotePrefix="1" applyNumberFormat="1" applyFont="1" applyBorder="1"/>
    <xf numFmtId="0" fontId="4" fillId="7" borderId="1" xfId="0" applyFont="1" applyFill="1" applyBorder="1"/>
    <xf numFmtId="49" fontId="8" fillId="0" borderId="1" xfId="0" applyNumberFormat="1" applyFont="1" applyBorder="1"/>
    <xf numFmtId="0" fontId="8" fillId="7" borderId="1" xfId="0" applyFont="1" applyFill="1" applyBorder="1"/>
    <xf numFmtId="0" fontId="8" fillId="8" borderId="1" xfId="0" applyFont="1" applyFill="1" applyBorder="1"/>
    <xf numFmtId="0" fontId="8" fillId="9" borderId="1" xfId="0" applyFont="1" applyFill="1" applyBorder="1"/>
    <xf numFmtId="0" fontId="4" fillId="9" borderId="1" xfId="0" applyFont="1" applyFill="1" applyBorder="1"/>
    <xf numFmtId="0" fontId="4" fillId="9" borderId="7" xfId="0" applyFont="1" applyFill="1" applyBorder="1"/>
    <xf numFmtId="0" fontId="8" fillId="0" borderId="0" xfId="0" applyFont="1"/>
    <xf numFmtId="0" fontId="3" fillId="9" borderId="1" xfId="0" applyFont="1" applyFill="1" applyBorder="1"/>
    <xf numFmtId="0" fontId="3" fillId="7" borderId="1" xfId="0" applyFont="1" applyFill="1" applyBorder="1"/>
    <xf numFmtId="0" fontId="11" fillId="0" borderId="1" xfId="0" applyFont="1" applyBorder="1"/>
    <xf numFmtId="0" fontId="8" fillId="10" borderId="1" xfId="0" applyFont="1" applyFill="1" applyBorder="1"/>
    <xf numFmtId="49" fontId="8" fillId="10" borderId="1" xfId="0" applyNumberFormat="1" applyFont="1" applyFill="1" applyBorder="1"/>
    <xf numFmtId="0" fontId="3" fillId="10" borderId="1" xfId="0" applyFont="1" applyFill="1" applyBorder="1"/>
    <xf numFmtId="0" fontId="8" fillId="10" borderId="7" xfId="0" applyFont="1" applyFill="1" applyBorder="1"/>
    <xf numFmtId="14" fontId="8" fillId="0" borderId="0" xfId="0" applyNumberFormat="1" applyFont="1"/>
    <xf numFmtId="0" fontId="4" fillId="0" borderId="0" xfId="0" applyFont="1"/>
    <xf numFmtId="0" fontId="8" fillId="6" borderId="7" xfId="0" applyFont="1" applyFill="1" applyBorder="1" applyAlignment="1">
      <alignment horizontal="center"/>
    </xf>
    <xf numFmtId="0" fontId="8" fillId="6" borderId="7" xfId="0" applyFont="1" applyFill="1" applyBorder="1"/>
    <xf numFmtId="0" fontId="12" fillId="0" borderId="1" xfId="0" applyFont="1" applyBorder="1"/>
    <xf numFmtId="49" fontId="8" fillId="11" borderId="1" xfId="0" applyNumberFormat="1" applyFont="1" applyFill="1" applyBorder="1"/>
    <xf numFmtId="0" fontId="4" fillId="11" borderId="1" xfId="0" applyFont="1" applyFill="1" applyBorder="1"/>
    <xf numFmtId="0" fontId="8" fillId="11" borderId="1" xfId="0" applyFont="1" applyFill="1" applyBorder="1"/>
    <xf numFmtId="0" fontId="8" fillId="11" borderId="7" xfId="0" applyFont="1" applyFill="1" applyBorder="1"/>
    <xf numFmtId="14" fontId="8" fillId="10" borderId="7" xfId="0" applyNumberFormat="1" applyFont="1" applyFill="1" applyBorder="1"/>
    <xf numFmtId="0" fontId="3" fillId="11" borderId="1" xfId="0" applyFont="1" applyFill="1" applyBorder="1"/>
    <xf numFmtId="49" fontId="8" fillId="12" borderId="1" xfId="0" applyNumberFormat="1" applyFont="1" applyFill="1" applyBorder="1"/>
    <xf numFmtId="0" fontId="3" fillId="12" borderId="1" xfId="0" applyFont="1" applyFill="1" applyBorder="1"/>
    <xf numFmtId="0" fontId="8" fillId="12" borderId="1" xfId="0" applyFont="1" applyFill="1" applyBorder="1"/>
    <xf numFmtId="0" fontId="8" fillId="12" borderId="7" xfId="0" applyFont="1" applyFill="1" applyBorder="1"/>
    <xf numFmtId="0" fontId="8" fillId="13" borderId="7" xfId="0" applyFont="1" applyFill="1" applyBorder="1"/>
    <xf numFmtId="49" fontId="8" fillId="5" borderId="1" xfId="0" applyNumberFormat="1" applyFont="1" applyFill="1" applyBorder="1"/>
    <xf numFmtId="0" fontId="8" fillId="5" borderId="1" xfId="0" applyFont="1" applyFill="1" applyBorder="1"/>
    <xf numFmtId="0" fontId="8" fillId="5" borderId="7" xfId="0" applyFont="1" applyFill="1" applyBorder="1"/>
    <xf numFmtId="49" fontId="8" fillId="14" borderId="1" xfId="0" applyNumberFormat="1" applyFont="1" applyFill="1" applyBorder="1"/>
    <xf numFmtId="0" fontId="8" fillId="14" borderId="1" xfId="0" applyFont="1" applyFill="1" applyBorder="1"/>
    <xf numFmtId="0" fontId="8" fillId="14" borderId="7" xfId="0" applyFont="1" applyFill="1" applyBorder="1"/>
    <xf numFmtId="49" fontId="8" fillId="4" borderId="1" xfId="0" applyNumberFormat="1" applyFont="1" applyFill="1" applyBorder="1"/>
    <xf numFmtId="0" fontId="8" fillId="4" borderId="1" xfId="0" applyFont="1" applyFill="1" applyBorder="1"/>
    <xf numFmtId="0" fontId="12" fillId="4" borderId="1" xfId="0" applyFont="1" applyFill="1" applyBorder="1"/>
    <xf numFmtId="0" fontId="4" fillId="12" borderId="1" xfId="0" applyFont="1" applyFill="1" applyBorder="1"/>
    <xf numFmtId="0" fontId="7" fillId="5" borderId="7" xfId="0" applyFont="1" applyFill="1" applyBorder="1"/>
    <xf numFmtId="49" fontId="8" fillId="15" borderId="1" xfId="0" applyNumberFormat="1" applyFont="1" applyFill="1" applyBorder="1"/>
    <xf numFmtId="0" fontId="3" fillId="15" borderId="1" xfId="0" applyFont="1" applyFill="1" applyBorder="1"/>
    <xf numFmtId="0" fontId="8" fillId="15" borderId="1" xfId="0" applyFont="1" applyFill="1" applyBorder="1"/>
    <xf numFmtId="0" fontId="8" fillId="15" borderId="0" xfId="0" applyFont="1" applyFill="1"/>
    <xf numFmtId="0" fontId="8" fillId="15" borderId="7" xfId="0" applyFont="1" applyFill="1" applyBorder="1"/>
    <xf numFmtId="0" fontId="6" fillId="15" borderId="0" xfId="0" applyFont="1" applyFill="1"/>
    <xf numFmtId="0" fontId="7" fillId="12" borderId="1" xfId="0" applyFont="1" applyFill="1" applyBorder="1"/>
    <xf numFmtId="0" fontId="7" fillId="12" borderId="8" xfId="0" applyFont="1" applyFill="1" applyBorder="1"/>
    <xf numFmtId="0" fontId="8" fillId="16" borderId="7" xfId="0" applyFont="1" applyFill="1" applyBorder="1"/>
    <xf numFmtId="0" fontId="8" fillId="16" borderId="1" xfId="0" applyFont="1" applyFill="1" applyBorder="1"/>
    <xf numFmtId="0" fontId="4" fillId="12" borderId="7" xfId="0" applyFont="1" applyFill="1" applyBorder="1"/>
    <xf numFmtId="49" fontId="8" fillId="6" borderId="1" xfId="0" applyNumberFormat="1" applyFont="1" applyFill="1" applyBorder="1"/>
    <xf numFmtId="0" fontId="4" fillId="16" borderId="1" xfId="0" applyFont="1" applyFill="1" applyBorder="1"/>
    <xf numFmtId="49" fontId="8" fillId="16" borderId="1" xfId="0" applyNumberFormat="1" applyFont="1" applyFill="1" applyBorder="1"/>
    <xf numFmtId="0" fontId="7" fillId="15" borderId="1" xfId="0" applyFont="1" applyFill="1" applyBorder="1"/>
    <xf numFmtId="0" fontId="7" fillId="15" borderId="8" xfId="0" applyFont="1" applyFill="1" applyBorder="1"/>
    <xf numFmtId="3" fontId="7" fillId="15" borderId="8" xfId="0" applyNumberFormat="1" applyFont="1" applyFill="1" applyBorder="1"/>
    <xf numFmtId="0" fontId="6" fillId="4" borderId="0" xfId="0" applyFont="1" applyFill="1"/>
    <xf numFmtId="3" fontId="8" fillId="0" borderId="0" xfId="0" applyNumberFormat="1" applyFont="1"/>
    <xf numFmtId="0" fontId="8" fillId="5" borderId="0" xfId="0" applyFont="1" applyFill="1"/>
    <xf numFmtId="0" fontId="8" fillId="7" borderId="7" xfId="0" applyFont="1" applyFill="1" applyBorder="1"/>
    <xf numFmtId="0" fontId="8" fillId="12" borderId="0" xfId="0" applyFont="1" applyFill="1"/>
    <xf numFmtId="0" fontId="13" fillId="12" borderId="0" xfId="0" applyFont="1" applyFill="1"/>
    <xf numFmtId="0" fontId="6" fillId="12" borderId="0" xfId="0" applyFont="1" applyFill="1"/>
    <xf numFmtId="0" fontId="8" fillId="4" borderId="7" xfId="0" applyFont="1" applyFill="1" applyBorder="1"/>
    <xf numFmtId="0" fontId="3" fillId="4" borderId="1" xfId="0" applyFont="1" applyFill="1" applyBorder="1"/>
    <xf numFmtId="0" fontId="4" fillId="4" borderId="1" xfId="0" applyFont="1" applyFill="1" applyBorder="1"/>
    <xf numFmtId="0" fontId="15" fillId="17" borderId="0" xfId="0" applyFont="1" applyFill="1"/>
    <xf numFmtId="0" fontId="3" fillId="17" borderId="0" xfId="0" applyFont="1" applyFill="1"/>
    <xf numFmtId="0" fontId="7" fillId="0" borderId="1" xfId="0" applyFont="1" applyBorder="1"/>
    <xf numFmtId="0" fontId="8" fillId="4" borderId="0" xfId="0" applyFont="1" applyFill="1"/>
    <xf numFmtId="0" fontId="8" fillId="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5" xfId="0" applyFont="1" applyBorder="1"/>
    <xf numFmtId="0" fontId="4" fillId="19" borderId="1" xfId="0" applyFont="1" applyFill="1" applyBorder="1"/>
    <xf numFmtId="0" fontId="8" fillId="19" borderId="1" xfId="0" applyFont="1" applyFill="1" applyBorder="1"/>
    <xf numFmtId="0" fontId="8" fillId="19" borderId="0" xfId="0" applyFont="1" applyFill="1"/>
    <xf numFmtId="0" fontId="8" fillId="0" borderId="9" xfId="0" applyFont="1" applyBorder="1"/>
    <xf numFmtId="0" fontId="8" fillId="0" borderId="10" xfId="0" applyFont="1" applyBorder="1"/>
    <xf numFmtId="0" fontId="8" fillId="6" borderId="11" xfId="0" applyFont="1" applyFill="1" applyBorder="1"/>
    <xf numFmtId="0" fontId="17" fillId="0" borderId="0" xfId="0" applyFont="1"/>
    <xf numFmtId="165" fontId="6" fillId="0" borderId="0" xfId="0" applyNumberFormat="1" applyFont="1" applyAlignment="1">
      <alignment horizontal="left"/>
    </xf>
    <xf numFmtId="0" fontId="6" fillId="3" borderId="0" xfId="0" applyFont="1" applyFill="1"/>
    <xf numFmtId="0" fontId="18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8" fillId="0" borderId="1" xfId="0" applyFont="1" applyBorder="1" applyAlignment="1">
      <alignment horizontal="left" vertical="top"/>
    </xf>
    <xf numFmtId="0" fontId="18" fillId="0" borderId="5" xfId="0" applyFont="1" applyBorder="1" applyAlignment="1">
      <alignment horizontal="left" vertical="top"/>
    </xf>
    <xf numFmtId="0" fontId="18" fillId="0" borderId="6" xfId="0" applyFont="1" applyBorder="1" applyAlignment="1">
      <alignment horizontal="left" vertical="top"/>
    </xf>
    <xf numFmtId="0" fontId="18" fillId="0" borderId="12" xfId="0" applyFont="1" applyBorder="1" applyAlignment="1">
      <alignment horizontal="left" vertical="top"/>
    </xf>
    <xf numFmtId="4" fontId="18" fillId="0" borderId="12" xfId="0" applyNumberFormat="1" applyFont="1" applyBorder="1" applyAlignment="1">
      <alignment horizontal="left" vertical="top"/>
    </xf>
    <xf numFmtId="0" fontId="19" fillId="0" borderId="12" xfId="0" applyFont="1" applyBorder="1" applyAlignment="1">
      <alignment horizontal="left" vertical="top"/>
    </xf>
    <xf numFmtId="0" fontId="18" fillId="0" borderId="0" xfId="0" applyFont="1"/>
    <xf numFmtId="16" fontId="8" fillId="0" borderId="0" xfId="0" quotePrefix="1" applyNumberFormat="1" applyFont="1"/>
    <xf numFmtId="0" fontId="8" fillId="0" borderId="0" xfId="0" quotePrefix="1" applyFont="1"/>
    <xf numFmtId="49" fontId="8" fillId="20" borderId="1" xfId="0" applyNumberFormat="1" applyFont="1" applyFill="1" applyBorder="1"/>
    <xf numFmtId="0" fontId="8" fillId="20" borderId="1" xfId="0" applyFont="1" applyFill="1" applyBorder="1"/>
    <xf numFmtId="0" fontId="8" fillId="20" borderId="0" xfId="0" applyFont="1" applyFill="1"/>
    <xf numFmtId="0" fontId="6" fillId="20" borderId="0" xfId="0" applyFont="1" applyFill="1"/>
    <xf numFmtId="0" fontId="0" fillId="20" borderId="0" xfId="0" applyFill="1"/>
    <xf numFmtId="0" fontId="6" fillId="21" borderId="0" xfId="0" applyFont="1" applyFill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8" fillId="19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8" fillId="20" borderId="1" xfId="0" applyNumberFormat="1" applyFont="1" applyFill="1" applyBorder="1" applyAlignment="1">
      <alignment horizontal="center"/>
    </xf>
    <xf numFmtId="49" fontId="8" fillId="19" borderId="1" xfId="0" applyNumberFormat="1" applyFont="1" applyFill="1" applyBorder="1" applyAlignment="1">
      <alignment horizontal="center"/>
    </xf>
    <xf numFmtId="0" fontId="8" fillId="22" borderId="1" xfId="0" applyFont="1" applyFill="1" applyBorder="1"/>
    <xf numFmtId="49" fontId="8" fillId="22" borderId="1" xfId="0" applyNumberFormat="1" applyFont="1" applyFill="1" applyBorder="1"/>
    <xf numFmtId="0" fontId="0" fillId="22" borderId="1" xfId="0" applyFill="1" applyBorder="1"/>
    <xf numFmtId="0" fontId="8" fillId="22" borderId="0" xfId="0" applyFont="1" applyFill="1"/>
    <xf numFmtId="0" fontId="6" fillId="23" borderId="7" xfId="0" applyFont="1" applyFill="1" applyBorder="1"/>
    <xf numFmtId="0" fontId="0" fillId="22" borderId="0" xfId="0" applyFill="1"/>
    <xf numFmtId="49" fontId="8" fillId="23" borderId="1" xfId="0" applyNumberFormat="1" applyFont="1" applyFill="1" applyBorder="1"/>
    <xf numFmtId="0" fontId="8" fillId="23" borderId="1" xfId="0" applyFont="1" applyFill="1" applyBorder="1"/>
    <xf numFmtId="0" fontId="8" fillId="23" borderId="7" xfId="0" applyFont="1" applyFill="1" applyBorder="1"/>
    <xf numFmtId="0" fontId="8" fillId="24" borderId="7" xfId="0" applyFont="1" applyFill="1" applyBorder="1"/>
    <xf numFmtId="0" fontId="6" fillId="22" borderId="0" xfId="0" applyFont="1" applyFill="1"/>
    <xf numFmtId="0" fontId="14" fillId="7" borderId="0" xfId="0" applyFont="1" applyFill="1" applyAlignment="1">
      <alignment horizontal="center" wrapText="1"/>
    </xf>
    <xf numFmtId="0" fontId="18" fillId="21" borderId="12" xfId="0" applyFont="1" applyFill="1" applyBorder="1" applyAlignment="1">
      <alignment horizontal="left" vertical="top"/>
    </xf>
    <xf numFmtId="43" fontId="19" fillId="0" borderId="14" xfId="1" applyFont="1" applyBorder="1" applyAlignment="1">
      <alignment vertical="top"/>
    </xf>
    <xf numFmtId="43" fontId="19" fillId="21" borderId="12" xfId="1" applyFont="1" applyFill="1" applyBorder="1" applyAlignment="1">
      <alignment horizontal="left" vertical="top"/>
    </xf>
    <xf numFmtId="0" fontId="18" fillId="0" borderId="1" xfId="0" applyFont="1" applyBorder="1" applyAlignment="1">
      <alignment horizontal="center" vertical="top"/>
    </xf>
    <xf numFmtId="0" fontId="18" fillId="0" borderId="6" xfId="0" applyFont="1" applyBorder="1" applyAlignment="1">
      <alignment horizontal="center" vertical="top"/>
    </xf>
    <xf numFmtId="0" fontId="8" fillId="0" borderId="7" xfId="0" applyFont="1" applyBorder="1"/>
    <xf numFmtId="0" fontId="6" fillId="0" borderId="7" xfId="0" applyFont="1" applyBorder="1"/>
    <xf numFmtId="0" fontId="13" fillId="0" borderId="0" xfId="0" applyFont="1"/>
    <xf numFmtId="0" fontId="16" fillId="0" borderId="1" xfId="0" applyFont="1" applyBorder="1"/>
    <xf numFmtId="49" fontId="8" fillId="0" borderId="3" xfId="0" applyNumberFormat="1" applyFont="1" applyBorder="1" applyAlignment="1">
      <alignment horizontal="center"/>
    </xf>
    <xf numFmtId="0" fontId="4" fillId="22" borderId="1" xfId="0" applyFont="1" applyFill="1" applyBorder="1"/>
    <xf numFmtId="49" fontId="8" fillId="22" borderId="1" xfId="0" applyNumberFormat="1" applyFont="1" applyFill="1" applyBorder="1" applyAlignment="1">
      <alignment horizontal="center"/>
    </xf>
    <xf numFmtId="0" fontId="8" fillId="22" borderId="7" xfId="0" applyFont="1" applyFill="1" applyBorder="1"/>
    <xf numFmtId="0" fontId="3" fillId="22" borderId="1" xfId="0" applyFont="1" applyFill="1" applyBorder="1"/>
    <xf numFmtId="0" fontId="6" fillId="22" borderId="7" xfId="0" applyFont="1" applyFill="1" applyBorder="1"/>
    <xf numFmtId="43" fontId="18" fillId="0" borderId="12" xfId="0" applyNumberFormat="1" applyFont="1" applyBorder="1" applyAlignment="1">
      <alignment horizontal="left" vertical="top"/>
    </xf>
    <xf numFmtId="0" fontId="18" fillId="0" borderId="8" xfId="0" applyFont="1" applyBorder="1" applyAlignment="1">
      <alignment horizontal="left" vertical="top"/>
    </xf>
    <xf numFmtId="0" fontId="18" fillId="25" borderId="12" xfId="0" applyFont="1" applyFill="1" applyBorder="1" applyAlignment="1">
      <alignment horizontal="left" vertical="top"/>
    </xf>
    <xf numFmtId="0" fontId="18" fillId="0" borderId="16" xfId="0" applyFont="1" applyBorder="1" applyAlignment="1">
      <alignment horizontal="center" vertical="top"/>
    </xf>
    <xf numFmtId="0" fontId="18" fillId="0" borderId="13" xfId="0" applyFont="1" applyBorder="1" applyAlignment="1">
      <alignment horizontal="left" vertical="top"/>
    </xf>
    <xf numFmtId="0" fontId="18" fillId="0" borderId="15" xfId="0" applyFont="1" applyBorder="1" applyAlignment="1">
      <alignment horizontal="left" vertical="top"/>
    </xf>
    <xf numFmtId="0" fontId="18" fillId="0" borderId="15" xfId="0" applyFont="1" applyBorder="1"/>
    <xf numFmtId="0" fontId="18" fillId="0" borderId="17" xfId="0" applyFont="1" applyBorder="1"/>
    <xf numFmtId="0" fontId="18" fillId="25" borderId="15" xfId="0" applyFont="1" applyFill="1" applyBorder="1" applyAlignment="1">
      <alignment horizontal="left" vertical="top"/>
    </xf>
    <xf numFmtId="0" fontId="1" fillId="0" borderId="0" xfId="0" applyFont="1"/>
    <xf numFmtId="0" fontId="8" fillId="6" borderId="1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22" borderId="8" xfId="0" applyFont="1" applyFill="1" applyBorder="1" applyAlignment="1">
      <alignment horizontal="center"/>
    </xf>
    <xf numFmtId="0" fontId="8" fillId="22" borderId="1" xfId="0" applyFont="1" applyFill="1" applyBorder="1" applyAlignment="1">
      <alignment horizontal="center"/>
    </xf>
    <xf numFmtId="0" fontId="6" fillId="22" borderId="10" xfId="0" applyFont="1" applyFill="1" applyBorder="1"/>
    <xf numFmtId="0" fontId="7" fillId="0" borderId="1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22" borderId="1" xfId="0" applyFont="1" applyFill="1" applyBorder="1" applyAlignment="1">
      <alignment horizontal="center"/>
    </xf>
    <xf numFmtId="0" fontId="7" fillId="22" borderId="8" xfId="0" applyFont="1" applyFill="1" applyBorder="1" applyAlignment="1">
      <alignment horizontal="center"/>
    </xf>
    <xf numFmtId="0" fontId="7" fillId="22" borderId="5" xfId="0" applyFont="1" applyFill="1" applyBorder="1" applyAlignment="1">
      <alignment horizontal="center"/>
    </xf>
    <xf numFmtId="0" fontId="8" fillId="22" borderId="2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49" fontId="8" fillId="0" borderId="1" xfId="0" quotePrefix="1" applyNumberFormat="1" applyFont="1" applyBorder="1" applyAlignment="1">
      <alignment horizontal="center"/>
    </xf>
    <xf numFmtId="0" fontId="6" fillId="0" borderId="1" xfId="0" applyFont="1" applyBorder="1"/>
    <xf numFmtId="49" fontId="6" fillId="0" borderId="1" xfId="0" applyNumberFormat="1" applyFont="1" applyBorder="1" applyAlignment="1">
      <alignment horizontal="center"/>
    </xf>
    <xf numFmtId="0" fontId="6" fillId="21" borderId="0" xfId="0" applyFont="1" applyFill="1" applyAlignment="1">
      <alignment horizontal="center"/>
    </xf>
    <xf numFmtId="0" fontId="6" fillId="22" borderId="1" xfId="0" applyFont="1" applyFill="1" applyBorder="1"/>
    <xf numFmtId="49" fontId="6" fillId="22" borderId="1" xfId="0" applyNumberFormat="1" applyFont="1" applyFill="1" applyBorder="1" applyAlignment="1">
      <alignment horizontal="center"/>
    </xf>
    <xf numFmtId="0" fontId="8" fillId="22" borderId="6" xfId="0" applyFont="1" applyFill="1" applyBorder="1" applyAlignment="1">
      <alignment horizontal="center"/>
    </xf>
    <xf numFmtId="0" fontId="4" fillId="22" borderId="7" xfId="0" applyFont="1" applyFill="1" applyBorder="1"/>
    <xf numFmtId="0" fontId="0" fillId="0" borderId="7" xfId="0" applyBorder="1" applyAlignment="1">
      <alignment horizontal="center"/>
    </xf>
    <xf numFmtId="0" fontId="13" fillId="7" borderId="7" xfId="0" applyFont="1" applyFill="1" applyBorder="1" applyAlignment="1">
      <alignment horizontal="center"/>
    </xf>
    <xf numFmtId="0" fontId="8" fillId="6" borderId="15" xfId="0" applyFont="1" applyFill="1" applyBorder="1" applyAlignment="1">
      <alignment horizontal="center"/>
    </xf>
    <xf numFmtId="0" fontId="8" fillId="12" borderId="15" xfId="0" applyFont="1" applyFill="1" applyBorder="1" applyAlignment="1">
      <alignment horizontal="center"/>
    </xf>
    <xf numFmtId="0" fontId="13" fillId="7" borderId="15" xfId="0" applyFont="1" applyFill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8" fillId="18" borderId="15" xfId="0" applyFont="1" applyFill="1" applyBorder="1" applyAlignment="1">
      <alignment horizontal="center"/>
    </xf>
    <xf numFmtId="0" fontId="8" fillId="21" borderId="15" xfId="0" applyFont="1" applyFill="1" applyBorder="1" applyAlignment="1">
      <alignment horizontal="center"/>
    </xf>
    <xf numFmtId="0" fontId="6" fillId="21" borderId="15" xfId="0" applyFont="1" applyFill="1" applyBorder="1" applyAlignment="1">
      <alignment horizontal="center"/>
    </xf>
    <xf numFmtId="49" fontId="8" fillId="4" borderId="1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49" fontId="8" fillId="4" borderId="3" xfId="0" applyNumberFormat="1" applyFont="1" applyFill="1" applyBorder="1" applyAlignment="1">
      <alignment horizontal="center"/>
    </xf>
    <xf numFmtId="49" fontId="6" fillId="0" borderId="3" xfId="0" applyNumberFormat="1" applyFont="1" applyBorder="1" applyAlignment="1">
      <alignment horizontal="center"/>
    </xf>
    <xf numFmtId="49" fontId="8" fillId="15" borderId="3" xfId="0" applyNumberFormat="1" applyFont="1" applyFill="1" applyBorder="1" applyAlignment="1">
      <alignment horizontal="center"/>
    </xf>
    <xf numFmtId="0" fontId="6" fillId="0" borderId="7" xfId="0" applyFont="1" applyBorder="1" applyAlignment="1">
      <alignment horizontal="left"/>
    </xf>
    <xf numFmtId="43" fontId="0" fillId="0" borderId="0" xfId="1" applyFont="1" applyAlignment="1">
      <alignment horizontal="center"/>
    </xf>
    <xf numFmtId="0" fontId="8" fillId="27" borderId="1" xfId="0" applyFont="1" applyFill="1" applyBorder="1"/>
    <xf numFmtId="49" fontId="8" fillId="27" borderId="1" xfId="0" applyNumberFormat="1" applyFont="1" applyFill="1" applyBorder="1" applyAlignment="1">
      <alignment horizontal="center"/>
    </xf>
    <xf numFmtId="0" fontId="7" fillId="27" borderId="1" xfId="0" applyFont="1" applyFill="1" applyBorder="1"/>
    <xf numFmtId="0" fontId="7" fillId="27" borderId="8" xfId="0" applyFont="1" applyFill="1" applyBorder="1"/>
    <xf numFmtId="0" fontId="8" fillId="27" borderId="7" xfId="0" applyFont="1" applyFill="1" applyBorder="1" applyAlignment="1">
      <alignment horizontal="center"/>
    </xf>
    <xf numFmtId="0" fontId="8" fillId="27" borderId="7" xfId="0" applyFont="1" applyFill="1" applyBorder="1"/>
    <xf numFmtId="0" fontId="4" fillId="28" borderId="1" xfId="0" applyFont="1" applyFill="1" applyBorder="1"/>
    <xf numFmtId="49" fontId="8" fillId="28" borderId="1" xfId="0" applyNumberFormat="1" applyFont="1" applyFill="1" applyBorder="1" applyAlignment="1">
      <alignment horizontal="center"/>
    </xf>
    <xf numFmtId="0" fontId="8" fillId="28" borderId="1" xfId="0" applyFont="1" applyFill="1" applyBorder="1"/>
    <xf numFmtId="0" fontId="7" fillId="28" borderId="8" xfId="0" applyFont="1" applyFill="1" applyBorder="1"/>
    <xf numFmtId="0" fontId="8" fillId="29" borderId="7" xfId="0" applyFont="1" applyFill="1" applyBorder="1" applyAlignment="1">
      <alignment horizontal="center"/>
    </xf>
    <xf numFmtId="0" fontId="8" fillId="29" borderId="7" xfId="0" applyFont="1" applyFill="1" applyBorder="1"/>
    <xf numFmtId="0" fontId="6" fillId="29" borderId="0" xfId="0" applyFont="1" applyFill="1"/>
    <xf numFmtId="0" fontId="8" fillId="30" borderId="7" xfId="0" applyFont="1" applyFill="1" applyBorder="1"/>
    <xf numFmtId="0" fontId="0" fillId="21" borderId="0" xfId="0" applyFill="1"/>
    <xf numFmtId="0" fontId="8" fillId="21" borderId="0" xfId="0" applyFont="1" applyFill="1"/>
    <xf numFmtId="0" fontId="4" fillId="27" borderId="1" xfId="0" applyFont="1" applyFill="1" applyBorder="1"/>
    <xf numFmtId="0" fontId="8" fillId="30" borderId="7" xfId="0" applyFont="1" applyFill="1" applyBorder="1" applyAlignment="1">
      <alignment horizontal="center"/>
    </xf>
    <xf numFmtId="0" fontId="8" fillId="28" borderId="7" xfId="0" applyFont="1" applyFill="1" applyBorder="1" applyAlignment="1">
      <alignment horizontal="center"/>
    </xf>
    <xf numFmtId="0" fontId="8" fillId="28" borderId="7" xfId="0" applyFont="1" applyFill="1" applyBorder="1"/>
    <xf numFmtId="0" fontId="4" fillId="28" borderId="7" xfId="0" applyFont="1" applyFill="1" applyBorder="1"/>
    <xf numFmtId="0" fontId="7" fillId="28" borderId="1" xfId="0" applyFont="1" applyFill="1" applyBorder="1"/>
    <xf numFmtId="0" fontId="8" fillId="21" borderId="1" xfId="0" applyFont="1" applyFill="1" applyBorder="1"/>
    <xf numFmtId="0" fontId="4" fillId="21" borderId="1" xfId="0" applyFont="1" applyFill="1" applyBorder="1"/>
    <xf numFmtId="49" fontId="8" fillId="21" borderId="1" xfId="0" applyNumberFormat="1" applyFont="1" applyFill="1" applyBorder="1" applyAlignment="1">
      <alignment horizontal="center"/>
    </xf>
    <xf numFmtId="0" fontId="8" fillId="21" borderId="0" xfId="0" applyFont="1" applyFill="1" applyAlignment="1">
      <alignment horizontal="center"/>
    </xf>
    <xf numFmtId="0" fontId="6" fillId="27" borderId="7" xfId="0" applyFont="1" applyFill="1" applyBorder="1"/>
    <xf numFmtId="0" fontId="6" fillId="27" borderId="0" xfId="0" applyFont="1" applyFill="1"/>
    <xf numFmtId="0" fontId="6" fillId="31" borderId="0" xfId="0" applyFont="1" applyFill="1"/>
    <xf numFmtId="0" fontId="3" fillId="27" borderId="1" xfId="0" applyFont="1" applyFill="1" applyBorder="1"/>
    <xf numFmtId="0" fontId="3" fillId="32" borderId="1" xfId="0" applyFont="1" applyFill="1" applyBorder="1"/>
    <xf numFmtId="49" fontId="8" fillId="32" borderId="1" xfId="0" applyNumberFormat="1" applyFont="1" applyFill="1" applyBorder="1" applyAlignment="1">
      <alignment horizontal="center"/>
    </xf>
    <xf numFmtId="0" fontId="8" fillId="32" borderId="1" xfId="0" applyFont="1" applyFill="1" applyBorder="1"/>
    <xf numFmtId="0" fontId="13" fillId="32" borderId="0" xfId="0" applyFont="1" applyFill="1"/>
    <xf numFmtId="0" fontId="7" fillId="32" borderId="1" xfId="0" applyFont="1" applyFill="1" applyBorder="1"/>
    <xf numFmtId="0" fontId="7" fillId="32" borderId="8" xfId="0" applyFont="1" applyFill="1" applyBorder="1"/>
    <xf numFmtId="0" fontId="8" fillId="32" borderId="7" xfId="0" applyFont="1" applyFill="1" applyBorder="1" applyAlignment="1">
      <alignment horizontal="center"/>
    </xf>
    <xf numFmtId="0" fontId="6" fillId="32" borderId="7" xfId="0" applyFont="1" applyFill="1" applyBorder="1"/>
    <xf numFmtId="0" fontId="8" fillId="32" borderId="7" xfId="0" applyFont="1" applyFill="1" applyBorder="1"/>
    <xf numFmtId="0" fontId="8" fillId="32" borderId="0" xfId="0" applyFont="1" applyFill="1"/>
    <xf numFmtId="0" fontId="4" fillId="32" borderId="1" xfId="0" applyFont="1" applyFill="1" applyBorder="1"/>
    <xf numFmtId="0" fontId="8" fillId="27" borderId="0" xfId="0" applyFont="1" applyFill="1"/>
    <xf numFmtId="0" fontId="16" fillId="26" borderId="1" xfId="0" applyFont="1" applyFill="1" applyBorder="1"/>
    <xf numFmtId="0" fontId="7" fillId="21" borderId="1" xfId="0" applyFont="1" applyFill="1" applyBorder="1"/>
    <xf numFmtId="0" fontId="7" fillId="21" borderId="5" xfId="0" applyFont="1" applyFill="1" applyBorder="1"/>
    <xf numFmtId="0" fontId="3" fillId="31" borderId="0" xfId="0" applyFont="1" applyFill="1"/>
    <xf numFmtId="0" fontId="6" fillId="15" borderId="7" xfId="0" applyFont="1" applyFill="1" applyBorder="1"/>
    <xf numFmtId="0" fontId="8" fillId="29" borderId="1" xfId="0" applyFont="1" applyFill="1" applyBorder="1"/>
    <xf numFmtId="49" fontId="8" fillId="29" borderId="1" xfId="0" applyNumberFormat="1" applyFont="1" applyFill="1" applyBorder="1" applyAlignment="1">
      <alignment horizontal="center"/>
    </xf>
    <xf numFmtId="0" fontId="8" fillId="29" borderId="0" xfId="0" applyFont="1" applyFill="1" applyAlignment="1">
      <alignment horizontal="center"/>
    </xf>
    <xf numFmtId="0" fontId="13" fillId="29" borderId="0" xfId="0" applyFont="1" applyFill="1"/>
    <xf numFmtId="0" fontId="8" fillId="33" borderId="1" xfId="0" applyFont="1" applyFill="1" applyBorder="1"/>
    <xf numFmtId="49" fontId="8" fillId="33" borderId="1" xfId="0" applyNumberFormat="1" applyFont="1" applyFill="1" applyBorder="1" applyAlignment="1">
      <alignment horizontal="center"/>
    </xf>
    <xf numFmtId="0" fontId="7" fillId="34" borderId="1" xfId="0" applyFont="1" applyFill="1" applyBorder="1"/>
    <xf numFmtId="0" fontId="7" fillId="34" borderId="8" xfId="0" applyFont="1" applyFill="1" applyBorder="1"/>
    <xf numFmtId="0" fontId="8" fillId="34" borderId="7" xfId="0" applyFont="1" applyFill="1" applyBorder="1" applyAlignment="1">
      <alignment horizontal="center"/>
    </xf>
    <xf numFmtId="0" fontId="6" fillId="34" borderId="7" xfId="0" applyFont="1" applyFill="1" applyBorder="1"/>
    <xf numFmtId="0" fontId="8" fillId="34" borderId="7" xfId="0" applyFont="1" applyFill="1" applyBorder="1"/>
    <xf numFmtId="0" fontId="0" fillId="25" borderId="0" xfId="0" applyFill="1"/>
    <xf numFmtId="0" fontId="4" fillId="35" borderId="1" xfId="0" applyFont="1" applyFill="1" applyBorder="1"/>
    <xf numFmtId="49" fontId="8" fillId="35" borderId="1" xfId="0" applyNumberFormat="1" applyFont="1" applyFill="1" applyBorder="1" applyAlignment="1">
      <alignment horizontal="center"/>
    </xf>
    <xf numFmtId="0" fontId="8" fillId="35" borderId="1" xfId="0" applyFont="1" applyFill="1" applyBorder="1"/>
    <xf numFmtId="0" fontId="7" fillId="36" borderId="1" xfId="0" applyFont="1" applyFill="1" applyBorder="1"/>
    <xf numFmtId="0" fontId="7" fillId="36" borderId="8" xfId="0" applyFont="1" applyFill="1" applyBorder="1"/>
    <xf numFmtId="0" fontId="8" fillId="36" borderId="7" xfId="0" applyFont="1" applyFill="1" applyBorder="1" applyAlignment="1">
      <alignment horizontal="center"/>
    </xf>
    <xf numFmtId="0" fontId="8" fillId="36" borderId="7" xfId="0" applyFont="1" applyFill="1" applyBorder="1"/>
    <xf numFmtId="0" fontId="19" fillId="25" borderId="12" xfId="0" applyFont="1" applyFill="1" applyBorder="1" applyAlignment="1">
      <alignment horizontal="left" vertical="top"/>
    </xf>
    <xf numFmtId="43" fontId="19" fillId="25" borderId="12" xfId="1" applyFont="1" applyFill="1" applyBorder="1" applyAlignment="1">
      <alignment horizontal="left" vertical="top"/>
    </xf>
    <xf numFmtId="43" fontId="19" fillId="25" borderId="13" xfId="1" applyFont="1" applyFill="1" applyBorder="1" applyAlignment="1">
      <alignment horizontal="left" vertical="top"/>
    </xf>
    <xf numFmtId="43" fontId="18" fillId="0" borderId="12" xfId="1" applyFont="1" applyBorder="1" applyAlignment="1">
      <alignment horizontal="left" vertical="top"/>
    </xf>
    <xf numFmtId="0" fontId="18" fillId="0" borderId="5" xfId="0" applyFont="1" applyBorder="1" applyAlignment="1">
      <alignment horizontal="center" vertical="top"/>
    </xf>
    <xf numFmtId="166" fontId="18" fillId="0" borderId="21" xfId="1" applyNumberFormat="1" applyFont="1" applyBorder="1" applyAlignment="1">
      <alignment horizontal="left" vertical="top"/>
    </xf>
    <xf numFmtId="0" fontId="18" fillId="0" borderId="21" xfId="0" applyFont="1" applyBorder="1" applyAlignment="1">
      <alignment horizontal="left" vertical="top"/>
    </xf>
    <xf numFmtId="43" fontId="18" fillId="0" borderId="21" xfId="1" applyFont="1" applyBorder="1" applyAlignment="1">
      <alignment horizontal="left" vertical="top"/>
    </xf>
    <xf numFmtId="4" fontId="18" fillId="0" borderId="7" xfId="0" applyNumberFormat="1" applyFont="1" applyBorder="1" applyAlignment="1">
      <alignment horizontal="left" vertical="top"/>
    </xf>
    <xf numFmtId="0" fontId="0" fillId="0" borderId="7" xfId="0" applyBorder="1"/>
    <xf numFmtId="2" fontId="18" fillId="0" borderId="7" xfId="0" applyNumberFormat="1" applyFont="1" applyBorder="1" applyAlignment="1">
      <alignment horizontal="left" vertical="top"/>
    </xf>
    <xf numFmtId="0" fontId="18" fillId="0" borderId="7" xfId="0" applyFont="1" applyBorder="1" applyAlignment="1">
      <alignment horizontal="left" vertical="top"/>
    </xf>
    <xf numFmtId="0" fontId="18" fillId="0" borderId="4" xfId="0" applyFont="1" applyBorder="1" applyAlignment="1">
      <alignment horizontal="center" vertical="top"/>
    </xf>
    <xf numFmtId="43" fontId="20" fillId="0" borderId="21" xfId="1" applyFont="1" applyBorder="1" applyAlignment="1">
      <alignment horizontal="left" vertical="top"/>
    </xf>
    <xf numFmtId="43" fontId="18" fillId="7" borderId="21" xfId="1" applyFont="1" applyFill="1" applyBorder="1" applyAlignment="1">
      <alignment horizontal="left" vertical="top"/>
    </xf>
    <xf numFmtId="0" fontId="20" fillId="7" borderId="21" xfId="0" applyFont="1" applyFill="1" applyBorder="1" applyAlignment="1">
      <alignment horizontal="left" vertical="top"/>
    </xf>
    <xf numFmtId="0" fontId="18" fillId="7" borderId="21" xfId="0" applyFont="1" applyFill="1" applyBorder="1" applyAlignment="1">
      <alignment horizontal="left" vertical="top"/>
    </xf>
    <xf numFmtId="0" fontId="18" fillId="0" borderId="15" xfId="0" applyFont="1" applyBorder="1" applyAlignment="1">
      <alignment horizontal="center" vertical="top"/>
    </xf>
    <xf numFmtId="43" fontId="20" fillId="0" borderId="15" xfId="1" applyFont="1" applyBorder="1" applyAlignment="1">
      <alignment horizontal="left" vertical="top"/>
    </xf>
    <xf numFmtId="43" fontId="18" fillId="0" borderId="15" xfId="1" applyFont="1" applyBorder="1" applyAlignment="1">
      <alignment horizontal="left" vertical="top"/>
    </xf>
    <xf numFmtId="166" fontId="18" fillId="0" borderId="15" xfId="1" applyNumberFormat="1" applyFont="1" applyBorder="1" applyAlignment="1">
      <alignment horizontal="left" vertical="top"/>
    </xf>
    <xf numFmtId="43" fontId="18" fillId="7" borderId="15" xfId="1" applyFont="1" applyFill="1" applyBorder="1" applyAlignment="1">
      <alignment horizontal="left" vertical="top"/>
    </xf>
    <xf numFmtId="0" fontId="20" fillId="7" borderId="15" xfId="0" applyFont="1" applyFill="1" applyBorder="1" applyAlignment="1">
      <alignment horizontal="left" vertical="top"/>
    </xf>
    <xf numFmtId="0" fontId="18" fillId="7" borderId="15" xfId="0" applyFont="1" applyFill="1" applyBorder="1" applyAlignment="1">
      <alignment horizontal="left" vertical="top"/>
    </xf>
    <xf numFmtId="1" fontId="13" fillId="0" borderId="0" xfId="1" applyNumberFormat="1" applyFont="1" applyAlignment="1">
      <alignment horizontal="center"/>
    </xf>
    <xf numFmtId="0" fontId="8" fillId="22" borderId="0" xfId="0" applyFont="1" applyFill="1" applyAlignment="1">
      <alignment horizontal="center"/>
    </xf>
    <xf numFmtId="0" fontId="6" fillId="37" borderId="7" xfId="0" applyFont="1" applyFill="1" applyBorder="1"/>
    <xf numFmtId="0" fontId="0" fillId="22" borderId="0" xfId="0" applyFill="1" applyAlignment="1">
      <alignment horizontal="center"/>
    </xf>
    <xf numFmtId="0" fontId="6" fillId="36" borderId="7" xfId="0" applyFont="1" applyFill="1" applyBorder="1"/>
    <xf numFmtId="0" fontId="8" fillId="38" borderId="1" xfId="0" applyFont="1" applyFill="1" applyBorder="1" applyAlignment="1">
      <alignment horizontal="center"/>
    </xf>
    <xf numFmtId="49" fontId="8" fillId="38" borderId="1" xfId="0" applyNumberFormat="1" applyFont="1" applyFill="1" applyBorder="1" applyAlignment="1">
      <alignment horizontal="center"/>
    </xf>
    <xf numFmtId="0" fontId="3" fillId="38" borderId="0" xfId="0" applyFont="1" applyFill="1"/>
    <xf numFmtId="0" fontId="2" fillId="38" borderId="8" xfId="0" applyFont="1" applyFill="1" applyBorder="1" applyAlignment="1">
      <alignment horizontal="center"/>
    </xf>
    <xf numFmtId="0" fontId="6" fillId="38" borderId="7" xfId="0" applyFont="1" applyFill="1" applyBorder="1"/>
    <xf numFmtId="0" fontId="3" fillId="38" borderId="1" xfId="0" applyFont="1" applyFill="1" applyBorder="1"/>
    <xf numFmtId="0" fontId="8" fillId="38" borderId="7" xfId="0" applyFont="1" applyFill="1" applyBorder="1"/>
    <xf numFmtId="0" fontId="8" fillId="38" borderId="1" xfId="0" applyFont="1" applyFill="1" applyBorder="1"/>
    <xf numFmtId="0" fontId="6" fillId="38" borderId="0" xfId="0" applyFont="1" applyFill="1"/>
    <xf numFmtId="0" fontId="0" fillId="38" borderId="0" xfId="0" applyFill="1"/>
    <xf numFmtId="0" fontId="4" fillId="38" borderId="1" xfId="0" applyFont="1" applyFill="1" applyBorder="1"/>
    <xf numFmtId="0" fontId="8" fillId="32" borderId="1" xfId="0" applyFont="1" applyFill="1" applyBorder="1" applyAlignment="1">
      <alignment horizontal="center"/>
    </xf>
    <xf numFmtId="0" fontId="8" fillId="26" borderId="1" xfId="0" applyFont="1" applyFill="1" applyBorder="1" applyAlignment="1">
      <alignment horizontal="center"/>
    </xf>
    <xf numFmtId="0" fontId="8" fillId="21" borderId="1" xfId="0" applyFont="1" applyFill="1" applyBorder="1" applyAlignment="1">
      <alignment horizontal="center"/>
    </xf>
    <xf numFmtId="0" fontId="8" fillId="33" borderId="1" xfId="0" applyFont="1" applyFill="1" applyBorder="1" applyAlignment="1">
      <alignment horizontal="center"/>
    </xf>
    <xf numFmtId="0" fontId="8" fillId="20" borderId="1" xfId="0" applyFont="1" applyFill="1" applyBorder="1" applyAlignment="1">
      <alignment horizontal="center"/>
    </xf>
    <xf numFmtId="0" fontId="8" fillId="25" borderId="1" xfId="0" applyFont="1" applyFill="1" applyBorder="1" applyAlignment="1">
      <alignment horizontal="center"/>
    </xf>
    <xf numFmtId="49" fontId="8" fillId="38" borderId="1" xfId="0" applyNumberFormat="1" applyFont="1" applyFill="1" applyBorder="1"/>
    <xf numFmtId="0" fontId="6" fillId="38" borderId="0" xfId="0" applyFont="1" applyFill="1" applyAlignment="1">
      <alignment horizontal="center"/>
    </xf>
    <xf numFmtId="49" fontId="8" fillId="0" borderId="3" xfId="0" applyNumberFormat="1" applyFont="1" applyBorder="1"/>
    <xf numFmtId="0" fontId="8" fillId="12" borderId="2" xfId="0" applyFont="1" applyFill="1" applyBorder="1"/>
    <xf numFmtId="0" fontId="8" fillId="0" borderId="6" xfId="0" applyFont="1" applyBorder="1"/>
    <xf numFmtId="0" fontId="0" fillId="0" borderId="15" xfId="0" applyBorder="1"/>
    <xf numFmtId="0" fontId="8" fillId="26" borderId="2" xfId="0" applyFont="1" applyFill="1" applyBorder="1" applyAlignment="1">
      <alignment horizontal="center"/>
    </xf>
    <xf numFmtId="0" fontId="4" fillId="27" borderId="2" xfId="0" applyFont="1" applyFill="1" applyBorder="1"/>
    <xf numFmtId="49" fontId="8" fillId="27" borderId="2" xfId="0" applyNumberFormat="1" applyFont="1" applyFill="1" applyBorder="1" applyAlignment="1">
      <alignment horizontal="center"/>
    </xf>
    <xf numFmtId="0" fontId="8" fillId="27" borderId="2" xfId="0" applyFont="1" applyFill="1" applyBorder="1"/>
    <xf numFmtId="0" fontId="8" fillId="28" borderId="2" xfId="0" applyFont="1" applyFill="1" applyBorder="1"/>
    <xf numFmtId="0" fontId="8" fillId="0" borderId="6" xfId="0" applyFont="1" applyBorder="1" applyAlignment="1">
      <alignment horizontal="center"/>
    </xf>
    <xf numFmtId="0" fontId="3" fillId="0" borderId="6" xfId="0" applyFont="1" applyBorder="1"/>
    <xf numFmtId="49" fontId="8" fillId="0" borderId="6" xfId="0" applyNumberFormat="1" applyFont="1" applyBorder="1" applyAlignment="1">
      <alignment horizontal="center"/>
    </xf>
    <xf numFmtId="0" fontId="3" fillId="0" borderId="15" xfId="0" applyFont="1" applyBorder="1"/>
    <xf numFmtId="49" fontId="8" fillId="0" borderId="15" xfId="0" applyNumberFormat="1" applyFont="1" applyBorder="1" applyAlignment="1">
      <alignment horizontal="center"/>
    </xf>
    <xf numFmtId="0" fontId="8" fillId="0" borderId="15" xfId="0" applyFont="1" applyBorder="1"/>
    <xf numFmtId="49" fontId="8" fillId="12" borderId="1" xfId="0" quotePrefix="1" applyNumberFormat="1" applyFont="1" applyFill="1" applyBorder="1" applyAlignment="1">
      <alignment horizontal="center"/>
    </xf>
    <xf numFmtId="49" fontId="8" fillId="23" borderId="1" xfId="0" applyNumberFormat="1" applyFont="1" applyFill="1" applyBorder="1" applyAlignment="1">
      <alignment horizontal="center"/>
    </xf>
    <xf numFmtId="49" fontId="8" fillId="5" borderId="1" xfId="0" applyNumberFormat="1" applyFont="1" applyFill="1" applyBorder="1" applyAlignment="1">
      <alignment horizontal="center"/>
    </xf>
    <xf numFmtId="49" fontId="8" fillId="12" borderId="1" xfId="0" applyNumberFormat="1" applyFont="1" applyFill="1" applyBorder="1" applyAlignment="1">
      <alignment horizontal="center"/>
    </xf>
    <xf numFmtId="49" fontId="8" fillId="15" borderId="1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32" borderId="1" xfId="0" quotePrefix="1" applyNumberFormat="1" applyFont="1" applyFill="1" applyBorder="1" applyAlignment="1">
      <alignment horizontal="center"/>
    </xf>
    <xf numFmtId="49" fontId="8" fillId="14" borderId="1" xfId="0" applyNumberFormat="1" applyFont="1" applyFill="1" applyBorder="1" applyAlignment="1">
      <alignment horizontal="center"/>
    </xf>
    <xf numFmtId="0" fontId="8" fillId="23" borderId="1" xfId="0" applyFont="1" applyFill="1" applyBorder="1" applyAlignment="1">
      <alignment horizontal="center"/>
    </xf>
    <xf numFmtId="0" fontId="8" fillId="38" borderId="0" xfId="0" applyFont="1" applyFill="1"/>
    <xf numFmtId="0" fontId="8" fillId="10" borderId="1" xfId="0" applyFont="1" applyFill="1" applyBorder="1" applyAlignment="1">
      <alignment horizontal="center"/>
    </xf>
    <xf numFmtId="49" fontId="8" fillId="11" borderId="1" xfId="0" applyNumberFormat="1" applyFont="1" applyFill="1" applyBorder="1" applyAlignment="1">
      <alignment horizontal="center"/>
    </xf>
    <xf numFmtId="0" fontId="8" fillId="39" borderId="1" xfId="0" applyFont="1" applyFill="1" applyBorder="1"/>
    <xf numFmtId="49" fontId="8" fillId="39" borderId="1" xfId="0" applyNumberFormat="1" applyFont="1" applyFill="1" applyBorder="1"/>
    <xf numFmtId="49" fontId="8" fillId="39" borderId="1" xfId="0" applyNumberFormat="1" applyFont="1" applyFill="1" applyBorder="1" applyAlignment="1">
      <alignment horizontal="center"/>
    </xf>
    <xf numFmtId="0" fontId="8" fillId="40" borderId="1" xfId="0" applyFont="1" applyFill="1" applyBorder="1"/>
    <xf numFmtId="0" fontId="9" fillId="0" borderId="0" xfId="0" applyFont="1" applyAlignment="1">
      <alignment horizontal="center"/>
    </xf>
    <xf numFmtId="0" fontId="0" fillId="0" borderId="0" xfId="0"/>
    <xf numFmtId="0" fontId="8" fillId="6" borderId="2" xfId="0" applyFont="1" applyFill="1" applyBorder="1" applyAlignment="1">
      <alignment horizontal="center" vertical="top"/>
    </xf>
    <xf numFmtId="0" fontId="10" fillId="0" borderId="6" xfId="0" applyFont="1" applyBorder="1"/>
    <xf numFmtId="49" fontId="8" fillId="6" borderId="2" xfId="0" applyNumberFormat="1" applyFont="1" applyFill="1" applyBorder="1" applyAlignment="1">
      <alignment horizontal="center" vertical="top"/>
    </xf>
    <xf numFmtId="0" fontId="10" fillId="0" borderId="6" xfId="0" applyFont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10" fillId="0" borderId="4" xfId="0" applyFont="1" applyBorder="1"/>
    <xf numFmtId="0" fontId="10" fillId="0" borderId="5" xfId="0" applyFont="1" applyBorder="1"/>
    <xf numFmtId="0" fontId="8" fillId="6" borderId="2" xfId="0" applyFont="1" applyFill="1" applyBorder="1" applyAlignment="1">
      <alignment horizontal="center" vertical="top" wrapText="1"/>
    </xf>
    <xf numFmtId="0" fontId="10" fillId="0" borderId="6" xfId="0" applyFont="1" applyBorder="1" applyAlignment="1">
      <alignment wrapText="1"/>
    </xf>
    <xf numFmtId="0" fontId="10" fillId="0" borderId="16" xfId="0" applyFont="1" applyBorder="1" applyAlignment="1">
      <alignment horizontal="center"/>
    </xf>
    <xf numFmtId="0" fontId="8" fillId="6" borderId="18" xfId="0" applyFont="1" applyFill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6" fillId="22" borderId="10" xfId="0" applyFont="1" applyFill="1" applyBorder="1" applyAlignment="1">
      <alignment horizontal="left"/>
    </xf>
    <xf numFmtId="0" fontId="6" fillId="22" borderId="7" xfId="0" applyFont="1" applyFill="1" applyBorder="1" applyAlignment="1">
      <alignment horizontal="left"/>
    </xf>
    <xf numFmtId="0" fontId="8" fillId="0" borderId="7" xfId="0" applyFont="1" applyBorder="1" applyAlignment="1">
      <alignment horizontal="center"/>
    </xf>
    <xf numFmtId="0" fontId="10" fillId="0" borderId="6" xfId="0" applyFont="1" applyBorder="1" applyAlignment="1">
      <alignment horizontal="center" wrapText="1"/>
    </xf>
    <xf numFmtId="0" fontId="18" fillId="0" borderId="9" xfId="0" applyFont="1" applyBorder="1" applyAlignment="1">
      <alignment horizontal="center" vertical="top"/>
    </xf>
    <xf numFmtId="0" fontId="10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6" fillId="21" borderId="7" xfId="0" applyFont="1" applyFill="1" applyBorder="1"/>
    <xf numFmtId="0" fontId="8" fillId="21" borderId="7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3"/>
  <sheetViews>
    <sheetView workbookViewId="0"/>
  </sheetViews>
  <sheetFormatPr defaultColWidth="14.44140625" defaultRowHeight="15" customHeight="1" x14ac:dyDescent="0.3"/>
  <cols>
    <col min="1" max="1" width="9.6640625" customWidth="1"/>
    <col min="2" max="3" width="12.109375" customWidth="1"/>
    <col min="4" max="4" width="18.109375" customWidth="1"/>
    <col min="5" max="5" width="9" customWidth="1"/>
    <col min="6" max="6" width="27.109375" customWidth="1"/>
    <col min="7" max="7" width="38.33203125" customWidth="1"/>
    <col min="8" max="8" width="36.44140625" customWidth="1"/>
    <col min="9" max="9" width="26.33203125" customWidth="1"/>
    <col min="10" max="10" width="44.44140625" customWidth="1"/>
    <col min="11" max="11" width="73.44140625" customWidth="1"/>
    <col min="12" max="12" width="38.33203125" customWidth="1"/>
    <col min="13" max="13" width="33.6640625" customWidth="1"/>
    <col min="14" max="26" width="8.88671875" customWidth="1"/>
  </cols>
  <sheetData>
    <row r="1" spans="1:13" ht="14.4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4.4" x14ac:dyDescent="0.3">
      <c r="A2" s="4">
        <v>140</v>
      </c>
      <c r="B2" s="5" t="s">
        <v>13</v>
      </c>
      <c r="C2" s="5" t="s">
        <v>14</v>
      </c>
      <c r="D2" s="4">
        <v>1</v>
      </c>
      <c r="E2" s="4">
        <v>2</v>
      </c>
      <c r="F2" s="6" t="s">
        <v>15</v>
      </c>
      <c r="G2" s="6" t="s">
        <v>16</v>
      </c>
      <c r="H2" s="4" t="s">
        <v>17</v>
      </c>
      <c r="I2" s="4" t="s">
        <v>18</v>
      </c>
      <c r="J2" s="6" t="s">
        <v>19</v>
      </c>
      <c r="K2" s="6" t="s">
        <v>20</v>
      </c>
      <c r="L2" s="6" t="s">
        <v>21</v>
      </c>
      <c r="M2" s="6"/>
    </row>
    <row r="3" spans="1:13" ht="14.4" x14ac:dyDescent="0.3">
      <c r="A3" s="7">
        <v>140</v>
      </c>
      <c r="B3" s="5" t="s">
        <v>22</v>
      </c>
      <c r="C3" s="5" t="s">
        <v>23</v>
      </c>
      <c r="D3" s="4">
        <v>2</v>
      </c>
      <c r="E3" s="4">
        <v>2</v>
      </c>
      <c r="F3" s="6" t="s">
        <v>24</v>
      </c>
      <c r="G3" s="6" t="s">
        <v>25</v>
      </c>
      <c r="H3" s="4" t="s">
        <v>26</v>
      </c>
      <c r="I3" s="4" t="s">
        <v>27</v>
      </c>
      <c r="J3" s="6" t="s">
        <v>28</v>
      </c>
      <c r="K3" s="6" t="s">
        <v>29</v>
      </c>
      <c r="L3" s="6" t="s">
        <v>30</v>
      </c>
      <c r="M3" s="6"/>
    </row>
    <row r="4" spans="1:13" ht="14.4" x14ac:dyDescent="0.3">
      <c r="A4" s="4">
        <v>140</v>
      </c>
      <c r="B4" s="8" t="s">
        <v>31</v>
      </c>
      <c r="C4" s="8" t="s">
        <v>32</v>
      </c>
      <c r="D4" s="7">
        <v>3</v>
      </c>
      <c r="E4" s="7">
        <v>2</v>
      </c>
      <c r="F4" s="9" t="s">
        <v>24</v>
      </c>
      <c r="G4" s="9" t="s">
        <v>33</v>
      </c>
      <c r="H4" s="7" t="s">
        <v>34</v>
      </c>
      <c r="I4" s="7" t="s">
        <v>35</v>
      </c>
      <c r="J4" s="9" t="s">
        <v>36</v>
      </c>
      <c r="K4" s="9" t="s">
        <v>37</v>
      </c>
      <c r="L4" s="9" t="s">
        <v>38</v>
      </c>
      <c r="M4" s="9" t="s">
        <v>38</v>
      </c>
    </row>
    <row r="5" spans="1:13" ht="14.4" x14ac:dyDescent="0.3">
      <c r="A5" s="7">
        <v>140</v>
      </c>
      <c r="B5" s="8" t="s">
        <v>39</v>
      </c>
      <c r="C5" s="8" t="s">
        <v>40</v>
      </c>
      <c r="D5" s="7">
        <v>5</v>
      </c>
      <c r="E5" s="7">
        <v>2</v>
      </c>
      <c r="F5" s="9" t="s">
        <v>24</v>
      </c>
      <c r="G5" s="9" t="s">
        <v>41</v>
      </c>
      <c r="H5" s="7" t="s">
        <v>42</v>
      </c>
      <c r="I5" s="7" t="s">
        <v>43</v>
      </c>
      <c r="J5" s="9" t="s">
        <v>44</v>
      </c>
      <c r="K5" s="9" t="s">
        <v>45</v>
      </c>
      <c r="L5" s="9" t="s">
        <v>46</v>
      </c>
      <c r="M5" s="6"/>
    </row>
    <row r="6" spans="1:13" ht="14.4" x14ac:dyDescent="0.3">
      <c r="A6" s="7">
        <v>140</v>
      </c>
      <c r="B6" s="8" t="s">
        <v>47</v>
      </c>
      <c r="C6" s="8" t="s">
        <v>48</v>
      </c>
      <c r="D6" s="7">
        <v>6</v>
      </c>
      <c r="E6" s="7">
        <v>2</v>
      </c>
      <c r="F6" s="9" t="s">
        <v>24</v>
      </c>
      <c r="G6" s="9" t="s">
        <v>49</v>
      </c>
      <c r="H6" s="7" t="s">
        <v>50</v>
      </c>
      <c r="I6" s="7" t="s">
        <v>51</v>
      </c>
      <c r="J6" s="9" t="s">
        <v>52</v>
      </c>
      <c r="K6" s="9" t="s">
        <v>53</v>
      </c>
      <c r="L6" s="6"/>
      <c r="M6" s="6"/>
    </row>
    <row r="7" spans="1:13" ht="14.4" x14ac:dyDescent="0.3">
      <c r="A7" s="7">
        <v>30</v>
      </c>
      <c r="B7" s="8" t="s">
        <v>54</v>
      </c>
      <c r="C7" s="8" t="s">
        <v>55</v>
      </c>
      <c r="D7" s="7">
        <v>7</v>
      </c>
      <c r="E7" s="7">
        <v>2</v>
      </c>
      <c r="F7" s="9" t="s">
        <v>24</v>
      </c>
      <c r="G7" s="9" t="s">
        <v>56</v>
      </c>
      <c r="H7" s="7" t="s">
        <v>57</v>
      </c>
      <c r="I7" s="7" t="s">
        <v>58</v>
      </c>
      <c r="J7" s="9" t="s">
        <v>59</v>
      </c>
      <c r="K7" s="9" t="s">
        <v>60</v>
      </c>
      <c r="L7" s="9" t="s">
        <v>61</v>
      </c>
      <c r="M7" s="9" t="s">
        <v>62</v>
      </c>
    </row>
    <row r="8" spans="1:13" ht="14.4" x14ac:dyDescent="0.3">
      <c r="A8" s="7">
        <v>50</v>
      </c>
      <c r="B8" s="8" t="s">
        <v>63</v>
      </c>
      <c r="C8" s="8" t="s">
        <v>64</v>
      </c>
      <c r="D8" s="7">
        <v>9</v>
      </c>
      <c r="E8" s="7">
        <v>2</v>
      </c>
      <c r="F8" s="9" t="s">
        <v>24</v>
      </c>
      <c r="G8" s="9" t="s">
        <v>65</v>
      </c>
      <c r="H8" s="7" t="s">
        <v>66</v>
      </c>
      <c r="I8" s="7" t="s">
        <v>67</v>
      </c>
      <c r="J8" s="9" t="s">
        <v>68</v>
      </c>
      <c r="K8" s="9" t="s">
        <v>69</v>
      </c>
      <c r="L8" s="9" t="s">
        <v>70</v>
      </c>
      <c r="M8" s="9" t="s">
        <v>71</v>
      </c>
    </row>
    <row r="9" spans="1:13" ht="14.4" x14ac:dyDescent="0.3">
      <c r="A9" s="10">
        <v>140</v>
      </c>
      <c r="B9" s="8" t="s">
        <v>72</v>
      </c>
      <c r="C9" s="8" t="s">
        <v>73</v>
      </c>
      <c r="D9" s="7">
        <v>11</v>
      </c>
      <c r="E9" s="7">
        <v>2</v>
      </c>
      <c r="F9" s="9" t="s">
        <v>24</v>
      </c>
      <c r="G9" s="9" t="s">
        <v>74</v>
      </c>
      <c r="H9" s="7" t="s">
        <v>75</v>
      </c>
      <c r="I9" s="7" t="s">
        <v>76</v>
      </c>
      <c r="J9" s="9" t="s">
        <v>77</v>
      </c>
      <c r="K9" s="9" t="s">
        <v>78</v>
      </c>
      <c r="L9" s="6"/>
      <c r="M9" s="6"/>
    </row>
    <row r="10" spans="1:13" ht="14.4" x14ac:dyDescent="0.3">
      <c r="A10" s="7">
        <v>140</v>
      </c>
      <c r="B10" s="5" t="s">
        <v>79</v>
      </c>
      <c r="C10" s="5" t="s">
        <v>80</v>
      </c>
      <c r="D10" s="4">
        <v>12</v>
      </c>
      <c r="E10" s="4">
        <v>2</v>
      </c>
      <c r="F10" s="6" t="s">
        <v>24</v>
      </c>
      <c r="G10" s="6" t="s">
        <v>81</v>
      </c>
      <c r="H10" s="4">
        <v>730128115099</v>
      </c>
      <c r="I10" s="4">
        <v>139840028</v>
      </c>
      <c r="J10" s="6" t="s">
        <v>82</v>
      </c>
      <c r="K10" s="6" t="s">
        <v>83</v>
      </c>
      <c r="L10" s="6" t="s">
        <v>84</v>
      </c>
      <c r="M10" s="6" t="s">
        <v>38</v>
      </c>
    </row>
    <row r="11" spans="1:13" ht="14.4" x14ac:dyDescent="0.3">
      <c r="A11" s="4">
        <v>140</v>
      </c>
      <c r="B11" s="5" t="s">
        <v>85</v>
      </c>
      <c r="C11" s="5" t="s">
        <v>86</v>
      </c>
      <c r="D11" s="4">
        <v>15</v>
      </c>
      <c r="E11" s="4">
        <v>2</v>
      </c>
      <c r="F11" s="6" t="s">
        <v>24</v>
      </c>
      <c r="G11" s="6" t="s">
        <v>87</v>
      </c>
      <c r="H11" s="4" t="s">
        <v>88</v>
      </c>
      <c r="I11" s="4" t="s">
        <v>89</v>
      </c>
      <c r="J11" s="6" t="s">
        <v>90</v>
      </c>
      <c r="K11" s="6" t="s">
        <v>91</v>
      </c>
      <c r="L11" s="6" t="s">
        <v>92</v>
      </c>
      <c r="M11" s="6"/>
    </row>
    <row r="12" spans="1:13" ht="14.4" x14ac:dyDescent="0.3">
      <c r="A12" s="4">
        <v>140</v>
      </c>
      <c r="B12" s="5" t="s">
        <v>93</v>
      </c>
      <c r="C12" s="5" t="s">
        <v>94</v>
      </c>
      <c r="D12" s="4">
        <v>18</v>
      </c>
      <c r="E12" s="4">
        <v>2</v>
      </c>
      <c r="F12" s="6" t="s">
        <v>15</v>
      </c>
      <c r="G12" s="6" t="s">
        <v>95</v>
      </c>
      <c r="H12" s="4">
        <v>760410115401</v>
      </c>
      <c r="I12" s="4">
        <v>183541067</v>
      </c>
      <c r="J12" s="6" t="s">
        <v>96</v>
      </c>
      <c r="K12" s="6" t="s">
        <v>97</v>
      </c>
      <c r="L12" s="6"/>
      <c r="M12" s="6"/>
    </row>
    <row r="13" spans="1:13" ht="14.4" x14ac:dyDescent="0.3">
      <c r="A13" s="4"/>
      <c r="B13" s="5"/>
      <c r="C13" s="5"/>
      <c r="D13" s="4" t="s">
        <v>98</v>
      </c>
      <c r="E13" s="4">
        <v>2</v>
      </c>
      <c r="F13" s="6" t="s">
        <v>24</v>
      </c>
      <c r="G13" s="6" t="s">
        <v>99</v>
      </c>
      <c r="H13" s="4">
        <v>700804065051</v>
      </c>
      <c r="I13" s="4">
        <v>102661466</v>
      </c>
      <c r="J13" s="6" t="s">
        <v>100</v>
      </c>
      <c r="K13" s="6" t="s">
        <v>101</v>
      </c>
      <c r="L13" s="6" t="s">
        <v>102</v>
      </c>
      <c r="M13" s="6"/>
    </row>
    <row r="14" spans="1:13" ht="14.4" x14ac:dyDescent="0.3">
      <c r="A14" s="11">
        <v>140</v>
      </c>
      <c r="B14" s="2" t="s">
        <v>103</v>
      </c>
      <c r="C14" s="2" t="s">
        <v>104</v>
      </c>
      <c r="D14" s="1">
        <v>1</v>
      </c>
      <c r="E14" s="1">
        <v>3</v>
      </c>
      <c r="F14" s="3" t="s">
        <v>24</v>
      </c>
      <c r="G14" s="3" t="s">
        <v>105</v>
      </c>
      <c r="H14" s="1" t="s">
        <v>106</v>
      </c>
      <c r="I14" s="1">
        <v>133690150</v>
      </c>
      <c r="J14" s="3" t="s">
        <v>107</v>
      </c>
      <c r="K14" s="3" t="s">
        <v>108</v>
      </c>
      <c r="L14" s="3" t="s">
        <v>109</v>
      </c>
      <c r="M14" s="3"/>
    </row>
    <row r="15" spans="1:13" ht="14.4" x14ac:dyDescent="0.3">
      <c r="A15" s="11">
        <v>140</v>
      </c>
      <c r="B15" s="2" t="s">
        <v>110</v>
      </c>
      <c r="C15" s="2" t="s">
        <v>111</v>
      </c>
      <c r="D15" s="1">
        <v>2</v>
      </c>
      <c r="E15" s="1">
        <v>3</v>
      </c>
      <c r="F15" s="3" t="s">
        <v>24</v>
      </c>
      <c r="G15" s="3" t="s">
        <v>112</v>
      </c>
      <c r="H15" s="1">
        <v>671223016219</v>
      </c>
      <c r="I15" s="1">
        <v>137422228</v>
      </c>
      <c r="J15" s="3" t="s">
        <v>113</v>
      </c>
      <c r="K15" s="12" t="s">
        <v>114</v>
      </c>
      <c r="L15" s="12" t="s">
        <v>115</v>
      </c>
      <c r="M15" s="12" t="s">
        <v>116</v>
      </c>
    </row>
    <row r="16" spans="1:13" ht="14.4" x14ac:dyDescent="0.3">
      <c r="A16" s="1">
        <v>140</v>
      </c>
      <c r="B16" s="2" t="s">
        <v>117</v>
      </c>
      <c r="C16" s="2" t="s">
        <v>118</v>
      </c>
      <c r="D16" s="1">
        <v>3</v>
      </c>
      <c r="E16" s="1">
        <v>3</v>
      </c>
      <c r="F16" s="3" t="s">
        <v>24</v>
      </c>
      <c r="G16" s="3" t="s">
        <v>119</v>
      </c>
      <c r="H16" s="1" t="s">
        <v>120</v>
      </c>
      <c r="I16" s="1" t="s">
        <v>121</v>
      </c>
      <c r="J16" s="3" t="s">
        <v>122</v>
      </c>
      <c r="K16" s="3" t="s">
        <v>123</v>
      </c>
      <c r="L16" s="3" t="s">
        <v>124</v>
      </c>
      <c r="M16" s="3" t="s">
        <v>125</v>
      </c>
    </row>
    <row r="17" spans="1:14" ht="14.4" x14ac:dyDescent="0.3">
      <c r="A17" s="11">
        <v>140</v>
      </c>
      <c r="B17" s="13" t="s">
        <v>126</v>
      </c>
      <c r="C17" s="13" t="s">
        <v>127</v>
      </c>
      <c r="D17" s="11">
        <v>5</v>
      </c>
      <c r="E17" s="11">
        <v>3</v>
      </c>
      <c r="F17" s="14" t="s">
        <v>24</v>
      </c>
      <c r="G17" s="14" t="s">
        <v>128</v>
      </c>
      <c r="H17" s="11" t="s">
        <v>129</v>
      </c>
      <c r="I17" s="11" t="s">
        <v>130</v>
      </c>
      <c r="J17" s="14" t="s">
        <v>131</v>
      </c>
      <c r="K17" s="14" t="s">
        <v>132</v>
      </c>
      <c r="L17" s="14" t="s">
        <v>133</v>
      </c>
      <c r="M17" s="3"/>
    </row>
    <row r="18" spans="1:14" ht="14.4" x14ac:dyDescent="0.3">
      <c r="A18" s="11">
        <v>140</v>
      </c>
      <c r="B18" s="2" t="s">
        <v>134</v>
      </c>
      <c r="C18" s="2" t="s">
        <v>135</v>
      </c>
      <c r="D18" s="1">
        <v>6</v>
      </c>
      <c r="E18" s="1">
        <v>3</v>
      </c>
      <c r="F18" s="3" t="s">
        <v>24</v>
      </c>
      <c r="G18" s="3" t="s">
        <v>136</v>
      </c>
      <c r="H18" s="1" t="s">
        <v>137</v>
      </c>
      <c r="I18" s="1" t="s">
        <v>138</v>
      </c>
      <c r="J18" s="3" t="s">
        <v>139</v>
      </c>
      <c r="K18" s="3" t="s">
        <v>140</v>
      </c>
      <c r="L18" s="3" t="s">
        <v>141</v>
      </c>
      <c r="M18" s="3" t="s">
        <v>38</v>
      </c>
    </row>
    <row r="19" spans="1:14" ht="14.4" x14ac:dyDescent="0.3">
      <c r="A19" s="11">
        <v>140</v>
      </c>
      <c r="B19" s="13" t="s">
        <v>142</v>
      </c>
      <c r="C19" s="13" t="s">
        <v>143</v>
      </c>
      <c r="D19" s="11">
        <v>8</v>
      </c>
      <c r="E19" s="11">
        <v>3</v>
      </c>
      <c r="F19" s="14" t="s">
        <v>24</v>
      </c>
      <c r="G19" s="14" t="s">
        <v>144</v>
      </c>
      <c r="H19" s="11" t="s">
        <v>145</v>
      </c>
      <c r="I19" s="11" t="s">
        <v>146</v>
      </c>
      <c r="J19" s="14" t="s">
        <v>147</v>
      </c>
      <c r="K19" s="14" t="s">
        <v>148</v>
      </c>
      <c r="L19" s="14" t="s">
        <v>149</v>
      </c>
      <c r="M19" s="3"/>
    </row>
    <row r="20" spans="1:14" ht="14.4" x14ac:dyDescent="0.3">
      <c r="A20" s="15">
        <v>50</v>
      </c>
      <c r="B20" s="13" t="s">
        <v>150</v>
      </c>
      <c r="C20" s="13" t="s">
        <v>151</v>
      </c>
      <c r="D20" s="11">
        <v>10</v>
      </c>
      <c r="E20" s="11">
        <v>3</v>
      </c>
      <c r="F20" s="14" t="s">
        <v>24</v>
      </c>
      <c r="G20" s="14" t="s">
        <v>152</v>
      </c>
      <c r="H20" s="11" t="s">
        <v>153</v>
      </c>
      <c r="I20" s="11" t="s">
        <v>154</v>
      </c>
      <c r="J20" s="14" t="s">
        <v>155</v>
      </c>
      <c r="K20" s="14" t="s">
        <v>156</v>
      </c>
      <c r="L20" s="3"/>
      <c r="M20" s="3"/>
    </row>
    <row r="21" spans="1:14" ht="15.75" customHeight="1" x14ac:dyDescent="0.3">
      <c r="A21" s="11">
        <v>140</v>
      </c>
      <c r="B21" s="16" t="s">
        <v>157</v>
      </c>
      <c r="C21" s="16" t="s">
        <v>158</v>
      </c>
      <c r="D21" s="11">
        <v>11</v>
      </c>
      <c r="E21" s="11">
        <v>3</v>
      </c>
      <c r="F21" s="14" t="s">
        <v>24</v>
      </c>
      <c r="G21" s="14" t="s">
        <v>159</v>
      </c>
      <c r="H21" s="11" t="s">
        <v>160</v>
      </c>
      <c r="I21" s="11" t="s">
        <v>161</v>
      </c>
      <c r="J21" s="14" t="s">
        <v>162</v>
      </c>
      <c r="K21" s="14" t="s">
        <v>163</v>
      </c>
      <c r="L21" s="14" t="s">
        <v>164</v>
      </c>
      <c r="M21" s="3"/>
    </row>
    <row r="22" spans="1:14" ht="15.75" customHeight="1" x14ac:dyDescent="0.3">
      <c r="A22" s="11">
        <v>140</v>
      </c>
      <c r="B22" s="13" t="s">
        <v>165</v>
      </c>
      <c r="C22" s="13" t="s">
        <v>166</v>
      </c>
      <c r="D22" s="11">
        <v>12</v>
      </c>
      <c r="E22" s="11">
        <v>3</v>
      </c>
      <c r="F22" s="14" t="s">
        <v>24</v>
      </c>
      <c r="G22" s="14" t="s">
        <v>167</v>
      </c>
      <c r="H22" s="11">
        <v>661209015819</v>
      </c>
      <c r="I22" s="11" t="s">
        <v>168</v>
      </c>
      <c r="J22" s="14" t="s">
        <v>169</v>
      </c>
      <c r="K22" s="14" t="s">
        <v>170</v>
      </c>
      <c r="L22" s="14" t="s">
        <v>171</v>
      </c>
      <c r="M22" s="3"/>
    </row>
    <row r="23" spans="1:14" ht="15.75" customHeight="1" x14ac:dyDescent="0.3">
      <c r="A23" s="1">
        <v>120</v>
      </c>
      <c r="B23" s="2" t="s">
        <v>172</v>
      </c>
      <c r="C23" s="2" t="s">
        <v>173</v>
      </c>
      <c r="D23" s="1">
        <v>13</v>
      </c>
      <c r="E23" s="1">
        <v>3</v>
      </c>
      <c r="F23" s="3" t="s">
        <v>24</v>
      </c>
      <c r="G23" s="3" t="s">
        <v>174</v>
      </c>
      <c r="H23" s="1" t="s">
        <v>175</v>
      </c>
      <c r="I23" s="1" t="s">
        <v>176</v>
      </c>
      <c r="J23" s="3" t="s">
        <v>177</v>
      </c>
      <c r="K23" s="3" t="s">
        <v>178</v>
      </c>
      <c r="L23" s="3" t="s">
        <v>179</v>
      </c>
      <c r="M23" s="3"/>
    </row>
    <row r="24" spans="1:14" ht="15.75" customHeight="1" x14ac:dyDescent="0.3">
      <c r="A24" s="1"/>
      <c r="B24" s="2"/>
      <c r="C24" s="2"/>
      <c r="D24" s="1">
        <v>15</v>
      </c>
      <c r="E24" s="1">
        <v>3</v>
      </c>
      <c r="F24" s="3" t="s">
        <v>24</v>
      </c>
      <c r="G24" s="3" t="s">
        <v>180</v>
      </c>
      <c r="H24" s="1" t="s">
        <v>181</v>
      </c>
      <c r="I24" s="1" t="s">
        <v>182</v>
      </c>
      <c r="J24" s="3" t="s">
        <v>183</v>
      </c>
      <c r="K24" s="3" t="s">
        <v>184</v>
      </c>
      <c r="L24" s="3" t="s">
        <v>38</v>
      </c>
      <c r="M24" s="3" t="s">
        <v>38</v>
      </c>
    </row>
    <row r="25" spans="1:14" ht="15.75" customHeight="1" x14ac:dyDescent="0.3">
      <c r="A25" s="1">
        <v>140</v>
      </c>
      <c r="B25" s="2" t="s">
        <v>185</v>
      </c>
      <c r="C25" s="2" t="s">
        <v>186</v>
      </c>
      <c r="D25" s="1">
        <v>17</v>
      </c>
      <c r="E25" s="1">
        <v>3</v>
      </c>
      <c r="F25" s="3" t="s">
        <v>24</v>
      </c>
      <c r="G25" s="3" t="s">
        <v>187</v>
      </c>
      <c r="H25" s="1" t="s">
        <v>188</v>
      </c>
      <c r="I25" s="1">
        <v>193870001</v>
      </c>
      <c r="J25" s="3" t="s">
        <v>189</v>
      </c>
      <c r="K25" s="3" t="s">
        <v>190</v>
      </c>
      <c r="L25" s="3" t="s">
        <v>191</v>
      </c>
      <c r="M25" s="3"/>
    </row>
    <row r="26" spans="1:14" ht="15.75" customHeight="1" x14ac:dyDescent="0.3">
      <c r="A26" s="11">
        <v>140</v>
      </c>
      <c r="B26" s="2" t="s">
        <v>192</v>
      </c>
      <c r="C26" s="2" t="s">
        <v>193</v>
      </c>
      <c r="D26" s="1">
        <v>18</v>
      </c>
      <c r="E26" s="1">
        <v>3</v>
      </c>
      <c r="F26" s="3" t="s">
        <v>24</v>
      </c>
      <c r="G26" s="3" t="s">
        <v>194</v>
      </c>
      <c r="H26" s="1" t="s">
        <v>195</v>
      </c>
      <c r="I26" s="1" t="s">
        <v>196</v>
      </c>
      <c r="J26" s="3" t="s">
        <v>197</v>
      </c>
      <c r="K26" s="3" t="s">
        <v>198</v>
      </c>
      <c r="L26" s="3" t="s">
        <v>199</v>
      </c>
      <c r="M26" s="3"/>
    </row>
    <row r="27" spans="1:14" ht="15.75" customHeight="1" x14ac:dyDescent="0.3">
      <c r="A27" s="11">
        <v>140</v>
      </c>
      <c r="B27" s="2" t="s">
        <v>200</v>
      </c>
      <c r="C27" s="2" t="s">
        <v>201</v>
      </c>
      <c r="D27" s="1">
        <v>19</v>
      </c>
      <c r="E27" s="1">
        <v>3</v>
      </c>
      <c r="F27" s="3" t="s">
        <v>24</v>
      </c>
      <c r="G27" s="3" t="s">
        <v>202</v>
      </c>
      <c r="H27" s="1" t="s">
        <v>203</v>
      </c>
      <c r="I27" s="1" t="s">
        <v>204</v>
      </c>
      <c r="J27" s="3" t="s">
        <v>205</v>
      </c>
      <c r="K27" s="3" t="s">
        <v>206</v>
      </c>
      <c r="L27" s="3" t="s">
        <v>207</v>
      </c>
      <c r="M27" s="3"/>
    </row>
    <row r="28" spans="1:14" ht="15.75" customHeight="1" x14ac:dyDescent="0.3">
      <c r="A28" s="17">
        <v>140</v>
      </c>
      <c r="B28" s="18" t="s">
        <v>208</v>
      </c>
      <c r="C28" s="2" t="s">
        <v>209</v>
      </c>
      <c r="D28" s="17">
        <v>20</v>
      </c>
      <c r="E28" s="17">
        <v>3</v>
      </c>
      <c r="F28" s="19" t="s">
        <v>24</v>
      </c>
      <c r="G28" s="19" t="s">
        <v>210</v>
      </c>
      <c r="H28" s="17"/>
      <c r="I28" s="17">
        <v>133820325</v>
      </c>
      <c r="J28" s="19"/>
      <c r="K28" s="19"/>
      <c r="L28" s="19"/>
      <c r="M28" s="19"/>
      <c r="N28" s="20" t="s">
        <v>211</v>
      </c>
    </row>
    <row r="29" spans="1:14" ht="15.75" customHeight="1" x14ac:dyDescent="0.3">
      <c r="A29" s="1"/>
      <c r="B29" s="2"/>
      <c r="C29" s="2"/>
      <c r="D29" s="1">
        <v>21</v>
      </c>
      <c r="E29" s="1">
        <v>3</v>
      </c>
      <c r="F29" s="3" t="s">
        <v>24</v>
      </c>
      <c r="G29" s="3" t="s">
        <v>212</v>
      </c>
      <c r="H29" s="1" t="s">
        <v>213</v>
      </c>
      <c r="I29" s="1">
        <v>166819176</v>
      </c>
      <c r="J29" s="3" t="s">
        <v>214</v>
      </c>
      <c r="K29" s="3" t="s">
        <v>215</v>
      </c>
      <c r="L29" s="3" t="s">
        <v>38</v>
      </c>
      <c r="M29" s="3" t="s">
        <v>216</v>
      </c>
    </row>
    <row r="30" spans="1:14" ht="15.75" customHeight="1" x14ac:dyDescent="0.3">
      <c r="A30" s="15">
        <v>140</v>
      </c>
      <c r="B30" s="13" t="s">
        <v>217</v>
      </c>
      <c r="C30" s="13" t="s">
        <v>218</v>
      </c>
      <c r="D30" s="1">
        <v>25</v>
      </c>
      <c r="E30" s="1">
        <v>3</v>
      </c>
      <c r="F30" s="3" t="s">
        <v>24</v>
      </c>
      <c r="G30" s="3" t="s">
        <v>219</v>
      </c>
      <c r="H30" s="1" t="s">
        <v>220</v>
      </c>
      <c r="I30" s="1">
        <v>192116145</v>
      </c>
      <c r="J30" s="3" t="s">
        <v>221</v>
      </c>
      <c r="K30" s="3" t="s">
        <v>222</v>
      </c>
      <c r="L30" s="3"/>
      <c r="M30" s="3" t="s">
        <v>223</v>
      </c>
    </row>
    <row r="31" spans="1:14" ht="15.75" customHeight="1" x14ac:dyDescent="0.3">
      <c r="A31" s="11">
        <v>140</v>
      </c>
      <c r="B31" s="2" t="s">
        <v>224</v>
      </c>
      <c r="C31" s="2" t="s">
        <v>225</v>
      </c>
      <c r="D31" s="1">
        <v>26</v>
      </c>
      <c r="E31" s="1">
        <v>3</v>
      </c>
      <c r="F31" s="3" t="s">
        <v>24</v>
      </c>
      <c r="G31" s="3" t="s">
        <v>226</v>
      </c>
      <c r="H31" s="1" t="s">
        <v>227</v>
      </c>
      <c r="I31" s="1" t="s">
        <v>228</v>
      </c>
      <c r="J31" s="3" t="s">
        <v>229</v>
      </c>
      <c r="K31" s="3" t="s">
        <v>230</v>
      </c>
      <c r="L31" s="3" t="s">
        <v>231</v>
      </c>
      <c r="M31" s="3"/>
    </row>
    <row r="32" spans="1:14" ht="15.75" customHeight="1" x14ac:dyDescent="0.3">
      <c r="A32" s="11">
        <v>140</v>
      </c>
      <c r="B32" s="13" t="s">
        <v>232</v>
      </c>
      <c r="C32" s="13" t="s">
        <v>233</v>
      </c>
      <c r="D32" s="11">
        <v>27</v>
      </c>
      <c r="E32" s="11">
        <v>3</v>
      </c>
      <c r="F32" s="14" t="s">
        <v>24</v>
      </c>
      <c r="G32" s="14" t="s">
        <v>234</v>
      </c>
      <c r="H32" s="11" t="s">
        <v>235</v>
      </c>
      <c r="I32" s="11" t="s">
        <v>236</v>
      </c>
      <c r="J32" s="14" t="s">
        <v>237</v>
      </c>
      <c r="K32" s="14" t="s">
        <v>238</v>
      </c>
      <c r="L32" s="3"/>
      <c r="M32" s="3"/>
    </row>
    <row r="33" spans="1:14" ht="15.75" customHeight="1" x14ac:dyDescent="0.3">
      <c r="A33" s="11">
        <v>140</v>
      </c>
      <c r="B33" s="13" t="s">
        <v>239</v>
      </c>
      <c r="C33" s="13" t="s">
        <v>240</v>
      </c>
      <c r="D33" s="1">
        <v>28</v>
      </c>
      <c r="E33" s="1">
        <v>3</v>
      </c>
      <c r="F33" s="3" t="s">
        <v>24</v>
      </c>
      <c r="G33" s="3" t="s">
        <v>241</v>
      </c>
      <c r="H33" s="1" t="s">
        <v>242</v>
      </c>
      <c r="I33" s="3">
        <v>133428532</v>
      </c>
      <c r="J33" s="3" t="s">
        <v>243</v>
      </c>
      <c r="K33" s="3" t="s">
        <v>244</v>
      </c>
      <c r="L33" s="3" t="s">
        <v>245</v>
      </c>
      <c r="M33" s="3"/>
    </row>
    <row r="34" spans="1:14" ht="15.75" customHeight="1" x14ac:dyDescent="0.3">
      <c r="A34" s="21"/>
      <c r="B34" s="22" t="s">
        <v>246</v>
      </c>
      <c r="C34" s="22"/>
      <c r="D34" s="21">
        <v>29</v>
      </c>
      <c r="E34" s="21">
        <v>3</v>
      </c>
      <c r="F34" s="19" t="s">
        <v>24</v>
      </c>
      <c r="G34" s="23" t="s">
        <v>247</v>
      </c>
      <c r="H34" s="21"/>
      <c r="I34" s="21"/>
      <c r="J34" s="24"/>
      <c r="K34" s="24"/>
      <c r="L34" s="24"/>
      <c r="M34" s="19"/>
      <c r="N34" s="25" t="s">
        <v>248</v>
      </c>
    </row>
    <row r="35" spans="1:14" ht="15.75" customHeight="1" x14ac:dyDescent="0.3">
      <c r="A35" s="11">
        <v>140</v>
      </c>
      <c r="B35" s="13" t="s">
        <v>249</v>
      </c>
      <c r="C35" s="13" t="s">
        <v>250</v>
      </c>
      <c r="D35" s="11">
        <v>30</v>
      </c>
      <c r="E35" s="11">
        <v>3</v>
      </c>
      <c r="F35" s="14" t="s">
        <v>24</v>
      </c>
      <c r="G35" s="14" t="s">
        <v>251</v>
      </c>
      <c r="H35" s="11" t="s">
        <v>252</v>
      </c>
      <c r="I35" s="11" t="s">
        <v>253</v>
      </c>
      <c r="J35" s="14" t="s">
        <v>254</v>
      </c>
      <c r="K35" s="14" t="s">
        <v>255</v>
      </c>
      <c r="L35" s="14" t="s">
        <v>256</v>
      </c>
      <c r="M35" s="3"/>
    </row>
    <row r="36" spans="1:14" ht="15.75" customHeight="1" x14ac:dyDescent="0.3">
      <c r="A36" s="11">
        <v>140</v>
      </c>
      <c r="B36" s="2" t="s">
        <v>257</v>
      </c>
      <c r="C36" s="2" t="s">
        <v>258</v>
      </c>
      <c r="D36" s="1">
        <v>31</v>
      </c>
      <c r="E36" s="1">
        <v>3</v>
      </c>
      <c r="F36" s="3" t="s">
        <v>24</v>
      </c>
      <c r="G36" s="3" t="s">
        <v>259</v>
      </c>
      <c r="H36" s="1" t="s">
        <v>260</v>
      </c>
      <c r="I36" s="1" t="s">
        <v>261</v>
      </c>
      <c r="J36" s="3" t="s">
        <v>262</v>
      </c>
      <c r="K36" s="3" t="s">
        <v>263</v>
      </c>
      <c r="L36" s="3" t="s">
        <v>264</v>
      </c>
      <c r="M36" s="3"/>
    </row>
    <row r="37" spans="1:14" ht="15.75" customHeight="1" x14ac:dyDescent="0.3">
      <c r="A37" s="1">
        <v>140</v>
      </c>
      <c r="B37" s="13" t="s">
        <v>265</v>
      </c>
      <c r="C37" s="13" t="s">
        <v>266</v>
      </c>
      <c r="D37" s="11">
        <v>33</v>
      </c>
      <c r="E37" s="11">
        <v>3</v>
      </c>
      <c r="F37" s="14" t="s">
        <v>24</v>
      </c>
      <c r="G37" s="14" t="s">
        <v>267</v>
      </c>
      <c r="H37" s="11" t="s">
        <v>268</v>
      </c>
      <c r="I37" s="11" t="s">
        <v>269</v>
      </c>
      <c r="J37" s="14" t="s">
        <v>270</v>
      </c>
      <c r="K37" s="14" t="s">
        <v>271</v>
      </c>
      <c r="L37" s="3"/>
      <c r="M37" s="3"/>
    </row>
    <row r="38" spans="1:14" ht="15.75" customHeight="1" x14ac:dyDescent="0.3">
      <c r="A38" s="1"/>
      <c r="B38" s="2"/>
      <c r="C38" s="2"/>
      <c r="D38" s="1" t="s">
        <v>272</v>
      </c>
      <c r="E38" s="1">
        <v>3</v>
      </c>
      <c r="F38" s="3" t="s">
        <v>24</v>
      </c>
      <c r="G38" s="3" t="s">
        <v>273</v>
      </c>
      <c r="H38" s="1">
        <v>780520085010</v>
      </c>
      <c r="I38" s="1">
        <v>1121800483</v>
      </c>
      <c r="J38" s="3" t="s">
        <v>274</v>
      </c>
      <c r="K38" s="3" t="s">
        <v>275</v>
      </c>
      <c r="L38" s="3"/>
      <c r="M38" s="3"/>
    </row>
    <row r="39" spans="1:14" ht="15.75" customHeight="1" x14ac:dyDescent="0.3">
      <c r="A39" s="1">
        <v>140</v>
      </c>
      <c r="B39" s="2" t="s">
        <v>276</v>
      </c>
      <c r="C39" s="2" t="s">
        <v>277</v>
      </c>
      <c r="D39" s="1" t="s">
        <v>98</v>
      </c>
      <c r="E39" s="1">
        <v>3</v>
      </c>
      <c r="F39" s="3" t="s">
        <v>24</v>
      </c>
      <c r="G39" s="3" t="s">
        <v>278</v>
      </c>
      <c r="H39" s="1" t="s">
        <v>279</v>
      </c>
      <c r="I39" s="1">
        <v>192832456</v>
      </c>
      <c r="J39" s="3" t="s">
        <v>280</v>
      </c>
      <c r="K39" s="3" t="s">
        <v>281</v>
      </c>
      <c r="L39" s="3" t="s">
        <v>282</v>
      </c>
      <c r="M39" s="3" t="s">
        <v>282</v>
      </c>
    </row>
    <row r="40" spans="1:14" ht="15.75" customHeight="1" x14ac:dyDescent="0.3">
      <c r="A40" s="4">
        <v>50</v>
      </c>
      <c r="B40" s="5" t="s">
        <v>283</v>
      </c>
      <c r="C40" s="5" t="s">
        <v>284</v>
      </c>
      <c r="D40" s="4">
        <v>1</v>
      </c>
      <c r="E40" s="4">
        <v>4</v>
      </c>
      <c r="F40" s="6" t="s">
        <v>24</v>
      </c>
      <c r="G40" s="6" t="s">
        <v>285</v>
      </c>
      <c r="H40" s="4">
        <v>570912115367</v>
      </c>
      <c r="I40" s="4">
        <v>136406767</v>
      </c>
      <c r="J40" s="6" t="s">
        <v>286</v>
      </c>
      <c r="K40" s="6" t="s">
        <v>287</v>
      </c>
      <c r="L40" s="6" t="s">
        <v>288</v>
      </c>
      <c r="M40" s="6"/>
    </row>
    <row r="41" spans="1:14" ht="15.75" customHeight="1" x14ac:dyDescent="0.3">
      <c r="A41" s="26">
        <v>140</v>
      </c>
      <c r="B41" s="8" t="s">
        <v>289</v>
      </c>
      <c r="C41" s="8" t="s">
        <v>290</v>
      </c>
      <c r="D41" s="4">
        <v>3</v>
      </c>
      <c r="E41" s="4">
        <v>4</v>
      </c>
      <c r="F41" s="6" t="s">
        <v>24</v>
      </c>
      <c r="G41" s="6" t="s">
        <v>291</v>
      </c>
      <c r="H41" s="4" t="s">
        <v>292</v>
      </c>
      <c r="I41" s="4">
        <v>192114472</v>
      </c>
      <c r="J41" s="6" t="s">
        <v>293</v>
      </c>
      <c r="K41" s="6" t="s">
        <v>294</v>
      </c>
      <c r="L41" s="6" t="s">
        <v>295</v>
      </c>
      <c r="M41" s="6"/>
    </row>
    <row r="42" spans="1:14" ht="15.75" customHeight="1" x14ac:dyDescent="0.3">
      <c r="A42" s="7"/>
      <c r="B42" s="8"/>
      <c r="C42" s="8"/>
      <c r="D42" s="7">
        <v>6</v>
      </c>
      <c r="E42" s="7">
        <v>4</v>
      </c>
      <c r="F42" s="9" t="s">
        <v>24</v>
      </c>
      <c r="G42" s="9" t="s">
        <v>296</v>
      </c>
      <c r="H42" s="7" t="s">
        <v>297</v>
      </c>
      <c r="I42" s="7" t="s">
        <v>298</v>
      </c>
      <c r="J42" s="9" t="s">
        <v>274</v>
      </c>
      <c r="K42" s="9" t="s">
        <v>299</v>
      </c>
      <c r="L42" s="6"/>
      <c r="M42" s="9" t="s">
        <v>300</v>
      </c>
    </row>
    <row r="43" spans="1:14" ht="15.75" customHeight="1" x14ac:dyDescent="0.3">
      <c r="A43" s="26">
        <v>30</v>
      </c>
      <c r="B43" s="8" t="s">
        <v>301</v>
      </c>
      <c r="C43" s="8" t="s">
        <v>302</v>
      </c>
      <c r="D43" s="4">
        <v>7</v>
      </c>
      <c r="E43" s="4">
        <v>4</v>
      </c>
      <c r="F43" s="6" t="s">
        <v>24</v>
      </c>
      <c r="G43" s="6" t="s">
        <v>303</v>
      </c>
      <c r="H43" s="6" t="s">
        <v>304</v>
      </c>
      <c r="I43" s="6">
        <v>193898886</v>
      </c>
      <c r="J43" s="6" t="s">
        <v>305</v>
      </c>
      <c r="K43" s="6" t="s">
        <v>306</v>
      </c>
      <c r="L43" s="6"/>
      <c r="M43" s="6"/>
    </row>
    <row r="44" spans="1:14" ht="15.75" customHeight="1" x14ac:dyDescent="0.3">
      <c r="A44" s="26">
        <v>50</v>
      </c>
      <c r="B44" s="8" t="s">
        <v>307</v>
      </c>
      <c r="C44" s="8" t="s">
        <v>308</v>
      </c>
      <c r="D44" s="4">
        <v>9</v>
      </c>
      <c r="E44" s="4">
        <v>4</v>
      </c>
      <c r="F44" s="6" t="s">
        <v>24</v>
      </c>
      <c r="G44" s="6" t="s">
        <v>309</v>
      </c>
      <c r="H44" s="4" t="s">
        <v>310</v>
      </c>
      <c r="I44" s="4" t="s">
        <v>311</v>
      </c>
      <c r="J44" s="6" t="s">
        <v>312</v>
      </c>
      <c r="K44" s="6" t="s">
        <v>313</v>
      </c>
      <c r="L44" s="6" t="s">
        <v>38</v>
      </c>
      <c r="M44" s="6"/>
    </row>
    <row r="45" spans="1:14" ht="15.75" customHeight="1" x14ac:dyDescent="0.3">
      <c r="A45" s="4"/>
      <c r="B45" s="5"/>
      <c r="C45" s="5"/>
      <c r="D45" s="27">
        <v>10</v>
      </c>
      <c r="E45" s="27">
        <v>4</v>
      </c>
      <c r="F45" s="28" t="s">
        <v>24</v>
      </c>
      <c r="G45" s="28" t="s">
        <v>314</v>
      </c>
      <c r="H45" s="27" t="s">
        <v>315</v>
      </c>
      <c r="I45" s="28" t="s">
        <v>316</v>
      </c>
      <c r="J45" s="28" t="s">
        <v>317</v>
      </c>
      <c r="K45" s="28" t="s">
        <v>318</v>
      </c>
      <c r="L45" s="28" t="s">
        <v>319</v>
      </c>
      <c r="M45" s="28" t="s">
        <v>320</v>
      </c>
    </row>
    <row r="46" spans="1:14" ht="15.75" customHeight="1" x14ac:dyDescent="0.3">
      <c r="A46" s="7">
        <v>140</v>
      </c>
      <c r="B46" s="5" t="s">
        <v>321</v>
      </c>
      <c r="C46" s="5" t="s">
        <v>322</v>
      </c>
      <c r="D46" s="4">
        <v>12</v>
      </c>
      <c r="E46" s="4">
        <v>4</v>
      </c>
      <c r="F46" s="6" t="s">
        <v>24</v>
      </c>
      <c r="G46" s="6" t="s">
        <v>323</v>
      </c>
      <c r="H46" s="4" t="s">
        <v>324</v>
      </c>
      <c r="I46" s="4">
        <v>162171744</v>
      </c>
      <c r="J46" s="6" t="s">
        <v>325</v>
      </c>
      <c r="K46" s="6" t="s">
        <v>326</v>
      </c>
      <c r="L46" s="6" t="s">
        <v>327</v>
      </c>
      <c r="M46" s="6"/>
    </row>
    <row r="47" spans="1:14" ht="15.75" customHeight="1" x14ac:dyDescent="0.3">
      <c r="A47" s="7">
        <v>140</v>
      </c>
      <c r="B47" s="5" t="s">
        <v>328</v>
      </c>
      <c r="C47" s="5" t="s">
        <v>290</v>
      </c>
      <c r="D47" s="4">
        <v>13</v>
      </c>
      <c r="E47" s="4">
        <v>4</v>
      </c>
      <c r="F47" s="6" t="s">
        <v>24</v>
      </c>
      <c r="G47" s="6" t="s">
        <v>329</v>
      </c>
      <c r="H47" s="4">
        <v>660417086043</v>
      </c>
      <c r="I47" s="4" t="s">
        <v>330</v>
      </c>
      <c r="J47" s="6" t="s">
        <v>331</v>
      </c>
      <c r="K47" s="6" t="s">
        <v>332</v>
      </c>
      <c r="L47" s="6" t="s">
        <v>333</v>
      </c>
      <c r="M47" s="6" t="s">
        <v>334</v>
      </c>
    </row>
    <row r="48" spans="1:14" ht="15.75" customHeight="1" x14ac:dyDescent="0.3">
      <c r="A48" s="10">
        <v>140</v>
      </c>
      <c r="B48" s="8" t="s">
        <v>335</v>
      </c>
      <c r="C48" s="8" t="s">
        <v>336</v>
      </c>
      <c r="D48" s="7">
        <v>16</v>
      </c>
      <c r="E48" s="7">
        <v>4</v>
      </c>
      <c r="F48" s="9" t="s">
        <v>24</v>
      </c>
      <c r="G48" s="9" t="s">
        <v>337</v>
      </c>
      <c r="H48" s="7" t="s">
        <v>338</v>
      </c>
      <c r="I48" s="7" t="s">
        <v>339</v>
      </c>
      <c r="J48" s="9" t="s">
        <v>340</v>
      </c>
      <c r="K48" s="9" t="s">
        <v>341</v>
      </c>
      <c r="L48" s="9" t="s">
        <v>38</v>
      </c>
      <c r="M48" s="6"/>
    </row>
    <row r="49" spans="1:13" ht="15.75" customHeight="1" x14ac:dyDescent="0.3">
      <c r="A49" s="4">
        <v>120</v>
      </c>
      <c r="B49" s="8" t="s">
        <v>342</v>
      </c>
      <c r="C49" s="8" t="s">
        <v>343</v>
      </c>
      <c r="D49" s="4">
        <v>19</v>
      </c>
      <c r="E49" s="4">
        <v>4</v>
      </c>
      <c r="F49" s="6" t="s">
        <v>24</v>
      </c>
      <c r="G49" s="6" t="s">
        <v>344</v>
      </c>
      <c r="H49" s="4" t="s">
        <v>345</v>
      </c>
      <c r="I49" s="4">
        <v>133539366</v>
      </c>
      <c r="J49" s="6" t="s">
        <v>346</v>
      </c>
      <c r="K49" s="6" t="s">
        <v>347</v>
      </c>
      <c r="L49" s="6"/>
      <c r="M49" s="6"/>
    </row>
    <row r="50" spans="1:13" ht="15.75" customHeight="1" x14ac:dyDescent="0.3">
      <c r="A50" s="4">
        <v>140</v>
      </c>
      <c r="B50" s="5" t="s">
        <v>348</v>
      </c>
      <c r="C50" s="5" t="s">
        <v>349</v>
      </c>
      <c r="D50" s="4">
        <v>20</v>
      </c>
      <c r="E50" s="4">
        <v>4</v>
      </c>
      <c r="F50" s="6" t="s">
        <v>24</v>
      </c>
      <c r="G50" s="6" t="s">
        <v>350</v>
      </c>
      <c r="H50" s="7" t="s">
        <v>351</v>
      </c>
      <c r="I50" s="7" t="s">
        <v>352</v>
      </c>
      <c r="J50" s="6" t="s">
        <v>353</v>
      </c>
      <c r="K50" s="6" t="s">
        <v>354</v>
      </c>
      <c r="L50" s="6" t="s">
        <v>355</v>
      </c>
      <c r="M50" s="6"/>
    </row>
    <row r="51" spans="1:13" ht="15.75" customHeight="1" x14ac:dyDescent="0.3">
      <c r="A51" s="7">
        <v>140</v>
      </c>
      <c r="B51" s="5" t="s">
        <v>356</v>
      </c>
      <c r="C51" s="5" t="s">
        <v>357</v>
      </c>
      <c r="D51" s="4">
        <v>22</v>
      </c>
      <c r="E51" s="4">
        <v>4</v>
      </c>
      <c r="F51" s="6" t="s">
        <v>24</v>
      </c>
      <c r="G51" s="6" t="s">
        <v>358</v>
      </c>
      <c r="H51" s="4" t="s">
        <v>359</v>
      </c>
      <c r="I51" s="4" t="s">
        <v>360</v>
      </c>
      <c r="J51" s="6" t="s">
        <v>361</v>
      </c>
      <c r="K51" s="6" t="s">
        <v>362</v>
      </c>
      <c r="L51" s="6" t="s">
        <v>363</v>
      </c>
      <c r="M51" s="6"/>
    </row>
    <row r="52" spans="1:13" ht="15.75" customHeight="1" x14ac:dyDescent="0.3">
      <c r="A52" s="7">
        <v>140</v>
      </c>
      <c r="B52" s="5" t="s">
        <v>364</v>
      </c>
      <c r="C52" s="5" t="s">
        <v>365</v>
      </c>
      <c r="D52" s="4">
        <v>23</v>
      </c>
      <c r="E52" s="4">
        <v>4</v>
      </c>
      <c r="F52" s="6" t="s">
        <v>24</v>
      </c>
      <c r="G52" s="6" t="s">
        <v>366</v>
      </c>
      <c r="H52" s="4" t="s">
        <v>367</v>
      </c>
      <c r="I52" s="6" t="s">
        <v>368</v>
      </c>
      <c r="J52" s="6" t="s">
        <v>369</v>
      </c>
      <c r="K52" s="6" t="s">
        <v>370</v>
      </c>
      <c r="L52" s="6" t="s">
        <v>371</v>
      </c>
      <c r="M52" s="6"/>
    </row>
    <row r="53" spans="1:13" ht="15.75" customHeight="1" x14ac:dyDescent="0.3">
      <c r="A53" s="7">
        <v>140</v>
      </c>
      <c r="B53" s="8" t="s">
        <v>372</v>
      </c>
      <c r="C53" s="8" t="s">
        <v>373</v>
      </c>
      <c r="D53" s="7">
        <v>26</v>
      </c>
      <c r="E53" s="7">
        <v>4</v>
      </c>
      <c r="F53" s="9" t="s">
        <v>24</v>
      </c>
      <c r="G53" s="9" t="s">
        <v>374</v>
      </c>
      <c r="H53" s="7" t="s">
        <v>375</v>
      </c>
      <c r="I53" s="7" t="s">
        <v>376</v>
      </c>
      <c r="J53" s="9" t="s">
        <v>377</v>
      </c>
      <c r="K53" s="9" t="s">
        <v>378</v>
      </c>
      <c r="L53" s="9" t="s">
        <v>379</v>
      </c>
      <c r="M53" s="6"/>
    </row>
    <row r="54" spans="1:13" ht="15.75" customHeight="1" x14ac:dyDescent="0.3">
      <c r="A54" s="7">
        <v>140</v>
      </c>
      <c r="B54" s="8" t="s">
        <v>380</v>
      </c>
      <c r="C54" s="8" t="s">
        <v>381</v>
      </c>
      <c r="D54" s="7">
        <v>27</v>
      </c>
      <c r="E54" s="7">
        <v>4</v>
      </c>
      <c r="F54" s="9" t="s">
        <v>24</v>
      </c>
      <c r="G54" s="9" t="s">
        <v>382</v>
      </c>
      <c r="H54" s="7" t="s">
        <v>383</v>
      </c>
      <c r="I54" s="7" t="s">
        <v>384</v>
      </c>
      <c r="J54" s="9" t="s">
        <v>385</v>
      </c>
      <c r="K54" s="9" t="s">
        <v>386</v>
      </c>
      <c r="L54" s="6"/>
      <c r="M54" s="6"/>
    </row>
    <row r="55" spans="1:13" ht="15.75" customHeight="1" x14ac:dyDescent="0.3">
      <c r="A55" s="7">
        <v>140</v>
      </c>
      <c r="B55" s="5" t="s">
        <v>387</v>
      </c>
      <c r="C55" s="5" t="s">
        <v>388</v>
      </c>
      <c r="D55" s="4">
        <v>28</v>
      </c>
      <c r="E55" s="4">
        <v>4</v>
      </c>
      <c r="F55" s="6" t="s">
        <v>15</v>
      </c>
      <c r="G55" s="6" t="s">
        <v>389</v>
      </c>
      <c r="H55" s="4" t="s">
        <v>390</v>
      </c>
      <c r="I55" s="4" t="s">
        <v>391</v>
      </c>
      <c r="J55" s="6" t="s">
        <v>392</v>
      </c>
      <c r="K55" s="6" t="s">
        <v>393</v>
      </c>
      <c r="L55" s="6" t="s">
        <v>394</v>
      </c>
      <c r="M55" s="6"/>
    </row>
    <row r="56" spans="1:13" ht="15.75" customHeight="1" x14ac:dyDescent="0.3">
      <c r="A56" s="7">
        <v>120</v>
      </c>
      <c r="B56" s="8" t="s">
        <v>395</v>
      </c>
      <c r="C56" s="8" t="s">
        <v>396</v>
      </c>
      <c r="D56" s="7">
        <v>29</v>
      </c>
      <c r="E56" s="7">
        <v>4</v>
      </c>
      <c r="F56" s="9" t="s">
        <v>24</v>
      </c>
      <c r="G56" s="9" t="s">
        <v>397</v>
      </c>
      <c r="H56" s="7" t="s">
        <v>398</v>
      </c>
      <c r="I56" s="7" t="s">
        <v>399</v>
      </c>
      <c r="J56" s="9" t="s">
        <v>400</v>
      </c>
      <c r="K56" s="9" t="s">
        <v>401</v>
      </c>
      <c r="L56" s="6"/>
      <c r="M56" s="6"/>
    </row>
    <row r="57" spans="1:13" ht="15.75" customHeight="1" x14ac:dyDescent="0.3">
      <c r="A57" s="7">
        <v>140</v>
      </c>
      <c r="B57" s="8" t="s">
        <v>402</v>
      </c>
      <c r="C57" s="8" t="s">
        <v>403</v>
      </c>
      <c r="D57" s="7">
        <v>32</v>
      </c>
      <c r="E57" s="7">
        <v>4</v>
      </c>
      <c r="F57" s="9" t="s">
        <v>24</v>
      </c>
      <c r="G57" s="9" t="s">
        <v>404</v>
      </c>
      <c r="H57" s="7" t="s">
        <v>405</v>
      </c>
      <c r="I57" s="7" t="s">
        <v>406</v>
      </c>
      <c r="J57" s="9" t="s">
        <v>407</v>
      </c>
      <c r="K57" s="9" t="s">
        <v>408</v>
      </c>
      <c r="L57" s="6"/>
      <c r="M57" s="6"/>
    </row>
    <row r="58" spans="1:13" ht="15.75" customHeight="1" x14ac:dyDescent="0.3">
      <c r="A58" s="4">
        <v>30</v>
      </c>
      <c r="B58" s="5" t="s">
        <v>409</v>
      </c>
      <c r="C58" s="5" t="s">
        <v>410</v>
      </c>
      <c r="D58" s="4" t="s">
        <v>411</v>
      </c>
      <c r="E58" s="4">
        <v>4</v>
      </c>
      <c r="F58" s="6" t="s">
        <v>15</v>
      </c>
      <c r="G58" s="6" t="s">
        <v>412</v>
      </c>
      <c r="H58" s="4" t="s">
        <v>413</v>
      </c>
      <c r="I58" s="4">
        <v>163611601</v>
      </c>
      <c r="J58" s="6" t="s">
        <v>414</v>
      </c>
      <c r="K58" s="6" t="s">
        <v>415</v>
      </c>
      <c r="L58" s="6"/>
      <c r="M58" s="6"/>
    </row>
    <row r="59" spans="1:13" ht="15.75" customHeight="1" x14ac:dyDescent="0.3">
      <c r="A59" s="11">
        <v>30</v>
      </c>
      <c r="B59" s="13" t="s">
        <v>416</v>
      </c>
      <c r="C59" s="13" t="s">
        <v>417</v>
      </c>
      <c r="D59" s="11">
        <v>1</v>
      </c>
      <c r="E59" s="11">
        <v>5</v>
      </c>
      <c r="F59" s="14" t="s">
        <v>24</v>
      </c>
      <c r="G59" s="14" t="s">
        <v>418</v>
      </c>
      <c r="H59" s="11" t="s">
        <v>419</v>
      </c>
      <c r="I59" s="11">
        <v>173040177</v>
      </c>
      <c r="J59" s="14" t="s">
        <v>420</v>
      </c>
      <c r="K59" s="14" t="s">
        <v>421</v>
      </c>
      <c r="L59" s="14" t="s">
        <v>422</v>
      </c>
      <c r="M59" s="3"/>
    </row>
    <row r="60" spans="1:13" ht="15.75" customHeight="1" x14ac:dyDescent="0.3">
      <c r="A60" s="11">
        <v>140</v>
      </c>
      <c r="B60" s="2" t="s">
        <v>423</v>
      </c>
      <c r="C60" s="2" t="s">
        <v>424</v>
      </c>
      <c r="D60" s="1">
        <v>2</v>
      </c>
      <c r="E60" s="1">
        <v>5</v>
      </c>
      <c r="F60" s="3" t="s">
        <v>24</v>
      </c>
      <c r="G60" s="3" t="s">
        <v>425</v>
      </c>
      <c r="H60" s="1" t="s">
        <v>426</v>
      </c>
      <c r="I60" s="1" t="s">
        <v>427</v>
      </c>
      <c r="J60" s="3" t="s">
        <v>428</v>
      </c>
      <c r="K60" s="3" t="s">
        <v>429</v>
      </c>
      <c r="L60" s="3"/>
      <c r="M60" s="3"/>
    </row>
    <row r="61" spans="1:13" ht="15.75" customHeight="1" x14ac:dyDescent="0.3">
      <c r="A61" s="11">
        <v>140</v>
      </c>
      <c r="B61" s="13" t="s">
        <v>430</v>
      </c>
      <c r="C61" s="13" t="s">
        <v>431</v>
      </c>
      <c r="D61" s="11">
        <v>3</v>
      </c>
      <c r="E61" s="11">
        <v>5</v>
      </c>
      <c r="F61" s="14" t="s">
        <v>24</v>
      </c>
      <c r="G61" s="14" t="s">
        <v>432</v>
      </c>
      <c r="H61" s="11" t="s">
        <v>433</v>
      </c>
      <c r="I61" s="11" t="s">
        <v>434</v>
      </c>
      <c r="J61" s="14" t="s">
        <v>435</v>
      </c>
      <c r="K61" s="14" t="s">
        <v>436</v>
      </c>
      <c r="L61" s="14" t="s">
        <v>437</v>
      </c>
      <c r="M61" s="14" t="s">
        <v>274</v>
      </c>
    </row>
    <row r="62" spans="1:13" ht="15.75" customHeight="1" x14ac:dyDescent="0.3">
      <c r="A62" s="15">
        <v>140</v>
      </c>
      <c r="B62" s="13" t="s">
        <v>438</v>
      </c>
      <c r="C62" s="13" t="s">
        <v>439</v>
      </c>
      <c r="D62" s="1">
        <v>5</v>
      </c>
      <c r="E62" s="1">
        <v>5</v>
      </c>
      <c r="F62" s="3" t="s">
        <v>24</v>
      </c>
      <c r="G62" s="3" t="s">
        <v>440</v>
      </c>
      <c r="H62" s="1" t="s">
        <v>441</v>
      </c>
      <c r="I62" s="1">
        <v>193574667</v>
      </c>
      <c r="J62" s="3" t="s">
        <v>442</v>
      </c>
      <c r="K62" s="3" t="s">
        <v>443</v>
      </c>
      <c r="L62" s="3"/>
      <c r="M62" s="3"/>
    </row>
    <row r="63" spans="1:13" ht="15.75" customHeight="1" x14ac:dyDescent="0.3">
      <c r="A63" s="1">
        <v>140</v>
      </c>
      <c r="B63" s="2" t="s">
        <v>444</v>
      </c>
      <c r="C63" s="2" t="s">
        <v>445</v>
      </c>
      <c r="D63" s="1">
        <v>6</v>
      </c>
      <c r="E63" s="1">
        <v>5</v>
      </c>
      <c r="F63" s="3" t="s">
        <v>24</v>
      </c>
      <c r="G63" s="3" t="s">
        <v>446</v>
      </c>
      <c r="H63" s="1" t="s">
        <v>447</v>
      </c>
      <c r="I63" s="1">
        <v>1152200905</v>
      </c>
      <c r="J63" s="3" t="s">
        <v>448</v>
      </c>
      <c r="K63" s="3" t="s">
        <v>449</v>
      </c>
      <c r="L63" s="3"/>
      <c r="M63" s="3"/>
    </row>
    <row r="64" spans="1:13" ht="15.75" customHeight="1" x14ac:dyDescent="0.3">
      <c r="A64" s="11">
        <v>140</v>
      </c>
      <c r="B64" s="13" t="s">
        <v>450</v>
      </c>
      <c r="C64" s="13" t="s">
        <v>451</v>
      </c>
      <c r="D64" s="11">
        <v>7</v>
      </c>
      <c r="E64" s="11">
        <v>5</v>
      </c>
      <c r="F64" s="14" t="s">
        <v>24</v>
      </c>
      <c r="G64" s="14" t="s">
        <v>452</v>
      </c>
      <c r="H64" s="11">
        <v>760614055375</v>
      </c>
      <c r="I64" s="11">
        <v>192181837</v>
      </c>
      <c r="J64" s="14" t="s">
        <v>453</v>
      </c>
      <c r="K64" s="14" t="s">
        <v>454</v>
      </c>
      <c r="L64" s="3"/>
      <c r="M64" s="3"/>
    </row>
    <row r="65" spans="1:13" ht="15.75" customHeight="1" x14ac:dyDescent="0.3">
      <c r="A65" s="11">
        <v>140</v>
      </c>
      <c r="B65" s="2" t="s">
        <v>455</v>
      </c>
      <c r="C65" s="2" t="s">
        <v>456</v>
      </c>
      <c r="D65" s="1">
        <v>8</v>
      </c>
      <c r="E65" s="1">
        <v>5</v>
      </c>
      <c r="F65" s="3" t="s">
        <v>24</v>
      </c>
      <c r="G65" s="3" t="s">
        <v>457</v>
      </c>
      <c r="H65" s="1" t="s">
        <v>458</v>
      </c>
      <c r="I65" s="1" t="s">
        <v>459</v>
      </c>
      <c r="J65" s="3" t="s">
        <v>460</v>
      </c>
      <c r="K65" s="3" t="s">
        <v>461</v>
      </c>
      <c r="L65" s="3" t="s">
        <v>282</v>
      </c>
      <c r="M65" s="3" t="s">
        <v>282</v>
      </c>
    </row>
    <row r="66" spans="1:13" ht="15.75" customHeight="1" x14ac:dyDescent="0.3">
      <c r="A66" s="11">
        <v>140</v>
      </c>
      <c r="B66" s="2" t="s">
        <v>462</v>
      </c>
      <c r="C66" s="2" t="s">
        <v>463</v>
      </c>
      <c r="D66" s="1">
        <v>9</v>
      </c>
      <c r="E66" s="1">
        <v>5</v>
      </c>
      <c r="F66" s="3" t="s">
        <v>24</v>
      </c>
      <c r="G66" s="3" t="s">
        <v>464</v>
      </c>
      <c r="H66" s="1" t="s">
        <v>465</v>
      </c>
      <c r="I66" s="1">
        <v>821026039516</v>
      </c>
      <c r="J66" s="3" t="s">
        <v>466</v>
      </c>
      <c r="K66" s="3" t="s">
        <v>467</v>
      </c>
      <c r="L66" s="3"/>
      <c r="M66" s="3"/>
    </row>
    <row r="67" spans="1:13" ht="15.75" customHeight="1" x14ac:dyDescent="0.3">
      <c r="A67" s="11">
        <v>140</v>
      </c>
      <c r="B67" s="2" t="s">
        <v>468</v>
      </c>
      <c r="C67" s="2" t="s">
        <v>469</v>
      </c>
      <c r="D67" s="1">
        <v>10</v>
      </c>
      <c r="E67" s="1">
        <v>5</v>
      </c>
      <c r="F67" s="3" t="s">
        <v>24</v>
      </c>
      <c r="G67" s="3" t="s">
        <v>470</v>
      </c>
      <c r="H67" s="1" t="s">
        <v>471</v>
      </c>
      <c r="I67" s="1" t="s">
        <v>472</v>
      </c>
      <c r="J67" s="3" t="s">
        <v>473</v>
      </c>
      <c r="K67" s="3" t="s">
        <v>474</v>
      </c>
      <c r="L67" s="3" t="s">
        <v>475</v>
      </c>
      <c r="M67" s="3"/>
    </row>
    <row r="68" spans="1:13" ht="15.75" customHeight="1" x14ac:dyDescent="0.3">
      <c r="A68" s="11">
        <v>140</v>
      </c>
      <c r="B68" s="13" t="s">
        <v>476</v>
      </c>
      <c r="C68" s="13" t="s">
        <v>477</v>
      </c>
      <c r="D68" s="11">
        <v>12</v>
      </c>
      <c r="E68" s="11">
        <v>5</v>
      </c>
      <c r="F68" s="14" t="s">
        <v>24</v>
      </c>
      <c r="G68" s="14" t="s">
        <v>478</v>
      </c>
      <c r="H68" s="11" t="s">
        <v>479</v>
      </c>
      <c r="I68" s="11">
        <v>193833819</v>
      </c>
      <c r="J68" s="14" t="s">
        <v>480</v>
      </c>
      <c r="K68" s="14" t="s">
        <v>481</v>
      </c>
      <c r="L68" s="3"/>
      <c r="M68" s="3"/>
    </row>
    <row r="69" spans="1:13" ht="15.75" customHeight="1" x14ac:dyDescent="0.3">
      <c r="A69" s="1">
        <v>50</v>
      </c>
      <c r="B69" s="13" t="s">
        <v>482</v>
      </c>
      <c r="C69" s="13" t="s">
        <v>483</v>
      </c>
      <c r="D69" s="1">
        <v>13</v>
      </c>
      <c r="E69" s="1">
        <v>5</v>
      </c>
      <c r="F69" s="3" t="s">
        <v>24</v>
      </c>
      <c r="G69" s="3" t="s">
        <v>484</v>
      </c>
      <c r="H69" s="1" t="s">
        <v>485</v>
      </c>
      <c r="I69" s="1" t="s">
        <v>486</v>
      </c>
      <c r="J69" s="3" t="s">
        <v>487</v>
      </c>
      <c r="K69" s="3" t="s">
        <v>488</v>
      </c>
      <c r="L69" s="3" t="s">
        <v>282</v>
      </c>
      <c r="M69" s="3" t="s">
        <v>282</v>
      </c>
    </row>
    <row r="70" spans="1:13" ht="15.75" customHeight="1" x14ac:dyDescent="0.3">
      <c r="A70" s="11">
        <v>140</v>
      </c>
      <c r="B70" s="13" t="s">
        <v>489</v>
      </c>
      <c r="C70" s="13" t="s">
        <v>490</v>
      </c>
      <c r="D70" s="11">
        <v>15</v>
      </c>
      <c r="E70" s="11">
        <v>5</v>
      </c>
      <c r="F70" s="14" t="s">
        <v>24</v>
      </c>
      <c r="G70" s="14" t="s">
        <v>491</v>
      </c>
      <c r="H70" s="11" t="s">
        <v>492</v>
      </c>
      <c r="I70" s="11" t="s">
        <v>493</v>
      </c>
      <c r="J70" s="14" t="s">
        <v>494</v>
      </c>
      <c r="K70" s="14" t="s">
        <v>495</v>
      </c>
      <c r="L70" s="3"/>
      <c r="M70" s="3"/>
    </row>
    <row r="71" spans="1:13" ht="15.75" customHeight="1" x14ac:dyDescent="0.3">
      <c r="A71" s="1">
        <v>30</v>
      </c>
      <c r="B71" s="2" t="s">
        <v>496</v>
      </c>
      <c r="C71" s="2" t="s">
        <v>497</v>
      </c>
      <c r="D71" s="1">
        <v>16</v>
      </c>
      <c r="E71" s="1">
        <v>5</v>
      </c>
      <c r="F71" s="3" t="s">
        <v>15</v>
      </c>
      <c r="G71" s="3" t="s">
        <v>498</v>
      </c>
      <c r="H71" s="1" t="s">
        <v>499</v>
      </c>
      <c r="I71" s="1" t="s">
        <v>500</v>
      </c>
      <c r="J71" s="3" t="s">
        <v>501</v>
      </c>
      <c r="K71" s="3" t="s">
        <v>502</v>
      </c>
      <c r="L71" s="3"/>
      <c r="M71" s="3"/>
    </row>
    <row r="72" spans="1:13" ht="15.75" customHeight="1" x14ac:dyDescent="0.3">
      <c r="A72" s="11">
        <v>140</v>
      </c>
      <c r="B72" s="13" t="s">
        <v>503</v>
      </c>
      <c r="C72" s="13" t="s">
        <v>504</v>
      </c>
      <c r="D72" s="11">
        <v>17</v>
      </c>
      <c r="E72" s="11">
        <v>5</v>
      </c>
      <c r="F72" s="14" t="s">
        <v>24</v>
      </c>
      <c r="G72" s="14" t="s">
        <v>505</v>
      </c>
      <c r="H72" s="11" t="s">
        <v>506</v>
      </c>
      <c r="I72" s="11" t="s">
        <v>507</v>
      </c>
      <c r="J72" s="14" t="s">
        <v>508</v>
      </c>
      <c r="K72" s="14" t="s">
        <v>509</v>
      </c>
      <c r="L72" s="14" t="s">
        <v>510</v>
      </c>
      <c r="M72" s="3"/>
    </row>
    <row r="73" spans="1:13" ht="15.75" customHeight="1" x14ac:dyDescent="0.3">
      <c r="A73" s="11">
        <v>140</v>
      </c>
      <c r="B73" s="13" t="s">
        <v>511</v>
      </c>
      <c r="C73" s="13" t="s">
        <v>512</v>
      </c>
      <c r="D73" s="11">
        <v>18</v>
      </c>
      <c r="E73" s="11">
        <v>5</v>
      </c>
      <c r="F73" s="14" t="s">
        <v>24</v>
      </c>
      <c r="G73" s="14" t="s">
        <v>513</v>
      </c>
      <c r="H73" s="11" t="s">
        <v>514</v>
      </c>
      <c r="I73" s="11" t="s">
        <v>515</v>
      </c>
      <c r="J73" s="14" t="s">
        <v>516</v>
      </c>
      <c r="K73" s="14" t="s">
        <v>517</v>
      </c>
      <c r="L73" s="14" t="s">
        <v>518</v>
      </c>
      <c r="M73" s="3"/>
    </row>
    <row r="74" spans="1:13" ht="15.75" customHeight="1" x14ac:dyDescent="0.3">
      <c r="A74" s="1">
        <v>30</v>
      </c>
      <c r="B74" s="2" t="s">
        <v>519</v>
      </c>
      <c r="C74" s="2" t="s">
        <v>520</v>
      </c>
      <c r="D74" s="1">
        <v>19</v>
      </c>
      <c r="E74" s="1">
        <v>5</v>
      </c>
      <c r="F74" s="3" t="s">
        <v>24</v>
      </c>
      <c r="G74" s="3" t="s">
        <v>521</v>
      </c>
      <c r="H74" s="1">
        <v>630721055893</v>
      </c>
      <c r="I74" s="1">
        <v>193800724</v>
      </c>
      <c r="J74" s="3" t="s">
        <v>522</v>
      </c>
      <c r="K74" s="3" t="s">
        <v>523</v>
      </c>
      <c r="L74" s="3"/>
      <c r="M74" s="3"/>
    </row>
    <row r="75" spans="1:13" ht="15.75" customHeight="1" x14ac:dyDescent="0.3">
      <c r="A75" s="11">
        <v>140</v>
      </c>
      <c r="B75" s="13" t="s">
        <v>524</v>
      </c>
      <c r="C75" s="13" t="s">
        <v>525</v>
      </c>
      <c r="D75" s="11">
        <v>20</v>
      </c>
      <c r="E75" s="11">
        <v>5</v>
      </c>
      <c r="F75" s="14" t="s">
        <v>24</v>
      </c>
      <c r="G75" s="14" t="s">
        <v>526</v>
      </c>
      <c r="H75" s="11" t="s">
        <v>527</v>
      </c>
      <c r="I75" s="11" t="s">
        <v>528</v>
      </c>
      <c r="J75" s="14" t="s">
        <v>529</v>
      </c>
      <c r="K75" s="14" t="s">
        <v>530</v>
      </c>
      <c r="L75" s="14" t="s">
        <v>531</v>
      </c>
      <c r="M75" s="3"/>
    </row>
    <row r="76" spans="1:13" ht="15.75" customHeight="1" x14ac:dyDescent="0.3">
      <c r="A76" s="11">
        <v>140</v>
      </c>
      <c r="B76" s="13" t="s">
        <v>532</v>
      </c>
      <c r="C76" s="13" t="s">
        <v>533</v>
      </c>
      <c r="D76" s="11">
        <v>21</v>
      </c>
      <c r="E76" s="11">
        <v>5</v>
      </c>
      <c r="F76" s="14" t="s">
        <v>24</v>
      </c>
      <c r="G76" s="14" t="s">
        <v>534</v>
      </c>
      <c r="H76" s="11" t="s">
        <v>535</v>
      </c>
      <c r="I76" s="11" t="s">
        <v>536</v>
      </c>
      <c r="J76" s="14" t="s">
        <v>537</v>
      </c>
      <c r="K76" s="14" t="s">
        <v>538</v>
      </c>
      <c r="L76" s="14" t="s">
        <v>539</v>
      </c>
      <c r="M76" s="3"/>
    </row>
    <row r="77" spans="1:13" ht="15.75" customHeight="1" x14ac:dyDescent="0.3">
      <c r="A77" s="11">
        <v>140</v>
      </c>
      <c r="B77" s="2" t="s">
        <v>540</v>
      </c>
      <c r="C77" s="2" t="s">
        <v>541</v>
      </c>
      <c r="D77" s="1">
        <v>22</v>
      </c>
      <c r="E77" s="1">
        <v>5</v>
      </c>
      <c r="F77" s="3" t="s">
        <v>24</v>
      </c>
      <c r="G77" s="3" t="s">
        <v>542</v>
      </c>
      <c r="H77" s="1" t="s">
        <v>543</v>
      </c>
      <c r="I77" s="1" t="s">
        <v>544</v>
      </c>
      <c r="J77" s="3" t="s">
        <v>545</v>
      </c>
      <c r="K77" s="3" t="s">
        <v>546</v>
      </c>
      <c r="L77" s="3" t="s">
        <v>547</v>
      </c>
      <c r="M77" s="3"/>
    </row>
    <row r="78" spans="1:13" ht="15.75" customHeight="1" x14ac:dyDescent="0.3">
      <c r="A78" s="15">
        <v>140</v>
      </c>
      <c r="B78" s="13" t="s">
        <v>548</v>
      </c>
      <c r="C78" s="13" t="s">
        <v>549</v>
      </c>
      <c r="D78" s="11">
        <v>23</v>
      </c>
      <c r="E78" s="11">
        <v>5</v>
      </c>
      <c r="F78" s="14" t="s">
        <v>24</v>
      </c>
      <c r="G78" s="14" t="s">
        <v>550</v>
      </c>
      <c r="H78" s="11" t="s">
        <v>551</v>
      </c>
      <c r="I78" s="11" t="s">
        <v>552</v>
      </c>
      <c r="J78" s="14" t="s">
        <v>553</v>
      </c>
      <c r="K78" s="14" t="s">
        <v>554</v>
      </c>
      <c r="L78" s="14" t="s">
        <v>555</v>
      </c>
      <c r="M78" s="3"/>
    </row>
    <row r="79" spans="1:13" ht="15.75" customHeight="1" x14ac:dyDescent="0.3">
      <c r="A79" s="11">
        <v>140</v>
      </c>
      <c r="B79" s="2" t="s">
        <v>556</v>
      </c>
      <c r="C79" s="2" t="s">
        <v>557</v>
      </c>
      <c r="D79" s="1">
        <v>25</v>
      </c>
      <c r="E79" s="1">
        <v>5</v>
      </c>
      <c r="F79" s="3" t="s">
        <v>24</v>
      </c>
      <c r="G79" s="3" t="s">
        <v>558</v>
      </c>
      <c r="H79" s="1" t="s">
        <v>559</v>
      </c>
      <c r="I79" s="1" t="s">
        <v>560</v>
      </c>
      <c r="J79" s="3" t="s">
        <v>561</v>
      </c>
      <c r="K79" s="3" t="s">
        <v>562</v>
      </c>
      <c r="L79" s="3" t="s">
        <v>563</v>
      </c>
      <c r="M79" s="3"/>
    </row>
    <row r="80" spans="1:13" ht="15.75" customHeight="1" x14ac:dyDescent="0.3">
      <c r="A80" s="1">
        <v>140</v>
      </c>
      <c r="B80" s="2" t="s">
        <v>564</v>
      </c>
      <c r="C80" s="2" t="s">
        <v>565</v>
      </c>
      <c r="D80" s="1">
        <v>26</v>
      </c>
      <c r="E80" s="1">
        <v>5</v>
      </c>
      <c r="F80" s="3" t="s">
        <v>24</v>
      </c>
      <c r="G80" s="3" t="s">
        <v>566</v>
      </c>
      <c r="H80" s="1" t="s">
        <v>567</v>
      </c>
      <c r="I80" s="1" t="s">
        <v>568</v>
      </c>
      <c r="J80" s="3" t="s">
        <v>569</v>
      </c>
      <c r="K80" s="3" t="s">
        <v>570</v>
      </c>
      <c r="L80" s="3" t="s">
        <v>571</v>
      </c>
      <c r="M80" s="3"/>
    </row>
    <row r="81" spans="1:13" ht="15.75" customHeight="1" x14ac:dyDescent="0.3">
      <c r="A81" s="1"/>
      <c r="B81" s="2"/>
      <c r="C81" s="2"/>
      <c r="D81" s="1">
        <v>27</v>
      </c>
      <c r="E81" s="1">
        <v>5</v>
      </c>
      <c r="F81" s="3" t="s">
        <v>24</v>
      </c>
      <c r="G81" s="3" t="s">
        <v>572</v>
      </c>
      <c r="H81" s="1" t="s">
        <v>573</v>
      </c>
      <c r="I81" s="1" t="s">
        <v>574</v>
      </c>
      <c r="J81" s="3" t="s">
        <v>575</v>
      </c>
      <c r="K81" s="3" t="s">
        <v>576</v>
      </c>
      <c r="L81" s="3"/>
      <c r="M81" s="3"/>
    </row>
    <row r="82" spans="1:13" ht="15.75" customHeight="1" x14ac:dyDescent="0.3">
      <c r="A82" s="1">
        <v>140</v>
      </c>
      <c r="B82" s="13" t="s">
        <v>577</v>
      </c>
      <c r="C82" s="13" t="s">
        <v>578</v>
      </c>
      <c r="D82" s="11">
        <v>28</v>
      </c>
      <c r="E82" s="11">
        <v>5</v>
      </c>
      <c r="F82" s="14" t="s">
        <v>24</v>
      </c>
      <c r="G82" s="14" t="s">
        <v>579</v>
      </c>
      <c r="H82" s="11" t="s">
        <v>580</v>
      </c>
      <c r="I82" s="11" t="s">
        <v>581</v>
      </c>
      <c r="J82" s="14" t="s">
        <v>582</v>
      </c>
      <c r="K82" s="14" t="s">
        <v>583</v>
      </c>
      <c r="L82" s="3"/>
      <c r="M82" s="3"/>
    </row>
    <row r="83" spans="1:13" ht="15.75" customHeight="1" x14ac:dyDescent="0.3">
      <c r="A83" s="1"/>
      <c r="B83" s="2"/>
      <c r="C83" s="2"/>
      <c r="D83" s="1">
        <v>32</v>
      </c>
      <c r="E83" s="1">
        <v>5</v>
      </c>
      <c r="F83" s="3" t="s">
        <v>24</v>
      </c>
      <c r="G83" s="3" t="s">
        <v>584</v>
      </c>
      <c r="H83" s="1" t="s">
        <v>585</v>
      </c>
      <c r="I83" s="1" t="s">
        <v>586</v>
      </c>
      <c r="J83" s="3" t="s">
        <v>587</v>
      </c>
      <c r="K83" s="3" t="s">
        <v>588</v>
      </c>
      <c r="L83" s="3" t="s">
        <v>589</v>
      </c>
      <c r="M83" s="3"/>
    </row>
    <row r="84" spans="1:13" ht="15.75" customHeight="1" x14ac:dyDescent="0.3">
      <c r="A84" s="11">
        <v>140</v>
      </c>
      <c r="B84" s="2" t="s">
        <v>590</v>
      </c>
      <c r="C84" s="2" t="s">
        <v>591</v>
      </c>
      <c r="D84" s="1">
        <v>33</v>
      </c>
      <c r="E84" s="1">
        <v>5</v>
      </c>
      <c r="F84" s="3" t="s">
        <v>24</v>
      </c>
      <c r="G84" s="3" t="s">
        <v>592</v>
      </c>
      <c r="H84" s="1">
        <v>640102085857</v>
      </c>
      <c r="I84" s="1">
        <v>132313922</v>
      </c>
      <c r="J84" s="3" t="s">
        <v>593</v>
      </c>
      <c r="K84" s="3" t="s">
        <v>594</v>
      </c>
      <c r="L84" s="3" t="s">
        <v>38</v>
      </c>
      <c r="M84" s="3" t="s">
        <v>38</v>
      </c>
    </row>
    <row r="85" spans="1:13" ht="15.75" customHeight="1" x14ac:dyDescent="0.3">
      <c r="A85" s="11">
        <v>140</v>
      </c>
      <c r="B85" s="2" t="s">
        <v>595</v>
      </c>
      <c r="C85" s="2" t="s">
        <v>596</v>
      </c>
      <c r="D85" s="1">
        <v>35</v>
      </c>
      <c r="E85" s="1">
        <v>5</v>
      </c>
      <c r="F85" s="3" t="s">
        <v>24</v>
      </c>
      <c r="G85" s="3" t="s">
        <v>597</v>
      </c>
      <c r="H85" s="1" t="s">
        <v>598</v>
      </c>
      <c r="I85" s="1" t="s">
        <v>599</v>
      </c>
      <c r="J85" s="3" t="s">
        <v>600</v>
      </c>
      <c r="K85" s="3" t="s">
        <v>601</v>
      </c>
      <c r="L85" s="3"/>
      <c r="M85" s="3"/>
    </row>
    <row r="86" spans="1:13" ht="15.75" customHeight="1" x14ac:dyDescent="0.3">
      <c r="A86" s="15">
        <v>30</v>
      </c>
      <c r="B86" s="2" t="s">
        <v>602</v>
      </c>
      <c r="C86" s="2" t="s">
        <v>603</v>
      </c>
      <c r="D86" s="29">
        <v>35</v>
      </c>
      <c r="E86" s="29">
        <v>5</v>
      </c>
      <c r="F86" s="30" t="s">
        <v>15</v>
      </c>
      <c r="G86" s="30" t="s">
        <v>604</v>
      </c>
      <c r="H86" s="29" t="s">
        <v>605</v>
      </c>
      <c r="I86" s="29">
        <v>133882494</v>
      </c>
      <c r="J86" s="30" t="s">
        <v>606</v>
      </c>
      <c r="K86" s="30" t="s">
        <v>607</v>
      </c>
      <c r="L86" s="30"/>
      <c r="M86" s="30"/>
    </row>
    <row r="87" spans="1:13" ht="15.75" customHeight="1" x14ac:dyDescent="0.3">
      <c r="A87" s="15">
        <v>140</v>
      </c>
      <c r="B87" s="13" t="s">
        <v>608</v>
      </c>
      <c r="C87" s="13" t="s">
        <v>609</v>
      </c>
      <c r="D87" s="1">
        <v>39</v>
      </c>
      <c r="E87" s="1">
        <v>5</v>
      </c>
      <c r="F87" s="3" t="s">
        <v>24</v>
      </c>
      <c r="G87" s="3" t="s">
        <v>610</v>
      </c>
      <c r="H87" s="1" t="s">
        <v>611</v>
      </c>
      <c r="I87" s="1">
        <v>123692834</v>
      </c>
      <c r="J87" s="3" t="s">
        <v>612</v>
      </c>
      <c r="K87" s="3" t="s">
        <v>613</v>
      </c>
      <c r="L87" s="3"/>
      <c r="M87" s="3"/>
    </row>
    <row r="88" spans="1:13" ht="15.75" customHeight="1" x14ac:dyDescent="0.3">
      <c r="A88" s="11">
        <v>140</v>
      </c>
      <c r="B88" s="13" t="s">
        <v>614</v>
      </c>
      <c r="C88" s="13" t="s">
        <v>615</v>
      </c>
      <c r="D88" s="11">
        <v>40</v>
      </c>
      <c r="E88" s="11">
        <v>5</v>
      </c>
      <c r="F88" s="14" t="s">
        <v>24</v>
      </c>
      <c r="G88" s="14" t="s">
        <v>616</v>
      </c>
      <c r="H88" s="11" t="s">
        <v>617</v>
      </c>
      <c r="I88" s="11" t="s">
        <v>618</v>
      </c>
      <c r="J88" s="14" t="s">
        <v>619</v>
      </c>
      <c r="K88" s="14" t="s">
        <v>620</v>
      </c>
      <c r="L88" s="3"/>
      <c r="M88" s="3"/>
    </row>
    <row r="89" spans="1:13" ht="15.75" customHeight="1" x14ac:dyDescent="0.3">
      <c r="A89" s="11">
        <v>140</v>
      </c>
      <c r="B89" s="13" t="s">
        <v>621</v>
      </c>
      <c r="C89" s="13" t="s">
        <v>622</v>
      </c>
      <c r="D89" s="11">
        <v>41</v>
      </c>
      <c r="E89" s="11">
        <v>5</v>
      </c>
      <c r="F89" s="14" t="s">
        <v>24</v>
      </c>
      <c r="G89" s="14" t="s">
        <v>623</v>
      </c>
      <c r="H89" s="11" t="s">
        <v>624</v>
      </c>
      <c r="I89" s="11" t="s">
        <v>625</v>
      </c>
      <c r="J89" s="14" t="s">
        <v>626</v>
      </c>
      <c r="K89" s="14" t="s">
        <v>627</v>
      </c>
      <c r="L89" s="14" t="s">
        <v>628</v>
      </c>
      <c r="M89" s="3"/>
    </row>
    <row r="90" spans="1:13" ht="15.75" customHeight="1" x14ac:dyDescent="0.3">
      <c r="A90" s="1">
        <v>120</v>
      </c>
      <c r="B90" s="2" t="s">
        <v>629</v>
      </c>
      <c r="C90" s="2" t="s">
        <v>630</v>
      </c>
      <c r="D90" s="1">
        <v>42</v>
      </c>
      <c r="E90" s="1">
        <v>5</v>
      </c>
      <c r="F90" s="3" t="s">
        <v>24</v>
      </c>
      <c r="G90" s="3" t="s">
        <v>631</v>
      </c>
      <c r="H90" s="1" t="s">
        <v>632</v>
      </c>
      <c r="I90" s="1">
        <v>133332718</v>
      </c>
      <c r="J90" s="3" t="s">
        <v>633</v>
      </c>
      <c r="K90" s="3" t="s">
        <v>634</v>
      </c>
      <c r="L90" s="3" t="s">
        <v>635</v>
      </c>
      <c r="M90" s="3" t="s">
        <v>38</v>
      </c>
    </row>
    <row r="91" spans="1:13" ht="15.75" customHeight="1" x14ac:dyDescent="0.3">
      <c r="A91" s="11">
        <v>140</v>
      </c>
      <c r="B91" s="13" t="s">
        <v>636</v>
      </c>
      <c r="C91" s="13" t="s">
        <v>637</v>
      </c>
      <c r="D91" s="11">
        <v>43</v>
      </c>
      <c r="E91" s="11">
        <v>5</v>
      </c>
      <c r="F91" s="14" t="s">
        <v>24</v>
      </c>
      <c r="G91" s="14" t="s">
        <v>638</v>
      </c>
      <c r="H91" s="11" t="s">
        <v>639</v>
      </c>
      <c r="I91" s="11" t="s">
        <v>640</v>
      </c>
      <c r="J91" s="14" t="s">
        <v>641</v>
      </c>
      <c r="K91" s="14" t="s">
        <v>642</v>
      </c>
      <c r="L91" s="14" t="s">
        <v>643</v>
      </c>
      <c r="M91" s="3"/>
    </row>
    <row r="92" spans="1:13" ht="15.75" customHeight="1" x14ac:dyDescent="0.3">
      <c r="A92" s="11">
        <v>140</v>
      </c>
      <c r="B92" s="13" t="s">
        <v>644</v>
      </c>
      <c r="C92" s="13" t="s">
        <v>645</v>
      </c>
      <c r="D92" s="11" t="s">
        <v>646</v>
      </c>
      <c r="E92" s="11">
        <v>5</v>
      </c>
      <c r="F92" s="14" t="s">
        <v>24</v>
      </c>
      <c r="G92" s="14" t="s">
        <v>647</v>
      </c>
      <c r="H92" s="11" t="s">
        <v>648</v>
      </c>
      <c r="I92" s="11" t="s">
        <v>649</v>
      </c>
      <c r="J92" s="14" t="s">
        <v>650</v>
      </c>
      <c r="K92" s="14" t="s">
        <v>651</v>
      </c>
      <c r="L92" s="14" t="s">
        <v>652</v>
      </c>
      <c r="M92" s="3"/>
    </row>
    <row r="93" spans="1:13" ht="15.75" customHeight="1" x14ac:dyDescent="0.3">
      <c r="A93" s="11">
        <v>140</v>
      </c>
      <c r="B93" s="31" t="s">
        <v>653</v>
      </c>
      <c r="C93" s="31" t="s">
        <v>654</v>
      </c>
      <c r="D93" s="32" t="s">
        <v>655</v>
      </c>
      <c r="E93" s="32">
        <v>5</v>
      </c>
      <c r="F93" s="33" t="s">
        <v>24</v>
      </c>
      <c r="G93" s="33" t="s">
        <v>656</v>
      </c>
      <c r="H93" s="32" t="s">
        <v>657</v>
      </c>
      <c r="I93" s="32" t="s">
        <v>658</v>
      </c>
      <c r="J93" s="33" t="s">
        <v>659</v>
      </c>
      <c r="K93" s="33" t="s">
        <v>660</v>
      </c>
      <c r="L93" s="33" t="s">
        <v>661</v>
      </c>
      <c r="M93" s="34"/>
    </row>
    <row r="94" spans="1:13" ht="15.75" customHeight="1" x14ac:dyDescent="0.3">
      <c r="A94" s="11">
        <v>50</v>
      </c>
      <c r="B94" s="13" t="s">
        <v>662</v>
      </c>
      <c r="C94" s="13" t="s">
        <v>663</v>
      </c>
      <c r="D94" s="11" t="s">
        <v>664</v>
      </c>
      <c r="E94" s="11">
        <v>5</v>
      </c>
      <c r="F94" s="14" t="s">
        <v>15</v>
      </c>
      <c r="G94" s="14" t="s">
        <v>665</v>
      </c>
      <c r="H94" s="11" t="s">
        <v>666</v>
      </c>
      <c r="I94" s="11">
        <v>193898699</v>
      </c>
      <c r="J94" s="14" t="s">
        <v>667</v>
      </c>
      <c r="K94" s="14" t="s">
        <v>668</v>
      </c>
      <c r="L94" s="3"/>
      <c r="M94" s="3"/>
    </row>
    <row r="95" spans="1:13" ht="15.75" customHeight="1" x14ac:dyDescent="0.3">
      <c r="A95" s="11">
        <v>140</v>
      </c>
      <c r="B95" s="13" t="s">
        <v>669</v>
      </c>
      <c r="C95" s="13" t="s">
        <v>670</v>
      </c>
      <c r="D95" s="11" t="s">
        <v>671</v>
      </c>
      <c r="E95" s="11">
        <v>5</v>
      </c>
      <c r="F95" s="14" t="s">
        <v>24</v>
      </c>
      <c r="G95" s="14" t="s">
        <v>672</v>
      </c>
      <c r="H95" s="11" t="s">
        <v>673</v>
      </c>
      <c r="I95" s="11" t="s">
        <v>674</v>
      </c>
      <c r="J95" s="14" t="s">
        <v>675</v>
      </c>
      <c r="K95" s="14" t="s">
        <v>676</v>
      </c>
      <c r="L95" s="14" t="s">
        <v>677</v>
      </c>
      <c r="M95" s="3"/>
    </row>
    <row r="96" spans="1:13" ht="15.75" customHeight="1" x14ac:dyDescent="0.3">
      <c r="A96" s="11">
        <v>140</v>
      </c>
      <c r="B96" s="13" t="s">
        <v>678</v>
      </c>
      <c r="C96" s="13" t="s">
        <v>679</v>
      </c>
      <c r="D96" s="11" t="s">
        <v>680</v>
      </c>
      <c r="E96" s="11">
        <v>5</v>
      </c>
      <c r="F96" s="14" t="s">
        <v>24</v>
      </c>
      <c r="G96" s="14" t="s">
        <v>681</v>
      </c>
      <c r="H96" s="11" t="s">
        <v>682</v>
      </c>
      <c r="I96" s="11">
        <v>193868921</v>
      </c>
      <c r="J96" s="14" t="s">
        <v>683</v>
      </c>
      <c r="K96" s="14" t="s">
        <v>684</v>
      </c>
      <c r="L96" s="14" t="s">
        <v>685</v>
      </c>
      <c r="M96" s="3"/>
    </row>
    <row r="97" spans="1:13" ht="15.75" customHeight="1" x14ac:dyDescent="0.3">
      <c r="A97" s="35"/>
      <c r="B97" s="12"/>
      <c r="C97" s="36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spans="1:13" ht="15.75" customHeight="1" x14ac:dyDescent="0.3">
      <c r="A98" s="35">
        <f>SUM(A1:A96)</f>
        <v>10650</v>
      </c>
      <c r="B98" s="12"/>
      <c r="C98" s="36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1:13" ht="15.75" customHeight="1" x14ac:dyDescent="0.3">
      <c r="A99" s="35"/>
      <c r="B99" s="37"/>
      <c r="C99" s="37"/>
      <c r="D99" s="1">
        <v>3</v>
      </c>
      <c r="E99" s="1">
        <v>21</v>
      </c>
      <c r="F99" s="38">
        <v>60</v>
      </c>
      <c r="G99" s="12"/>
      <c r="H99" s="35"/>
      <c r="I99" s="35"/>
      <c r="J99" s="12"/>
      <c r="K99" s="12"/>
      <c r="L99" s="12"/>
      <c r="M99" s="12"/>
    </row>
    <row r="100" spans="1:13" ht="15.75" customHeight="1" x14ac:dyDescent="0.3">
      <c r="A100" s="12"/>
      <c r="B100" s="12"/>
      <c r="C100" s="36"/>
      <c r="D100" s="1">
        <v>4</v>
      </c>
      <c r="E100" s="1">
        <v>16</v>
      </c>
      <c r="F100" s="38">
        <v>50</v>
      </c>
      <c r="G100" s="12"/>
      <c r="H100" s="12"/>
      <c r="I100" s="12"/>
      <c r="J100" s="12"/>
      <c r="K100" s="12"/>
      <c r="L100" s="12"/>
      <c r="M100" s="12"/>
    </row>
    <row r="101" spans="1:13" ht="15.75" customHeight="1" x14ac:dyDescent="0.3">
      <c r="A101" s="12"/>
      <c r="B101" s="12"/>
      <c r="C101" s="36"/>
      <c r="D101" s="1">
        <v>5</v>
      </c>
      <c r="E101" s="1">
        <v>34</v>
      </c>
      <c r="F101" s="38">
        <v>77.272727272727266</v>
      </c>
      <c r="G101" s="12"/>
      <c r="H101" s="12"/>
      <c r="I101" s="12"/>
      <c r="J101" s="12"/>
      <c r="K101" s="12"/>
      <c r="L101" s="12"/>
      <c r="M101" s="12"/>
    </row>
    <row r="102" spans="1:13" ht="15.75" customHeight="1" x14ac:dyDescent="0.3">
      <c r="A102" s="12"/>
      <c r="B102" s="12"/>
      <c r="C102" s="36"/>
      <c r="D102" s="1"/>
      <c r="E102" s="38">
        <v>80</v>
      </c>
      <c r="F102" s="38">
        <v>62.015503875968989</v>
      </c>
      <c r="G102" s="12"/>
      <c r="H102" s="12"/>
      <c r="I102" s="12"/>
      <c r="J102" s="12"/>
      <c r="K102" s="12"/>
      <c r="L102" s="12"/>
      <c r="M102" s="12"/>
    </row>
    <row r="103" spans="1:13" ht="15.75" customHeight="1" x14ac:dyDescent="0.3">
      <c r="C103" s="39"/>
    </row>
    <row r="104" spans="1:13" ht="15.75" customHeight="1" x14ac:dyDescent="0.3">
      <c r="C104" s="39"/>
    </row>
    <row r="105" spans="1:13" ht="15.75" customHeight="1" x14ac:dyDescent="0.3">
      <c r="C105" s="39"/>
    </row>
    <row r="106" spans="1:13" ht="15.75" customHeight="1" x14ac:dyDescent="0.3">
      <c r="C106" s="39"/>
    </row>
    <row r="107" spans="1:13" ht="15.75" customHeight="1" x14ac:dyDescent="0.3">
      <c r="C107" s="39"/>
    </row>
    <row r="108" spans="1:13" ht="15.75" customHeight="1" x14ac:dyDescent="0.3">
      <c r="C108" s="39"/>
    </row>
    <row r="109" spans="1:13" ht="15.75" customHeight="1" x14ac:dyDescent="0.3">
      <c r="C109" s="39"/>
    </row>
    <row r="110" spans="1:13" ht="15.75" customHeight="1" x14ac:dyDescent="0.3">
      <c r="C110" s="39"/>
    </row>
    <row r="111" spans="1:13" ht="15.75" customHeight="1" x14ac:dyDescent="0.3">
      <c r="C111" s="39"/>
    </row>
    <row r="112" spans="1:13" ht="15.75" customHeight="1" x14ac:dyDescent="0.3">
      <c r="C112" s="39"/>
    </row>
    <row r="113" spans="3:3" ht="15.75" customHeight="1" x14ac:dyDescent="0.3">
      <c r="C113" s="39"/>
    </row>
    <row r="114" spans="3:3" ht="15.75" customHeight="1" x14ac:dyDescent="0.3">
      <c r="C114" s="39"/>
    </row>
    <row r="115" spans="3:3" ht="15.75" customHeight="1" x14ac:dyDescent="0.3">
      <c r="C115" s="39"/>
    </row>
    <row r="116" spans="3:3" ht="15.75" customHeight="1" x14ac:dyDescent="0.3">
      <c r="C116" s="39"/>
    </row>
    <row r="117" spans="3:3" ht="15.75" customHeight="1" x14ac:dyDescent="0.3">
      <c r="C117" s="39"/>
    </row>
    <row r="118" spans="3:3" ht="15.75" customHeight="1" x14ac:dyDescent="0.3">
      <c r="C118" s="39"/>
    </row>
    <row r="119" spans="3:3" ht="15.75" customHeight="1" x14ac:dyDescent="0.3">
      <c r="C119" s="39"/>
    </row>
    <row r="120" spans="3:3" ht="15.75" customHeight="1" x14ac:dyDescent="0.3">
      <c r="C120" s="39"/>
    </row>
    <row r="121" spans="3:3" ht="15.75" customHeight="1" x14ac:dyDescent="0.3">
      <c r="C121" s="39"/>
    </row>
    <row r="122" spans="3:3" ht="15.75" customHeight="1" x14ac:dyDescent="0.3">
      <c r="C122" s="39"/>
    </row>
    <row r="123" spans="3:3" ht="15.75" customHeight="1" x14ac:dyDescent="0.3">
      <c r="C123" s="39"/>
    </row>
    <row r="124" spans="3:3" ht="15.75" customHeight="1" x14ac:dyDescent="0.3">
      <c r="C124" s="39"/>
    </row>
    <row r="125" spans="3:3" ht="15.75" customHeight="1" x14ac:dyDescent="0.3">
      <c r="C125" s="39"/>
    </row>
    <row r="126" spans="3:3" ht="15.75" customHeight="1" x14ac:dyDescent="0.3">
      <c r="C126" s="39"/>
    </row>
    <row r="127" spans="3:3" ht="15.75" customHeight="1" x14ac:dyDescent="0.3">
      <c r="C127" s="39"/>
    </row>
    <row r="128" spans="3:3" ht="15.75" customHeight="1" x14ac:dyDescent="0.3">
      <c r="C128" s="39"/>
    </row>
    <row r="129" spans="3:3" ht="15.75" customHeight="1" x14ac:dyDescent="0.3">
      <c r="C129" s="39"/>
    </row>
    <row r="130" spans="3:3" ht="15.75" customHeight="1" x14ac:dyDescent="0.3">
      <c r="C130" s="39"/>
    </row>
    <row r="131" spans="3:3" ht="15.75" customHeight="1" x14ac:dyDescent="0.3">
      <c r="C131" s="39"/>
    </row>
    <row r="132" spans="3:3" ht="15.75" customHeight="1" x14ac:dyDescent="0.3">
      <c r="C132" s="39"/>
    </row>
    <row r="133" spans="3:3" ht="15.75" customHeight="1" x14ac:dyDescent="0.3">
      <c r="C133" s="39"/>
    </row>
    <row r="134" spans="3:3" ht="15.75" customHeight="1" x14ac:dyDescent="0.3">
      <c r="C134" s="39"/>
    </row>
    <row r="135" spans="3:3" ht="15.75" customHeight="1" x14ac:dyDescent="0.3">
      <c r="C135" s="39"/>
    </row>
    <row r="136" spans="3:3" ht="15.75" customHeight="1" x14ac:dyDescent="0.3">
      <c r="C136" s="39"/>
    </row>
    <row r="137" spans="3:3" ht="15.75" customHeight="1" x14ac:dyDescent="0.3">
      <c r="C137" s="39"/>
    </row>
    <row r="138" spans="3:3" ht="15.75" customHeight="1" x14ac:dyDescent="0.3">
      <c r="C138" s="39"/>
    </row>
    <row r="139" spans="3:3" ht="15.75" customHeight="1" x14ac:dyDescent="0.3">
      <c r="C139" s="39"/>
    </row>
    <row r="140" spans="3:3" ht="15.75" customHeight="1" x14ac:dyDescent="0.3">
      <c r="C140" s="39"/>
    </row>
    <row r="141" spans="3:3" ht="15.75" customHeight="1" x14ac:dyDescent="0.3">
      <c r="C141" s="39"/>
    </row>
    <row r="142" spans="3:3" ht="15.75" customHeight="1" x14ac:dyDescent="0.3">
      <c r="C142" s="39"/>
    </row>
    <row r="143" spans="3:3" ht="15.75" customHeight="1" x14ac:dyDescent="0.3">
      <c r="C143" s="39"/>
    </row>
    <row r="144" spans="3:3" ht="15.75" customHeight="1" x14ac:dyDescent="0.3">
      <c r="C144" s="39"/>
    </row>
    <row r="145" spans="3:3" ht="15.75" customHeight="1" x14ac:dyDescent="0.3">
      <c r="C145" s="39"/>
    </row>
    <row r="146" spans="3:3" ht="15.75" customHeight="1" x14ac:dyDescent="0.3">
      <c r="C146" s="39"/>
    </row>
    <row r="147" spans="3:3" ht="15.75" customHeight="1" x14ac:dyDescent="0.3">
      <c r="C147" s="39"/>
    </row>
    <row r="148" spans="3:3" ht="15.75" customHeight="1" x14ac:dyDescent="0.3">
      <c r="C148" s="39"/>
    </row>
    <row r="149" spans="3:3" ht="15.75" customHeight="1" x14ac:dyDescent="0.3">
      <c r="C149" s="39"/>
    </row>
    <row r="150" spans="3:3" ht="15.75" customHeight="1" x14ac:dyDescent="0.3">
      <c r="C150" s="39"/>
    </row>
    <row r="151" spans="3:3" ht="15.75" customHeight="1" x14ac:dyDescent="0.3">
      <c r="C151" s="39"/>
    </row>
    <row r="152" spans="3:3" ht="15.75" customHeight="1" x14ac:dyDescent="0.3">
      <c r="C152" s="39"/>
    </row>
    <row r="153" spans="3:3" ht="15.75" customHeight="1" x14ac:dyDescent="0.3">
      <c r="C153" s="39"/>
    </row>
    <row r="154" spans="3:3" ht="15.75" customHeight="1" x14ac:dyDescent="0.3">
      <c r="C154" s="39"/>
    </row>
    <row r="155" spans="3:3" ht="15.75" customHeight="1" x14ac:dyDescent="0.3">
      <c r="C155" s="39"/>
    </row>
    <row r="156" spans="3:3" ht="15.75" customHeight="1" x14ac:dyDescent="0.3">
      <c r="C156" s="39"/>
    </row>
    <row r="157" spans="3:3" ht="15.75" customHeight="1" x14ac:dyDescent="0.3">
      <c r="C157" s="39"/>
    </row>
    <row r="158" spans="3:3" ht="15.75" customHeight="1" x14ac:dyDescent="0.3">
      <c r="C158" s="39"/>
    </row>
    <row r="159" spans="3:3" ht="15.75" customHeight="1" x14ac:dyDescent="0.3">
      <c r="C159" s="39"/>
    </row>
    <row r="160" spans="3:3" ht="15.75" customHeight="1" x14ac:dyDescent="0.3">
      <c r="C160" s="39"/>
    </row>
    <row r="161" spans="3:3" ht="15.75" customHeight="1" x14ac:dyDescent="0.3">
      <c r="C161" s="39"/>
    </row>
    <row r="162" spans="3:3" ht="15.75" customHeight="1" x14ac:dyDescent="0.3">
      <c r="C162" s="39"/>
    </row>
    <row r="163" spans="3:3" ht="15.75" customHeight="1" x14ac:dyDescent="0.3">
      <c r="C163" s="39"/>
    </row>
    <row r="164" spans="3:3" ht="15.75" customHeight="1" x14ac:dyDescent="0.3">
      <c r="C164" s="39"/>
    </row>
    <row r="165" spans="3:3" ht="15.75" customHeight="1" x14ac:dyDescent="0.3">
      <c r="C165" s="39"/>
    </row>
    <row r="166" spans="3:3" ht="15.75" customHeight="1" x14ac:dyDescent="0.3">
      <c r="C166" s="39"/>
    </row>
    <row r="167" spans="3:3" ht="15.75" customHeight="1" x14ac:dyDescent="0.3">
      <c r="C167" s="39"/>
    </row>
    <row r="168" spans="3:3" ht="15.75" customHeight="1" x14ac:dyDescent="0.3">
      <c r="C168" s="39"/>
    </row>
    <row r="169" spans="3:3" ht="15.75" customHeight="1" x14ac:dyDescent="0.3">
      <c r="C169" s="39"/>
    </row>
    <row r="170" spans="3:3" ht="15.75" customHeight="1" x14ac:dyDescent="0.3">
      <c r="C170" s="39"/>
    </row>
    <row r="171" spans="3:3" ht="15.75" customHeight="1" x14ac:dyDescent="0.3">
      <c r="C171" s="39"/>
    </row>
    <row r="172" spans="3:3" ht="15.75" customHeight="1" x14ac:dyDescent="0.3">
      <c r="C172" s="39"/>
    </row>
    <row r="173" spans="3:3" ht="15.75" customHeight="1" x14ac:dyDescent="0.3">
      <c r="C173" s="39"/>
    </row>
    <row r="174" spans="3:3" ht="15.75" customHeight="1" x14ac:dyDescent="0.3">
      <c r="C174" s="39"/>
    </row>
    <row r="175" spans="3:3" ht="15.75" customHeight="1" x14ac:dyDescent="0.3">
      <c r="C175" s="39"/>
    </row>
    <row r="176" spans="3:3" ht="15.75" customHeight="1" x14ac:dyDescent="0.3">
      <c r="C176" s="39"/>
    </row>
    <row r="177" spans="3:3" ht="15.75" customHeight="1" x14ac:dyDescent="0.3">
      <c r="C177" s="39"/>
    </row>
    <row r="178" spans="3:3" ht="15.75" customHeight="1" x14ac:dyDescent="0.3">
      <c r="C178" s="39"/>
    </row>
    <row r="179" spans="3:3" ht="15.75" customHeight="1" x14ac:dyDescent="0.3">
      <c r="C179" s="39"/>
    </row>
    <row r="180" spans="3:3" ht="15.75" customHeight="1" x14ac:dyDescent="0.3">
      <c r="C180" s="39"/>
    </row>
    <row r="181" spans="3:3" ht="15.75" customHeight="1" x14ac:dyDescent="0.3">
      <c r="C181" s="39"/>
    </row>
    <row r="182" spans="3:3" ht="15.75" customHeight="1" x14ac:dyDescent="0.3">
      <c r="C182" s="39"/>
    </row>
    <row r="183" spans="3:3" ht="15.75" customHeight="1" x14ac:dyDescent="0.3">
      <c r="C183" s="39"/>
    </row>
    <row r="184" spans="3:3" ht="15.75" customHeight="1" x14ac:dyDescent="0.3">
      <c r="C184" s="39"/>
    </row>
    <row r="185" spans="3:3" ht="15.75" customHeight="1" x14ac:dyDescent="0.3">
      <c r="C185" s="39"/>
    </row>
    <row r="186" spans="3:3" ht="15.75" customHeight="1" x14ac:dyDescent="0.3">
      <c r="C186" s="39"/>
    </row>
    <row r="187" spans="3:3" ht="15.75" customHeight="1" x14ac:dyDescent="0.3">
      <c r="C187" s="39"/>
    </row>
    <row r="188" spans="3:3" ht="15.75" customHeight="1" x14ac:dyDescent="0.3">
      <c r="C188" s="39"/>
    </row>
    <row r="189" spans="3:3" ht="15.75" customHeight="1" x14ac:dyDescent="0.3">
      <c r="C189" s="39"/>
    </row>
    <row r="190" spans="3:3" ht="15.75" customHeight="1" x14ac:dyDescent="0.3">
      <c r="C190" s="39"/>
    </row>
    <row r="191" spans="3:3" ht="15.75" customHeight="1" x14ac:dyDescent="0.3">
      <c r="C191" s="39"/>
    </row>
    <row r="192" spans="3:3" ht="15.75" customHeight="1" x14ac:dyDescent="0.3">
      <c r="C192" s="39"/>
    </row>
    <row r="193" spans="3:3" ht="15.75" customHeight="1" x14ac:dyDescent="0.3">
      <c r="C193" s="39"/>
    </row>
    <row r="194" spans="3:3" ht="15.75" customHeight="1" x14ac:dyDescent="0.3">
      <c r="C194" s="39"/>
    </row>
    <row r="195" spans="3:3" ht="15.75" customHeight="1" x14ac:dyDescent="0.3">
      <c r="C195" s="39"/>
    </row>
    <row r="196" spans="3:3" ht="15.75" customHeight="1" x14ac:dyDescent="0.3">
      <c r="C196" s="39"/>
    </row>
    <row r="197" spans="3:3" ht="15.75" customHeight="1" x14ac:dyDescent="0.3">
      <c r="C197" s="39"/>
    </row>
    <row r="198" spans="3:3" ht="15.75" customHeight="1" x14ac:dyDescent="0.3">
      <c r="C198" s="39"/>
    </row>
    <row r="199" spans="3:3" ht="15.75" customHeight="1" x14ac:dyDescent="0.3">
      <c r="C199" s="39"/>
    </row>
    <row r="200" spans="3:3" ht="15.75" customHeight="1" x14ac:dyDescent="0.3">
      <c r="C200" s="39"/>
    </row>
    <row r="201" spans="3:3" ht="15.75" customHeight="1" x14ac:dyDescent="0.3">
      <c r="C201" s="39"/>
    </row>
    <row r="202" spans="3:3" ht="15.75" customHeight="1" x14ac:dyDescent="0.3">
      <c r="C202" s="39"/>
    </row>
    <row r="203" spans="3:3" ht="15.75" customHeight="1" x14ac:dyDescent="0.3">
      <c r="C203" s="39"/>
    </row>
    <row r="204" spans="3:3" ht="15.75" customHeight="1" x14ac:dyDescent="0.3">
      <c r="C204" s="39"/>
    </row>
    <row r="205" spans="3:3" ht="15.75" customHeight="1" x14ac:dyDescent="0.3">
      <c r="C205" s="39"/>
    </row>
    <row r="206" spans="3:3" ht="15.75" customHeight="1" x14ac:dyDescent="0.3">
      <c r="C206" s="39"/>
    </row>
    <row r="207" spans="3:3" ht="15.75" customHeight="1" x14ac:dyDescent="0.3">
      <c r="C207" s="39"/>
    </row>
    <row r="208" spans="3:3" ht="15.75" customHeight="1" x14ac:dyDescent="0.3">
      <c r="C208" s="39"/>
    </row>
    <row r="209" spans="3:3" ht="15.75" customHeight="1" x14ac:dyDescent="0.3">
      <c r="C209" s="39"/>
    </row>
    <row r="210" spans="3:3" ht="15.75" customHeight="1" x14ac:dyDescent="0.3">
      <c r="C210" s="39"/>
    </row>
    <row r="211" spans="3:3" ht="15.75" customHeight="1" x14ac:dyDescent="0.3">
      <c r="C211" s="39"/>
    </row>
    <row r="212" spans="3:3" ht="15.75" customHeight="1" x14ac:dyDescent="0.3">
      <c r="C212" s="39"/>
    </row>
    <row r="213" spans="3:3" ht="15.75" customHeight="1" x14ac:dyDescent="0.3">
      <c r="C213" s="39"/>
    </row>
    <row r="214" spans="3:3" ht="15.75" customHeight="1" x14ac:dyDescent="0.3">
      <c r="C214" s="39"/>
    </row>
    <row r="215" spans="3:3" ht="15.75" customHeight="1" x14ac:dyDescent="0.3">
      <c r="C215" s="39"/>
    </row>
    <row r="216" spans="3:3" ht="15.75" customHeight="1" x14ac:dyDescent="0.3">
      <c r="C216" s="39"/>
    </row>
    <row r="217" spans="3:3" ht="15.75" customHeight="1" x14ac:dyDescent="0.3">
      <c r="C217" s="39"/>
    </row>
    <row r="218" spans="3:3" ht="15.75" customHeight="1" x14ac:dyDescent="0.3">
      <c r="C218" s="39"/>
    </row>
    <row r="219" spans="3:3" ht="15.75" customHeight="1" x14ac:dyDescent="0.3">
      <c r="C219" s="39"/>
    </row>
    <row r="220" spans="3:3" ht="15.75" customHeight="1" x14ac:dyDescent="0.3">
      <c r="C220" s="39"/>
    </row>
    <row r="221" spans="3:3" ht="15.75" customHeight="1" x14ac:dyDescent="0.3">
      <c r="C221" s="39"/>
    </row>
    <row r="222" spans="3:3" ht="15.75" customHeight="1" x14ac:dyDescent="0.3">
      <c r="C222" s="39"/>
    </row>
    <row r="223" spans="3:3" ht="15.75" customHeight="1" x14ac:dyDescent="0.3">
      <c r="C223" s="39"/>
    </row>
    <row r="224" spans="3:3" ht="15.75" customHeight="1" x14ac:dyDescent="0.3">
      <c r="C224" s="39"/>
    </row>
    <row r="225" spans="3:3" ht="15.75" customHeight="1" x14ac:dyDescent="0.3">
      <c r="C225" s="39"/>
    </row>
    <row r="226" spans="3:3" ht="15.75" customHeight="1" x14ac:dyDescent="0.3">
      <c r="C226" s="39"/>
    </row>
    <row r="227" spans="3:3" ht="15.75" customHeight="1" x14ac:dyDescent="0.3">
      <c r="C227" s="39"/>
    </row>
    <row r="228" spans="3:3" ht="15.75" customHeight="1" x14ac:dyDescent="0.3">
      <c r="C228" s="39"/>
    </row>
    <row r="229" spans="3:3" ht="15.75" customHeight="1" x14ac:dyDescent="0.3">
      <c r="C229" s="39"/>
    </row>
    <row r="230" spans="3:3" ht="15.75" customHeight="1" x14ac:dyDescent="0.3">
      <c r="C230" s="39"/>
    </row>
    <row r="231" spans="3:3" ht="15.75" customHeight="1" x14ac:dyDescent="0.3">
      <c r="C231" s="39"/>
    </row>
    <row r="232" spans="3:3" ht="15.75" customHeight="1" x14ac:dyDescent="0.3">
      <c r="C232" s="39"/>
    </row>
    <row r="233" spans="3:3" ht="15.75" customHeight="1" x14ac:dyDescent="0.3">
      <c r="C233" s="39"/>
    </row>
    <row r="234" spans="3:3" ht="15.75" customHeight="1" x14ac:dyDescent="0.3">
      <c r="C234" s="39"/>
    </row>
    <row r="235" spans="3:3" ht="15.75" customHeight="1" x14ac:dyDescent="0.3">
      <c r="C235" s="39"/>
    </row>
    <row r="236" spans="3:3" ht="15.75" customHeight="1" x14ac:dyDescent="0.3">
      <c r="C236" s="39"/>
    </row>
    <row r="237" spans="3:3" ht="15.75" customHeight="1" x14ac:dyDescent="0.3">
      <c r="C237" s="39"/>
    </row>
    <row r="238" spans="3:3" ht="15.75" customHeight="1" x14ac:dyDescent="0.3">
      <c r="C238" s="39"/>
    </row>
    <row r="239" spans="3:3" ht="15.75" customHeight="1" x14ac:dyDescent="0.3">
      <c r="C239" s="39"/>
    </row>
    <row r="240" spans="3:3" ht="15.75" customHeight="1" x14ac:dyDescent="0.3">
      <c r="C240" s="39"/>
    </row>
    <row r="241" spans="3:3" ht="15.75" customHeight="1" x14ac:dyDescent="0.3">
      <c r="C241" s="39"/>
    </row>
    <row r="242" spans="3:3" ht="15.75" customHeight="1" x14ac:dyDescent="0.3">
      <c r="C242" s="39"/>
    </row>
    <row r="243" spans="3:3" ht="15.75" customHeight="1" x14ac:dyDescent="0.3">
      <c r="C243" s="39"/>
    </row>
    <row r="244" spans="3:3" ht="15.75" customHeight="1" x14ac:dyDescent="0.3">
      <c r="C244" s="39"/>
    </row>
    <row r="245" spans="3:3" ht="15.75" customHeight="1" x14ac:dyDescent="0.3">
      <c r="C245" s="39"/>
    </row>
    <row r="246" spans="3:3" ht="15.75" customHeight="1" x14ac:dyDescent="0.3">
      <c r="C246" s="39"/>
    </row>
    <row r="247" spans="3:3" ht="15.75" customHeight="1" x14ac:dyDescent="0.3">
      <c r="C247" s="39"/>
    </row>
    <row r="248" spans="3:3" ht="15.75" customHeight="1" x14ac:dyDescent="0.3">
      <c r="C248" s="39"/>
    </row>
    <row r="249" spans="3:3" ht="15.75" customHeight="1" x14ac:dyDescent="0.3">
      <c r="C249" s="39"/>
    </row>
    <row r="250" spans="3:3" ht="15.75" customHeight="1" x14ac:dyDescent="0.3">
      <c r="C250" s="39"/>
    </row>
    <row r="251" spans="3:3" ht="15.75" customHeight="1" x14ac:dyDescent="0.3">
      <c r="C251" s="39"/>
    </row>
    <row r="252" spans="3:3" ht="15.75" customHeight="1" x14ac:dyDescent="0.3">
      <c r="C252" s="39"/>
    </row>
    <row r="253" spans="3:3" ht="15.75" customHeight="1" x14ac:dyDescent="0.3">
      <c r="C253" s="39"/>
    </row>
    <row r="254" spans="3:3" ht="15.75" customHeight="1" x14ac:dyDescent="0.3">
      <c r="C254" s="39"/>
    </row>
    <row r="255" spans="3:3" ht="15.75" customHeight="1" x14ac:dyDescent="0.3">
      <c r="C255" s="39"/>
    </row>
    <row r="256" spans="3:3" ht="15.75" customHeight="1" x14ac:dyDescent="0.3">
      <c r="C256" s="39"/>
    </row>
    <row r="257" spans="3:3" ht="15.75" customHeight="1" x14ac:dyDescent="0.3">
      <c r="C257" s="39"/>
    </row>
    <row r="258" spans="3:3" ht="15.75" customHeight="1" x14ac:dyDescent="0.3">
      <c r="C258" s="39"/>
    </row>
    <row r="259" spans="3:3" ht="15.75" customHeight="1" x14ac:dyDescent="0.3">
      <c r="C259" s="39"/>
    </row>
    <row r="260" spans="3:3" ht="15.75" customHeight="1" x14ac:dyDescent="0.3">
      <c r="C260" s="39"/>
    </row>
    <row r="261" spans="3:3" ht="15.75" customHeight="1" x14ac:dyDescent="0.3">
      <c r="C261" s="39"/>
    </row>
    <row r="262" spans="3:3" ht="15.75" customHeight="1" x14ac:dyDescent="0.3">
      <c r="C262" s="39"/>
    </row>
    <row r="263" spans="3:3" ht="15.75" customHeight="1" x14ac:dyDescent="0.3">
      <c r="C263" s="39"/>
    </row>
    <row r="264" spans="3:3" ht="15.75" customHeight="1" x14ac:dyDescent="0.3">
      <c r="C264" s="39"/>
    </row>
    <row r="265" spans="3:3" ht="15.75" customHeight="1" x14ac:dyDescent="0.3">
      <c r="C265" s="39"/>
    </row>
    <row r="266" spans="3:3" ht="15.75" customHeight="1" x14ac:dyDescent="0.3">
      <c r="C266" s="39"/>
    </row>
    <row r="267" spans="3:3" ht="15.75" customHeight="1" x14ac:dyDescent="0.3">
      <c r="C267" s="39"/>
    </row>
    <row r="268" spans="3:3" ht="15.75" customHeight="1" x14ac:dyDescent="0.3">
      <c r="C268" s="39"/>
    </row>
    <row r="269" spans="3:3" ht="15.75" customHeight="1" x14ac:dyDescent="0.3">
      <c r="C269" s="39"/>
    </row>
    <row r="270" spans="3:3" ht="15.75" customHeight="1" x14ac:dyDescent="0.3">
      <c r="C270" s="39"/>
    </row>
    <row r="271" spans="3:3" ht="15.75" customHeight="1" x14ac:dyDescent="0.3">
      <c r="C271" s="39"/>
    </row>
    <row r="272" spans="3:3" ht="15.75" customHeight="1" x14ac:dyDescent="0.3">
      <c r="C272" s="39"/>
    </row>
    <row r="273" spans="3:3" ht="15.75" customHeight="1" x14ac:dyDescent="0.3">
      <c r="C273" s="39"/>
    </row>
    <row r="274" spans="3:3" ht="15.75" customHeight="1" x14ac:dyDescent="0.3">
      <c r="C274" s="39"/>
    </row>
    <row r="275" spans="3:3" ht="15.75" customHeight="1" x14ac:dyDescent="0.3">
      <c r="C275" s="39"/>
    </row>
    <row r="276" spans="3:3" ht="15.75" customHeight="1" x14ac:dyDescent="0.3">
      <c r="C276" s="39"/>
    </row>
    <row r="277" spans="3:3" ht="15.75" customHeight="1" x14ac:dyDescent="0.3">
      <c r="C277" s="39"/>
    </row>
    <row r="278" spans="3:3" ht="15.75" customHeight="1" x14ac:dyDescent="0.3">
      <c r="C278" s="39"/>
    </row>
    <row r="279" spans="3:3" ht="15.75" customHeight="1" x14ac:dyDescent="0.3">
      <c r="C279" s="39"/>
    </row>
    <row r="280" spans="3:3" ht="15.75" customHeight="1" x14ac:dyDescent="0.3">
      <c r="C280" s="39"/>
    </row>
    <row r="281" spans="3:3" ht="15.75" customHeight="1" x14ac:dyDescent="0.3">
      <c r="C281" s="39"/>
    </row>
    <row r="282" spans="3:3" ht="15.75" customHeight="1" x14ac:dyDescent="0.3">
      <c r="C282" s="39"/>
    </row>
    <row r="283" spans="3:3" ht="15.75" customHeight="1" x14ac:dyDescent="0.3">
      <c r="C283" s="39"/>
    </row>
    <row r="284" spans="3:3" ht="15.75" customHeight="1" x14ac:dyDescent="0.3">
      <c r="C284" s="39"/>
    </row>
    <row r="285" spans="3:3" ht="15.75" customHeight="1" x14ac:dyDescent="0.3">
      <c r="C285" s="39"/>
    </row>
    <row r="286" spans="3:3" ht="15.75" customHeight="1" x14ac:dyDescent="0.3">
      <c r="C286" s="39"/>
    </row>
    <row r="287" spans="3:3" ht="15.75" customHeight="1" x14ac:dyDescent="0.3">
      <c r="C287" s="39"/>
    </row>
    <row r="288" spans="3:3" ht="15.75" customHeight="1" x14ac:dyDescent="0.3">
      <c r="C288" s="39"/>
    </row>
    <row r="289" spans="3:3" ht="15.75" customHeight="1" x14ac:dyDescent="0.3">
      <c r="C289" s="39"/>
    </row>
    <row r="290" spans="3:3" ht="15.75" customHeight="1" x14ac:dyDescent="0.3">
      <c r="C290" s="39"/>
    </row>
    <row r="291" spans="3:3" ht="15.75" customHeight="1" x14ac:dyDescent="0.3">
      <c r="C291" s="39"/>
    </row>
    <row r="292" spans="3:3" ht="15.75" customHeight="1" x14ac:dyDescent="0.3">
      <c r="C292" s="39"/>
    </row>
    <row r="293" spans="3:3" ht="15.75" customHeight="1" x14ac:dyDescent="0.3">
      <c r="C293" s="39"/>
    </row>
    <row r="294" spans="3:3" ht="15.75" customHeight="1" x14ac:dyDescent="0.3">
      <c r="C294" s="39"/>
    </row>
    <row r="295" spans="3:3" ht="15.75" customHeight="1" x14ac:dyDescent="0.3">
      <c r="C295" s="39"/>
    </row>
    <row r="296" spans="3:3" ht="15.75" customHeight="1" x14ac:dyDescent="0.3">
      <c r="C296" s="39"/>
    </row>
    <row r="297" spans="3:3" ht="15.75" customHeight="1" x14ac:dyDescent="0.3">
      <c r="C297" s="39"/>
    </row>
    <row r="298" spans="3:3" ht="15.75" customHeight="1" x14ac:dyDescent="0.3">
      <c r="C298" s="39"/>
    </row>
    <row r="299" spans="3:3" ht="15.75" customHeight="1" x14ac:dyDescent="0.3">
      <c r="C299" s="39"/>
    </row>
    <row r="300" spans="3:3" ht="15.75" customHeight="1" x14ac:dyDescent="0.3">
      <c r="C300" s="39"/>
    </row>
    <row r="301" spans="3:3" ht="15.75" customHeight="1" x14ac:dyDescent="0.3">
      <c r="C301" s="39"/>
    </row>
    <row r="302" spans="3:3" ht="15.75" customHeight="1" x14ac:dyDescent="0.3">
      <c r="C302" s="39"/>
    </row>
    <row r="303" spans="3:3" ht="15.75" customHeight="1" x14ac:dyDescent="0.3">
      <c r="C303" s="39"/>
    </row>
    <row r="304" spans="3:3" ht="15.75" customHeight="1" x14ac:dyDescent="0.3">
      <c r="C304" s="39"/>
    </row>
    <row r="305" spans="3:3" ht="15.75" customHeight="1" x14ac:dyDescent="0.3">
      <c r="C305" s="39"/>
    </row>
    <row r="306" spans="3:3" ht="15.75" customHeight="1" x14ac:dyDescent="0.3">
      <c r="C306" s="39"/>
    </row>
    <row r="307" spans="3:3" ht="15.75" customHeight="1" x14ac:dyDescent="0.3">
      <c r="C307" s="39"/>
    </row>
    <row r="308" spans="3:3" ht="15.75" customHeight="1" x14ac:dyDescent="0.3">
      <c r="C308" s="39"/>
    </row>
    <row r="309" spans="3:3" ht="15.75" customHeight="1" x14ac:dyDescent="0.3">
      <c r="C309" s="39"/>
    </row>
    <row r="310" spans="3:3" ht="15.75" customHeight="1" x14ac:dyDescent="0.3">
      <c r="C310" s="39"/>
    </row>
    <row r="311" spans="3:3" ht="15.75" customHeight="1" x14ac:dyDescent="0.3">
      <c r="C311" s="39"/>
    </row>
    <row r="312" spans="3:3" ht="15.75" customHeight="1" x14ac:dyDescent="0.3">
      <c r="C312" s="39"/>
    </row>
    <row r="313" spans="3:3" ht="15.75" customHeight="1" x14ac:dyDescent="0.3">
      <c r="C313" s="39"/>
    </row>
    <row r="314" spans="3:3" ht="15.75" customHeight="1" x14ac:dyDescent="0.3">
      <c r="C314" s="39"/>
    </row>
    <row r="315" spans="3:3" ht="15.75" customHeight="1" x14ac:dyDescent="0.3">
      <c r="C315" s="39"/>
    </row>
    <row r="316" spans="3:3" ht="15.75" customHeight="1" x14ac:dyDescent="0.3">
      <c r="C316" s="39"/>
    </row>
    <row r="317" spans="3:3" ht="15.75" customHeight="1" x14ac:dyDescent="0.3">
      <c r="C317" s="39"/>
    </row>
    <row r="318" spans="3:3" ht="15.75" customHeight="1" x14ac:dyDescent="0.3">
      <c r="C318" s="39"/>
    </row>
    <row r="319" spans="3:3" ht="15.75" customHeight="1" x14ac:dyDescent="0.3">
      <c r="C319" s="39"/>
    </row>
    <row r="320" spans="3:3" ht="15.75" customHeight="1" x14ac:dyDescent="0.3">
      <c r="C320" s="39"/>
    </row>
    <row r="321" spans="3:3" ht="15.75" customHeight="1" x14ac:dyDescent="0.3">
      <c r="C321" s="39"/>
    </row>
    <row r="322" spans="3:3" ht="15.75" customHeight="1" x14ac:dyDescent="0.3">
      <c r="C322" s="39"/>
    </row>
    <row r="323" spans="3:3" ht="15.75" customHeight="1" x14ac:dyDescent="0.3">
      <c r="C323" s="39"/>
    </row>
    <row r="324" spans="3:3" ht="15.75" customHeight="1" x14ac:dyDescent="0.3">
      <c r="C324" s="39"/>
    </row>
    <row r="325" spans="3:3" ht="15.75" customHeight="1" x14ac:dyDescent="0.3">
      <c r="C325" s="39"/>
    </row>
    <row r="326" spans="3:3" ht="15.75" customHeight="1" x14ac:dyDescent="0.3">
      <c r="C326" s="39"/>
    </row>
    <row r="327" spans="3:3" ht="15.75" customHeight="1" x14ac:dyDescent="0.3">
      <c r="C327" s="39"/>
    </row>
    <row r="328" spans="3:3" ht="15.75" customHeight="1" x14ac:dyDescent="0.3">
      <c r="C328" s="39"/>
    </row>
    <row r="329" spans="3:3" ht="15.75" customHeight="1" x14ac:dyDescent="0.3">
      <c r="C329" s="39"/>
    </row>
    <row r="330" spans="3:3" ht="15.75" customHeight="1" x14ac:dyDescent="0.3">
      <c r="C330" s="39"/>
    </row>
    <row r="331" spans="3:3" ht="15.75" customHeight="1" x14ac:dyDescent="0.3">
      <c r="C331" s="39"/>
    </row>
    <row r="332" spans="3:3" ht="15.75" customHeight="1" x14ac:dyDescent="0.3">
      <c r="C332" s="39"/>
    </row>
    <row r="333" spans="3:3" ht="15.75" customHeight="1" x14ac:dyDescent="0.3">
      <c r="C333" s="39"/>
    </row>
    <row r="334" spans="3:3" ht="15.75" customHeight="1" x14ac:dyDescent="0.3">
      <c r="C334" s="39"/>
    </row>
    <row r="335" spans="3:3" ht="15.75" customHeight="1" x14ac:dyDescent="0.3">
      <c r="C335" s="39"/>
    </row>
    <row r="336" spans="3:3" ht="15.75" customHeight="1" x14ac:dyDescent="0.3">
      <c r="C336" s="39"/>
    </row>
    <row r="337" spans="3:3" ht="15.75" customHeight="1" x14ac:dyDescent="0.3">
      <c r="C337" s="39"/>
    </row>
    <row r="338" spans="3:3" ht="15.75" customHeight="1" x14ac:dyDescent="0.3">
      <c r="C338" s="39"/>
    </row>
    <row r="339" spans="3:3" ht="15.75" customHeight="1" x14ac:dyDescent="0.3">
      <c r="C339" s="39"/>
    </row>
    <row r="340" spans="3:3" ht="15.75" customHeight="1" x14ac:dyDescent="0.3">
      <c r="C340" s="39"/>
    </row>
    <row r="341" spans="3:3" ht="15.75" customHeight="1" x14ac:dyDescent="0.3">
      <c r="C341" s="39"/>
    </row>
    <row r="342" spans="3:3" ht="15.75" customHeight="1" x14ac:dyDescent="0.3">
      <c r="C342" s="39"/>
    </row>
    <row r="343" spans="3:3" ht="15.75" customHeight="1" x14ac:dyDescent="0.3">
      <c r="C343" s="39"/>
    </row>
    <row r="344" spans="3:3" ht="15.75" customHeight="1" x14ac:dyDescent="0.3">
      <c r="C344" s="39"/>
    </row>
    <row r="345" spans="3:3" ht="15.75" customHeight="1" x14ac:dyDescent="0.3">
      <c r="C345" s="39"/>
    </row>
    <row r="346" spans="3:3" ht="15.75" customHeight="1" x14ac:dyDescent="0.3">
      <c r="C346" s="39"/>
    </row>
    <row r="347" spans="3:3" ht="15.75" customHeight="1" x14ac:dyDescent="0.3">
      <c r="C347" s="39"/>
    </row>
    <row r="348" spans="3:3" ht="15.75" customHeight="1" x14ac:dyDescent="0.3">
      <c r="C348" s="39"/>
    </row>
    <row r="349" spans="3:3" ht="15.75" customHeight="1" x14ac:dyDescent="0.3">
      <c r="C349" s="39"/>
    </row>
    <row r="350" spans="3:3" ht="15.75" customHeight="1" x14ac:dyDescent="0.3">
      <c r="C350" s="39"/>
    </row>
    <row r="351" spans="3:3" ht="15.75" customHeight="1" x14ac:dyDescent="0.3">
      <c r="C351" s="39"/>
    </row>
    <row r="352" spans="3:3" ht="15.75" customHeight="1" x14ac:dyDescent="0.3">
      <c r="C352" s="39"/>
    </row>
    <row r="353" spans="3:3" ht="15.75" customHeight="1" x14ac:dyDescent="0.3">
      <c r="C353" s="39"/>
    </row>
    <row r="354" spans="3:3" ht="15.75" customHeight="1" x14ac:dyDescent="0.3">
      <c r="C354" s="39"/>
    </row>
    <row r="355" spans="3:3" ht="15.75" customHeight="1" x14ac:dyDescent="0.3">
      <c r="C355" s="39"/>
    </row>
    <row r="356" spans="3:3" ht="15.75" customHeight="1" x14ac:dyDescent="0.3">
      <c r="C356" s="39"/>
    </row>
    <row r="357" spans="3:3" ht="15.75" customHeight="1" x14ac:dyDescent="0.3">
      <c r="C357" s="39"/>
    </row>
    <row r="358" spans="3:3" ht="15.75" customHeight="1" x14ac:dyDescent="0.3">
      <c r="C358" s="39"/>
    </row>
    <row r="359" spans="3:3" ht="15.75" customHeight="1" x14ac:dyDescent="0.3">
      <c r="C359" s="39"/>
    </row>
    <row r="360" spans="3:3" ht="15.75" customHeight="1" x14ac:dyDescent="0.3">
      <c r="C360" s="39"/>
    </row>
    <row r="361" spans="3:3" ht="15.75" customHeight="1" x14ac:dyDescent="0.3">
      <c r="C361" s="39"/>
    </row>
    <row r="362" spans="3:3" ht="15.75" customHeight="1" x14ac:dyDescent="0.3">
      <c r="C362" s="39"/>
    </row>
    <row r="363" spans="3:3" ht="15.75" customHeight="1" x14ac:dyDescent="0.3">
      <c r="C363" s="39"/>
    </row>
    <row r="364" spans="3:3" ht="15.75" customHeight="1" x14ac:dyDescent="0.3">
      <c r="C364" s="39"/>
    </row>
    <row r="365" spans="3:3" ht="15.75" customHeight="1" x14ac:dyDescent="0.3">
      <c r="C365" s="39"/>
    </row>
    <row r="366" spans="3:3" ht="15.75" customHeight="1" x14ac:dyDescent="0.3">
      <c r="C366" s="39"/>
    </row>
    <row r="367" spans="3:3" ht="15.75" customHeight="1" x14ac:dyDescent="0.3">
      <c r="C367" s="39"/>
    </row>
    <row r="368" spans="3:3" ht="15.75" customHeight="1" x14ac:dyDescent="0.3">
      <c r="C368" s="39"/>
    </row>
    <row r="369" spans="3:3" ht="15.75" customHeight="1" x14ac:dyDescent="0.3">
      <c r="C369" s="39"/>
    </row>
    <row r="370" spans="3:3" ht="15.75" customHeight="1" x14ac:dyDescent="0.3">
      <c r="C370" s="39"/>
    </row>
    <row r="371" spans="3:3" ht="15.75" customHeight="1" x14ac:dyDescent="0.3">
      <c r="C371" s="39"/>
    </row>
    <row r="372" spans="3:3" ht="15.75" customHeight="1" x14ac:dyDescent="0.3">
      <c r="C372" s="39"/>
    </row>
    <row r="373" spans="3:3" ht="15.75" customHeight="1" x14ac:dyDescent="0.3">
      <c r="C373" s="39"/>
    </row>
    <row r="374" spans="3:3" ht="15.75" customHeight="1" x14ac:dyDescent="0.3">
      <c r="C374" s="39"/>
    </row>
    <row r="375" spans="3:3" ht="15.75" customHeight="1" x14ac:dyDescent="0.3">
      <c r="C375" s="39"/>
    </row>
    <row r="376" spans="3:3" ht="15.75" customHeight="1" x14ac:dyDescent="0.3">
      <c r="C376" s="39"/>
    </row>
    <row r="377" spans="3:3" ht="15.75" customHeight="1" x14ac:dyDescent="0.3">
      <c r="C377" s="39"/>
    </row>
    <row r="378" spans="3:3" ht="15.75" customHeight="1" x14ac:dyDescent="0.3">
      <c r="C378" s="39"/>
    </row>
    <row r="379" spans="3:3" ht="15.75" customHeight="1" x14ac:dyDescent="0.3">
      <c r="C379" s="39"/>
    </row>
    <row r="380" spans="3:3" ht="15.75" customHeight="1" x14ac:dyDescent="0.3">
      <c r="C380" s="39"/>
    </row>
    <row r="381" spans="3:3" ht="15.75" customHeight="1" x14ac:dyDescent="0.3">
      <c r="C381" s="39"/>
    </row>
    <row r="382" spans="3:3" ht="15.75" customHeight="1" x14ac:dyDescent="0.3">
      <c r="C382" s="39"/>
    </row>
    <row r="383" spans="3:3" ht="15.75" customHeight="1" x14ac:dyDescent="0.3">
      <c r="C383" s="39"/>
    </row>
    <row r="384" spans="3:3" ht="15.75" customHeight="1" x14ac:dyDescent="0.3">
      <c r="C384" s="39"/>
    </row>
    <row r="385" spans="3:3" ht="15.75" customHeight="1" x14ac:dyDescent="0.3">
      <c r="C385" s="39"/>
    </row>
    <row r="386" spans="3:3" ht="15.75" customHeight="1" x14ac:dyDescent="0.3">
      <c r="C386" s="39"/>
    </row>
    <row r="387" spans="3:3" ht="15.75" customHeight="1" x14ac:dyDescent="0.3">
      <c r="C387" s="39"/>
    </row>
    <row r="388" spans="3:3" ht="15.75" customHeight="1" x14ac:dyDescent="0.3">
      <c r="C388" s="39"/>
    </row>
    <row r="389" spans="3:3" ht="15.75" customHeight="1" x14ac:dyDescent="0.3">
      <c r="C389" s="39"/>
    </row>
    <row r="390" spans="3:3" ht="15.75" customHeight="1" x14ac:dyDescent="0.3">
      <c r="C390" s="39"/>
    </row>
    <row r="391" spans="3:3" ht="15.75" customHeight="1" x14ac:dyDescent="0.3">
      <c r="C391" s="39"/>
    </row>
    <row r="392" spans="3:3" ht="15.75" customHeight="1" x14ac:dyDescent="0.3">
      <c r="C392" s="39"/>
    </row>
    <row r="393" spans="3:3" ht="15.75" customHeight="1" x14ac:dyDescent="0.3">
      <c r="C393" s="39"/>
    </row>
    <row r="394" spans="3:3" ht="15.75" customHeight="1" x14ac:dyDescent="0.3">
      <c r="C394" s="39"/>
    </row>
    <row r="395" spans="3:3" ht="15.75" customHeight="1" x14ac:dyDescent="0.3">
      <c r="C395" s="39"/>
    </row>
    <row r="396" spans="3:3" ht="15.75" customHeight="1" x14ac:dyDescent="0.3">
      <c r="C396" s="39"/>
    </row>
    <row r="397" spans="3:3" ht="15.75" customHeight="1" x14ac:dyDescent="0.3">
      <c r="C397" s="39"/>
    </row>
    <row r="398" spans="3:3" ht="15.75" customHeight="1" x14ac:dyDescent="0.3">
      <c r="C398" s="39"/>
    </row>
    <row r="399" spans="3:3" ht="15.75" customHeight="1" x14ac:dyDescent="0.3">
      <c r="C399" s="39"/>
    </row>
    <row r="400" spans="3:3" ht="15.75" customHeight="1" x14ac:dyDescent="0.3">
      <c r="C400" s="39"/>
    </row>
    <row r="401" spans="3:3" ht="15.75" customHeight="1" x14ac:dyDescent="0.3">
      <c r="C401" s="39"/>
    </row>
    <row r="402" spans="3:3" ht="15.75" customHeight="1" x14ac:dyDescent="0.3">
      <c r="C402" s="39"/>
    </row>
    <row r="403" spans="3:3" ht="15.75" customHeight="1" x14ac:dyDescent="0.3">
      <c r="C403" s="39"/>
    </row>
    <row r="404" spans="3:3" ht="15.75" customHeight="1" x14ac:dyDescent="0.3">
      <c r="C404" s="39"/>
    </row>
    <row r="405" spans="3:3" ht="15.75" customHeight="1" x14ac:dyDescent="0.3">
      <c r="C405" s="39"/>
    </row>
    <row r="406" spans="3:3" ht="15.75" customHeight="1" x14ac:dyDescent="0.3">
      <c r="C406" s="39"/>
    </row>
    <row r="407" spans="3:3" ht="15.75" customHeight="1" x14ac:dyDescent="0.3">
      <c r="C407" s="39"/>
    </row>
    <row r="408" spans="3:3" ht="15.75" customHeight="1" x14ac:dyDescent="0.3">
      <c r="C408" s="39"/>
    </row>
    <row r="409" spans="3:3" ht="15.75" customHeight="1" x14ac:dyDescent="0.3">
      <c r="C409" s="39"/>
    </row>
    <row r="410" spans="3:3" ht="15.75" customHeight="1" x14ac:dyDescent="0.3">
      <c r="C410" s="39"/>
    </row>
    <row r="411" spans="3:3" ht="15.75" customHeight="1" x14ac:dyDescent="0.3">
      <c r="C411" s="39"/>
    </row>
    <row r="412" spans="3:3" ht="15.75" customHeight="1" x14ac:dyDescent="0.3">
      <c r="C412" s="39"/>
    </row>
    <row r="413" spans="3:3" ht="15.75" customHeight="1" x14ac:dyDescent="0.3">
      <c r="C413" s="39"/>
    </row>
    <row r="414" spans="3:3" ht="15.75" customHeight="1" x14ac:dyDescent="0.3">
      <c r="C414" s="39"/>
    </row>
    <row r="415" spans="3:3" ht="15.75" customHeight="1" x14ac:dyDescent="0.3">
      <c r="C415" s="39"/>
    </row>
    <row r="416" spans="3:3" ht="15.75" customHeight="1" x14ac:dyDescent="0.3">
      <c r="C416" s="39"/>
    </row>
    <row r="417" spans="3:3" ht="15.75" customHeight="1" x14ac:dyDescent="0.3">
      <c r="C417" s="39"/>
    </row>
    <row r="418" spans="3:3" ht="15.75" customHeight="1" x14ac:dyDescent="0.3">
      <c r="C418" s="39"/>
    </row>
    <row r="419" spans="3:3" ht="15.75" customHeight="1" x14ac:dyDescent="0.3">
      <c r="C419" s="39"/>
    </row>
    <row r="420" spans="3:3" ht="15.75" customHeight="1" x14ac:dyDescent="0.3">
      <c r="C420" s="39"/>
    </row>
    <row r="421" spans="3:3" ht="15.75" customHeight="1" x14ac:dyDescent="0.3">
      <c r="C421" s="39"/>
    </row>
    <row r="422" spans="3:3" ht="15.75" customHeight="1" x14ac:dyDescent="0.3">
      <c r="C422" s="39"/>
    </row>
    <row r="423" spans="3:3" ht="15.75" customHeight="1" x14ac:dyDescent="0.3">
      <c r="C423" s="39"/>
    </row>
    <row r="424" spans="3:3" ht="15.75" customHeight="1" x14ac:dyDescent="0.3">
      <c r="C424" s="39"/>
    </row>
    <row r="425" spans="3:3" ht="15.75" customHeight="1" x14ac:dyDescent="0.3">
      <c r="C425" s="39"/>
    </row>
    <row r="426" spans="3:3" ht="15.75" customHeight="1" x14ac:dyDescent="0.3">
      <c r="C426" s="39"/>
    </row>
    <row r="427" spans="3:3" ht="15.75" customHeight="1" x14ac:dyDescent="0.3">
      <c r="C427" s="39"/>
    </row>
    <row r="428" spans="3:3" ht="15.75" customHeight="1" x14ac:dyDescent="0.3">
      <c r="C428" s="39"/>
    </row>
    <row r="429" spans="3:3" ht="15.75" customHeight="1" x14ac:dyDescent="0.3">
      <c r="C429" s="39"/>
    </row>
    <row r="430" spans="3:3" ht="15.75" customHeight="1" x14ac:dyDescent="0.3">
      <c r="C430" s="39"/>
    </row>
    <row r="431" spans="3:3" ht="15.75" customHeight="1" x14ac:dyDescent="0.3">
      <c r="C431" s="39"/>
    </row>
    <row r="432" spans="3:3" ht="15.75" customHeight="1" x14ac:dyDescent="0.3">
      <c r="C432" s="39"/>
    </row>
    <row r="433" spans="3:3" ht="15.75" customHeight="1" x14ac:dyDescent="0.3">
      <c r="C433" s="39"/>
    </row>
    <row r="434" spans="3:3" ht="15.75" customHeight="1" x14ac:dyDescent="0.3">
      <c r="C434" s="39"/>
    </row>
    <row r="435" spans="3:3" ht="15.75" customHeight="1" x14ac:dyDescent="0.3">
      <c r="C435" s="39"/>
    </row>
    <row r="436" spans="3:3" ht="15.75" customHeight="1" x14ac:dyDescent="0.3">
      <c r="C436" s="39"/>
    </row>
    <row r="437" spans="3:3" ht="15.75" customHeight="1" x14ac:dyDescent="0.3">
      <c r="C437" s="39"/>
    </row>
    <row r="438" spans="3:3" ht="15.75" customHeight="1" x14ac:dyDescent="0.3">
      <c r="C438" s="39"/>
    </row>
    <row r="439" spans="3:3" ht="15.75" customHeight="1" x14ac:dyDescent="0.3">
      <c r="C439" s="39"/>
    </row>
    <row r="440" spans="3:3" ht="15.75" customHeight="1" x14ac:dyDescent="0.3">
      <c r="C440" s="39"/>
    </row>
    <row r="441" spans="3:3" ht="15.75" customHeight="1" x14ac:dyDescent="0.3">
      <c r="C441" s="39"/>
    </row>
    <row r="442" spans="3:3" ht="15.75" customHeight="1" x14ac:dyDescent="0.3">
      <c r="C442" s="39"/>
    </row>
    <row r="443" spans="3:3" ht="15.75" customHeight="1" x14ac:dyDescent="0.3">
      <c r="C443" s="39"/>
    </row>
    <row r="444" spans="3:3" ht="15.75" customHeight="1" x14ac:dyDescent="0.3">
      <c r="C444" s="39"/>
    </row>
    <row r="445" spans="3:3" ht="15.75" customHeight="1" x14ac:dyDescent="0.3">
      <c r="C445" s="39"/>
    </row>
    <row r="446" spans="3:3" ht="15.75" customHeight="1" x14ac:dyDescent="0.3">
      <c r="C446" s="39"/>
    </row>
    <row r="447" spans="3:3" ht="15.75" customHeight="1" x14ac:dyDescent="0.3">
      <c r="C447" s="39"/>
    </row>
    <row r="448" spans="3:3" ht="15.75" customHeight="1" x14ac:dyDescent="0.3">
      <c r="C448" s="39"/>
    </row>
    <row r="449" spans="3:3" ht="15.75" customHeight="1" x14ac:dyDescent="0.3">
      <c r="C449" s="39"/>
    </row>
    <row r="450" spans="3:3" ht="15.75" customHeight="1" x14ac:dyDescent="0.3">
      <c r="C450" s="39"/>
    </row>
    <row r="451" spans="3:3" ht="15.75" customHeight="1" x14ac:dyDescent="0.3">
      <c r="C451" s="39"/>
    </row>
    <row r="452" spans="3:3" ht="15.75" customHeight="1" x14ac:dyDescent="0.3">
      <c r="C452" s="39"/>
    </row>
    <row r="453" spans="3:3" ht="15.75" customHeight="1" x14ac:dyDescent="0.3">
      <c r="C453" s="39"/>
    </row>
    <row r="454" spans="3:3" ht="15.75" customHeight="1" x14ac:dyDescent="0.3">
      <c r="C454" s="39"/>
    </row>
    <row r="455" spans="3:3" ht="15.75" customHeight="1" x14ac:dyDescent="0.3">
      <c r="C455" s="39"/>
    </row>
    <row r="456" spans="3:3" ht="15.75" customHeight="1" x14ac:dyDescent="0.3">
      <c r="C456" s="39"/>
    </row>
    <row r="457" spans="3:3" ht="15.75" customHeight="1" x14ac:dyDescent="0.3">
      <c r="C457" s="39"/>
    </row>
    <row r="458" spans="3:3" ht="15.75" customHeight="1" x14ac:dyDescent="0.3">
      <c r="C458" s="39"/>
    </row>
    <row r="459" spans="3:3" ht="15.75" customHeight="1" x14ac:dyDescent="0.3">
      <c r="C459" s="39"/>
    </row>
    <row r="460" spans="3:3" ht="15.75" customHeight="1" x14ac:dyDescent="0.3">
      <c r="C460" s="39"/>
    </row>
    <row r="461" spans="3:3" ht="15.75" customHeight="1" x14ac:dyDescent="0.3">
      <c r="C461" s="39"/>
    </row>
    <row r="462" spans="3:3" ht="15.75" customHeight="1" x14ac:dyDescent="0.3">
      <c r="C462" s="39"/>
    </row>
    <row r="463" spans="3:3" ht="15.75" customHeight="1" x14ac:dyDescent="0.3">
      <c r="C463" s="39"/>
    </row>
    <row r="464" spans="3:3" ht="15.75" customHeight="1" x14ac:dyDescent="0.3">
      <c r="C464" s="39"/>
    </row>
    <row r="465" spans="3:3" ht="15.75" customHeight="1" x14ac:dyDescent="0.3">
      <c r="C465" s="39"/>
    </row>
    <row r="466" spans="3:3" ht="15.75" customHeight="1" x14ac:dyDescent="0.3">
      <c r="C466" s="39"/>
    </row>
    <row r="467" spans="3:3" ht="15.75" customHeight="1" x14ac:dyDescent="0.3">
      <c r="C467" s="39"/>
    </row>
    <row r="468" spans="3:3" ht="15.75" customHeight="1" x14ac:dyDescent="0.3">
      <c r="C468" s="39"/>
    </row>
    <row r="469" spans="3:3" ht="15.75" customHeight="1" x14ac:dyDescent="0.3">
      <c r="C469" s="39"/>
    </row>
    <row r="470" spans="3:3" ht="15.75" customHeight="1" x14ac:dyDescent="0.3">
      <c r="C470" s="39"/>
    </row>
    <row r="471" spans="3:3" ht="15.75" customHeight="1" x14ac:dyDescent="0.3">
      <c r="C471" s="39"/>
    </row>
    <row r="472" spans="3:3" ht="15.75" customHeight="1" x14ac:dyDescent="0.3">
      <c r="C472" s="39"/>
    </row>
    <row r="473" spans="3:3" ht="15.75" customHeight="1" x14ac:dyDescent="0.3">
      <c r="C473" s="39"/>
    </row>
    <row r="474" spans="3:3" ht="15.75" customHeight="1" x14ac:dyDescent="0.3">
      <c r="C474" s="39"/>
    </row>
    <row r="475" spans="3:3" ht="15.75" customHeight="1" x14ac:dyDescent="0.3">
      <c r="C475" s="39"/>
    </row>
    <row r="476" spans="3:3" ht="15.75" customHeight="1" x14ac:dyDescent="0.3">
      <c r="C476" s="39"/>
    </row>
    <row r="477" spans="3:3" ht="15.75" customHeight="1" x14ac:dyDescent="0.3">
      <c r="C477" s="39"/>
    </row>
    <row r="478" spans="3:3" ht="15.75" customHeight="1" x14ac:dyDescent="0.3">
      <c r="C478" s="39"/>
    </row>
    <row r="479" spans="3:3" ht="15.75" customHeight="1" x14ac:dyDescent="0.3">
      <c r="C479" s="39"/>
    </row>
    <row r="480" spans="3:3" ht="15.75" customHeight="1" x14ac:dyDescent="0.3">
      <c r="C480" s="39"/>
    </row>
    <row r="481" spans="3:3" ht="15.75" customHeight="1" x14ac:dyDescent="0.3">
      <c r="C481" s="39"/>
    </row>
    <row r="482" spans="3:3" ht="15.75" customHeight="1" x14ac:dyDescent="0.3">
      <c r="C482" s="39"/>
    </row>
    <row r="483" spans="3:3" ht="15.75" customHeight="1" x14ac:dyDescent="0.3">
      <c r="C483" s="39"/>
    </row>
    <row r="484" spans="3:3" ht="15.75" customHeight="1" x14ac:dyDescent="0.3">
      <c r="C484" s="39"/>
    </row>
    <row r="485" spans="3:3" ht="15.75" customHeight="1" x14ac:dyDescent="0.3">
      <c r="C485" s="39"/>
    </row>
    <row r="486" spans="3:3" ht="15.75" customHeight="1" x14ac:dyDescent="0.3">
      <c r="C486" s="39"/>
    </row>
    <row r="487" spans="3:3" ht="15.75" customHeight="1" x14ac:dyDescent="0.3">
      <c r="C487" s="39"/>
    </row>
    <row r="488" spans="3:3" ht="15.75" customHeight="1" x14ac:dyDescent="0.3">
      <c r="C488" s="39"/>
    </row>
    <row r="489" spans="3:3" ht="15.75" customHeight="1" x14ac:dyDescent="0.3">
      <c r="C489" s="39"/>
    </row>
    <row r="490" spans="3:3" ht="15.75" customHeight="1" x14ac:dyDescent="0.3">
      <c r="C490" s="39"/>
    </row>
    <row r="491" spans="3:3" ht="15.75" customHeight="1" x14ac:dyDescent="0.3">
      <c r="C491" s="39"/>
    </row>
    <row r="492" spans="3:3" ht="15.75" customHeight="1" x14ac:dyDescent="0.3">
      <c r="C492" s="39"/>
    </row>
    <row r="493" spans="3:3" ht="15.75" customHeight="1" x14ac:dyDescent="0.3">
      <c r="C493" s="39"/>
    </row>
    <row r="494" spans="3:3" ht="15.75" customHeight="1" x14ac:dyDescent="0.3">
      <c r="C494" s="39"/>
    </row>
    <row r="495" spans="3:3" ht="15.75" customHeight="1" x14ac:dyDescent="0.3">
      <c r="C495" s="39"/>
    </row>
    <row r="496" spans="3:3" ht="15.75" customHeight="1" x14ac:dyDescent="0.3">
      <c r="C496" s="39"/>
    </row>
    <row r="497" spans="3:3" ht="15.75" customHeight="1" x14ac:dyDescent="0.3">
      <c r="C497" s="39"/>
    </row>
    <row r="498" spans="3:3" ht="15.75" customHeight="1" x14ac:dyDescent="0.3">
      <c r="C498" s="39"/>
    </row>
    <row r="499" spans="3:3" ht="15.75" customHeight="1" x14ac:dyDescent="0.3">
      <c r="C499" s="39"/>
    </row>
    <row r="500" spans="3:3" ht="15.75" customHeight="1" x14ac:dyDescent="0.3">
      <c r="C500" s="39"/>
    </row>
    <row r="501" spans="3:3" ht="15.75" customHeight="1" x14ac:dyDescent="0.3">
      <c r="C501" s="39"/>
    </row>
    <row r="502" spans="3:3" ht="15.75" customHeight="1" x14ac:dyDescent="0.3">
      <c r="C502" s="39"/>
    </row>
    <row r="503" spans="3:3" ht="15.75" customHeight="1" x14ac:dyDescent="0.3">
      <c r="C503" s="39"/>
    </row>
    <row r="504" spans="3:3" ht="15.75" customHeight="1" x14ac:dyDescent="0.3">
      <c r="C504" s="39"/>
    </row>
    <row r="505" spans="3:3" ht="15.75" customHeight="1" x14ac:dyDescent="0.3">
      <c r="C505" s="39"/>
    </row>
    <row r="506" spans="3:3" ht="15.75" customHeight="1" x14ac:dyDescent="0.3">
      <c r="C506" s="39"/>
    </row>
    <row r="507" spans="3:3" ht="15.75" customHeight="1" x14ac:dyDescent="0.3">
      <c r="C507" s="39"/>
    </row>
    <row r="508" spans="3:3" ht="15.75" customHeight="1" x14ac:dyDescent="0.3">
      <c r="C508" s="39"/>
    </row>
    <row r="509" spans="3:3" ht="15.75" customHeight="1" x14ac:dyDescent="0.3">
      <c r="C509" s="39"/>
    </row>
    <row r="510" spans="3:3" ht="15.75" customHeight="1" x14ac:dyDescent="0.3">
      <c r="C510" s="39"/>
    </row>
    <row r="511" spans="3:3" ht="15.75" customHeight="1" x14ac:dyDescent="0.3">
      <c r="C511" s="39"/>
    </row>
    <row r="512" spans="3:3" ht="15.75" customHeight="1" x14ac:dyDescent="0.3">
      <c r="C512" s="39"/>
    </row>
    <row r="513" spans="3:3" ht="15.75" customHeight="1" x14ac:dyDescent="0.3">
      <c r="C513" s="39"/>
    </row>
    <row r="514" spans="3:3" ht="15.75" customHeight="1" x14ac:dyDescent="0.3">
      <c r="C514" s="39"/>
    </row>
    <row r="515" spans="3:3" ht="15.75" customHeight="1" x14ac:dyDescent="0.3">
      <c r="C515" s="39"/>
    </row>
    <row r="516" spans="3:3" ht="15.75" customHeight="1" x14ac:dyDescent="0.3">
      <c r="C516" s="39"/>
    </row>
    <row r="517" spans="3:3" ht="15.75" customHeight="1" x14ac:dyDescent="0.3">
      <c r="C517" s="39"/>
    </row>
    <row r="518" spans="3:3" ht="15.75" customHeight="1" x14ac:dyDescent="0.3">
      <c r="C518" s="39"/>
    </row>
    <row r="519" spans="3:3" ht="15.75" customHeight="1" x14ac:dyDescent="0.3">
      <c r="C519" s="39"/>
    </row>
    <row r="520" spans="3:3" ht="15.75" customHeight="1" x14ac:dyDescent="0.3">
      <c r="C520" s="39"/>
    </row>
    <row r="521" spans="3:3" ht="15.75" customHeight="1" x14ac:dyDescent="0.3">
      <c r="C521" s="39"/>
    </row>
    <row r="522" spans="3:3" ht="15.75" customHeight="1" x14ac:dyDescent="0.3">
      <c r="C522" s="39"/>
    </row>
    <row r="523" spans="3:3" ht="15.75" customHeight="1" x14ac:dyDescent="0.3">
      <c r="C523" s="39"/>
    </row>
    <row r="524" spans="3:3" ht="15.75" customHeight="1" x14ac:dyDescent="0.3">
      <c r="C524" s="39"/>
    </row>
    <row r="525" spans="3:3" ht="15.75" customHeight="1" x14ac:dyDescent="0.3">
      <c r="C525" s="39"/>
    </row>
    <row r="526" spans="3:3" ht="15.75" customHeight="1" x14ac:dyDescent="0.3">
      <c r="C526" s="39"/>
    </row>
    <row r="527" spans="3:3" ht="15.75" customHeight="1" x14ac:dyDescent="0.3">
      <c r="C527" s="39"/>
    </row>
    <row r="528" spans="3:3" ht="15.75" customHeight="1" x14ac:dyDescent="0.3">
      <c r="C528" s="39"/>
    </row>
    <row r="529" spans="3:3" ht="15.75" customHeight="1" x14ac:dyDescent="0.3">
      <c r="C529" s="39"/>
    </row>
    <row r="530" spans="3:3" ht="15.75" customHeight="1" x14ac:dyDescent="0.3">
      <c r="C530" s="39"/>
    </row>
    <row r="531" spans="3:3" ht="15.75" customHeight="1" x14ac:dyDescent="0.3">
      <c r="C531" s="39"/>
    </row>
    <row r="532" spans="3:3" ht="15.75" customHeight="1" x14ac:dyDescent="0.3">
      <c r="C532" s="39"/>
    </row>
    <row r="533" spans="3:3" ht="15.75" customHeight="1" x14ac:dyDescent="0.3">
      <c r="C533" s="39"/>
    </row>
    <row r="534" spans="3:3" ht="15.75" customHeight="1" x14ac:dyDescent="0.3">
      <c r="C534" s="39"/>
    </row>
    <row r="535" spans="3:3" ht="15.75" customHeight="1" x14ac:dyDescent="0.3">
      <c r="C535" s="39"/>
    </row>
    <row r="536" spans="3:3" ht="15.75" customHeight="1" x14ac:dyDescent="0.3">
      <c r="C536" s="39"/>
    </row>
    <row r="537" spans="3:3" ht="15.75" customHeight="1" x14ac:dyDescent="0.3">
      <c r="C537" s="39"/>
    </row>
    <row r="538" spans="3:3" ht="15.75" customHeight="1" x14ac:dyDescent="0.3">
      <c r="C538" s="39"/>
    </row>
    <row r="539" spans="3:3" ht="15.75" customHeight="1" x14ac:dyDescent="0.3">
      <c r="C539" s="39"/>
    </row>
    <row r="540" spans="3:3" ht="15.75" customHeight="1" x14ac:dyDescent="0.3">
      <c r="C540" s="39"/>
    </row>
    <row r="541" spans="3:3" ht="15.75" customHeight="1" x14ac:dyDescent="0.3">
      <c r="C541" s="39"/>
    </row>
    <row r="542" spans="3:3" ht="15.75" customHeight="1" x14ac:dyDescent="0.3">
      <c r="C542" s="39"/>
    </row>
    <row r="543" spans="3:3" ht="15.75" customHeight="1" x14ac:dyDescent="0.3">
      <c r="C543" s="39"/>
    </row>
    <row r="544" spans="3:3" ht="15.75" customHeight="1" x14ac:dyDescent="0.3">
      <c r="C544" s="39"/>
    </row>
    <row r="545" spans="3:3" ht="15.75" customHeight="1" x14ac:dyDescent="0.3">
      <c r="C545" s="39"/>
    </row>
    <row r="546" spans="3:3" ht="15.75" customHeight="1" x14ac:dyDescent="0.3">
      <c r="C546" s="39"/>
    </row>
    <row r="547" spans="3:3" ht="15.75" customHeight="1" x14ac:dyDescent="0.3">
      <c r="C547" s="39"/>
    </row>
    <row r="548" spans="3:3" ht="15.75" customHeight="1" x14ac:dyDescent="0.3">
      <c r="C548" s="39"/>
    </row>
    <row r="549" spans="3:3" ht="15.75" customHeight="1" x14ac:dyDescent="0.3">
      <c r="C549" s="39"/>
    </row>
    <row r="550" spans="3:3" ht="15.75" customHeight="1" x14ac:dyDescent="0.3">
      <c r="C550" s="39"/>
    </row>
    <row r="551" spans="3:3" ht="15.75" customHeight="1" x14ac:dyDescent="0.3">
      <c r="C551" s="39"/>
    </row>
    <row r="552" spans="3:3" ht="15.75" customHeight="1" x14ac:dyDescent="0.3">
      <c r="C552" s="39"/>
    </row>
    <row r="553" spans="3:3" ht="15.75" customHeight="1" x14ac:dyDescent="0.3">
      <c r="C553" s="39"/>
    </row>
    <row r="554" spans="3:3" ht="15.75" customHeight="1" x14ac:dyDescent="0.3">
      <c r="C554" s="39"/>
    </row>
    <row r="555" spans="3:3" ht="15.75" customHeight="1" x14ac:dyDescent="0.3">
      <c r="C555" s="39"/>
    </row>
    <row r="556" spans="3:3" ht="15.75" customHeight="1" x14ac:dyDescent="0.3">
      <c r="C556" s="39"/>
    </row>
    <row r="557" spans="3:3" ht="15.75" customHeight="1" x14ac:dyDescent="0.3">
      <c r="C557" s="39"/>
    </row>
    <row r="558" spans="3:3" ht="15.75" customHeight="1" x14ac:dyDescent="0.3">
      <c r="C558" s="39"/>
    </row>
    <row r="559" spans="3:3" ht="15.75" customHeight="1" x14ac:dyDescent="0.3">
      <c r="C559" s="39"/>
    </row>
    <row r="560" spans="3:3" ht="15.75" customHeight="1" x14ac:dyDescent="0.3">
      <c r="C560" s="39"/>
    </row>
    <row r="561" spans="3:3" ht="15.75" customHeight="1" x14ac:dyDescent="0.3">
      <c r="C561" s="39"/>
    </row>
    <row r="562" spans="3:3" ht="15.75" customHeight="1" x14ac:dyDescent="0.3">
      <c r="C562" s="39"/>
    </row>
    <row r="563" spans="3:3" ht="15.75" customHeight="1" x14ac:dyDescent="0.3">
      <c r="C563" s="39"/>
    </row>
    <row r="564" spans="3:3" ht="15.75" customHeight="1" x14ac:dyDescent="0.3">
      <c r="C564" s="39"/>
    </row>
    <row r="565" spans="3:3" ht="15.75" customHeight="1" x14ac:dyDescent="0.3">
      <c r="C565" s="39"/>
    </row>
    <row r="566" spans="3:3" ht="15.75" customHeight="1" x14ac:dyDescent="0.3">
      <c r="C566" s="39"/>
    </row>
    <row r="567" spans="3:3" ht="15.75" customHeight="1" x14ac:dyDescent="0.3">
      <c r="C567" s="39"/>
    </row>
    <row r="568" spans="3:3" ht="15.75" customHeight="1" x14ac:dyDescent="0.3">
      <c r="C568" s="39"/>
    </row>
    <row r="569" spans="3:3" ht="15.75" customHeight="1" x14ac:dyDescent="0.3">
      <c r="C569" s="39"/>
    </row>
    <row r="570" spans="3:3" ht="15.75" customHeight="1" x14ac:dyDescent="0.3">
      <c r="C570" s="39"/>
    </row>
    <row r="571" spans="3:3" ht="15.75" customHeight="1" x14ac:dyDescent="0.3">
      <c r="C571" s="39"/>
    </row>
    <row r="572" spans="3:3" ht="15.75" customHeight="1" x14ac:dyDescent="0.3">
      <c r="C572" s="39"/>
    </row>
    <row r="573" spans="3:3" ht="15.75" customHeight="1" x14ac:dyDescent="0.3">
      <c r="C573" s="39"/>
    </row>
    <row r="574" spans="3:3" ht="15.75" customHeight="1" x14ac:dyDescent="0.3">
      <c r="C574" s="39"/>
    </row>
    <row r="575" spans="3:3" ht="15.75" customHeight="1" x14ac:dyDescent="0.3">
      <c r="C575" s="39"/>
    </row>
    <row r="576" spans="3:3" ht="15.75" customHeight="1" x14ac:dyDescent="0.3">
      <c r="C576" s="39"/>
    </row>
    <row r="577" spans="3:3" ht="15.75" customHeight="1" x14ac:dyDescent="0.3">
      <c r="C577" s="39"/>
    </row>
    <row r="578" spans="3:3" ht="15.75" customHeight="1" x14ac:dyDescent="0.3">
      <c r="C578" s="39"/>
    </row>
    <row r="579" spans="3:3" ht="15.75" customHeight="1" x14ac:dyDescent="0.3">
      <c r="C579" s="39"/>
    </row>
    <row r="580" spans="3:3" ht="15.75" customHeight="1" x14ac:dyDescent="0.3">
      <c r="C580" s="39"/>
    </row>
    <row r="581" spans="3:3" ht="15.75" customHeight="1" x14ac:dyDescent="0.3">
      <c r="C581" s="39"/>
    </row>
    <row r="582" spans="3:3" ht="15.75" customHeight="1" x14ac:dyDescent="0.3">
      <c r="C582" s="39"/>
    </row>
    <row r="583" spans="3:3" ht="15.75" customHeight="1" x14ac:dyDescent="0.3">
      <c r="C583" s="39"/>
    </row>
    <row r="584" spans="3:3" ht="15.75" customHeight="1" x14ac:dyDescent="0.3">
      <c r="C584" s="39"/>
    </row>
    <row r="585" spans="3:3" ht="15.75" customHeight="1" x14ac:dyDescent="0.3">
      <c r="C585" s="39"/>
    </row>
    <row r="586" spans="3:3" ht="15.75" customHeight="1" x14ac:dyDescent="0.3">
      <c r="C586" s="39"/>
    </row>
    <row r="587" spans="3:3" ht="15.75" customHeight="1" x14ac:dyDescent="0.3">
      <c r="C587" s="39"/>
    </row>
    <row r="588" spans="3:3" ht="15.75" customHeight="1" x14ac:dyDescent="0.3">
      <c r="C588" s="39"/>
    </row>
    <row r="589" spans="3:3" ht="15.75" customHeight="1" x14ac:dyDescent="0.3">
      <c r="C589" s="39"/>
    </row>
    <row r="590" spans="3:3" ht="15.75" customHeight="1" x14ac:dyDescent="0.3">
      <c r="C590" s="39"/>
    </row>
    <row r="591" spans="3:3" ht="15.75" customHeight="1" x14ac:dyDescent="0.3">
      <c r="C591" s="39"/>
    </row>
    <row r="592" spans="3:3" ht="15.75" customHeight="1" x14ac:dyDescent="0.3">
      <c r="C592" s="39"/>
    </row>
    <row r="593" spans="3:3" ht="15.75" customHeight="1" x14ac:dyDescent="0.3">
      <c r="C593" s="39"/>
    </row>
    <row r="594" spans="3:3" ht="15.75" customHeight="1" x14ac:dyDescent="0.3">
      <c r="C594" s="39"/>
    </row>
    <row r="595" spans="3:3" ht="15.75" customHeight="1" x14ac:dyDescent="0.3">
      <c r="C595" s="39"/>
    </row>
    <row r="596" spans="3:3" ht="15.75" customHeight="1" x14ac:dyDescent="0.3">
      <c r="C596" s="39"/>
    </row>
    <row r="597" spans="3:3" ht="15.75" customHeight="1" x14ac:dyDescent="0.3">
      <c r="C597" s="39"/>
    </row>
    <row r="598" spans="3:3" ht="15.75" customHeight="1" x14ac:dyDescent="0.3">
      <c r="C598" s="39"/>
    </row>
    <row r="599" spans="3:3" ht="15.75" customHeight="1" x14ac:dyDescent="0.3">
      <c r="C599" s="39"/>
    </row>
    <row r="600" spans="3:3" ht="15.75" customHeight="1" x14ac:dyDescent="0.3">
      <c r="C600" s="39"/>
    </row>
    <row r="601" spans="3:3" ht="15.75" customHeight="1" x14ac:dyDescent="0.3">
      <c r="C601" s="39"/>
    </row>
    <row r="602" spans="3:3" ht="15.75" customHeight="1" x14ac:dyDescent="0.3">
      <c r="C602" s="39"/>
    </row>
    <row r="603" spans="3:3" ht="15.75" customHeight="1" x14ac:dyDescent="0.3">
      <c r="C603" s="39"/>
    </row>
    <row r="604" spans="3:3" ht="15.75" customHeight="1" x14ac:dyDescent="0.3">
      <c r="C604" s="39"/>
    </row>
    <row r="605" spans="3:3" ht="15.75" customHeight="1" x14ac:dyDescent="0.3">
      <c r="C605" s="39"/>
    </row>
    <row r="606" spans="3:3" ht="15.75" customHeight="1" x14ac:dyDescent="0.3">
      <c r="C606" s="39"/>
    </row>
    <row r="607" spans="3:3" ht="15.75" customHeight="1" x14ac:dyDescent="0.3">
      <c r="C607" s="39"/>
    </row>
    <row r="608" spans="3:3" ht="15.75" customHeight="1" x14ac:dyDescent="0.3">
      <c r="C608" s="39"/>
    </row>
    <row r="609" spans="3:3" ht="15.75" customHeight="1" x14ac:dyDescent="0.3">
      <c r="C609" s="39"/>
    </row>
    <row r="610" spans="3:3" ht="15.75" customHeight="1" x14ac:dyDescent="0.3">
      <c r="C610" s="39"/>
    </row>
    <row r="611" spans="3:3" ht="15.75" customHeight="1" x14ac:dyDescent="0.3">
      <c r="C611" s="39"/>
    </row>
    <row r="612" spans="3:3" ht="15.75" customHeight="1" x14ac:dyDescent="0.3">
      <c r="C612" s="39"/>
    </row>
    <row r="613" spans="3:3" ht="15.75" customHeight="1" x14ac:dyDescent="0.3">
      <c r="C613" s="39"/>
    </row>
    <row r="614" spans="3:3" ht="15.75" customHeight="1" x14ac:dyDescent="0.3">
      <c r="C614" s="39"/>
    </row>
    <row r="615" spans="3:3" ht="15.75" customHeight="1" x14ac:dyDescent="0.3">
      <c r="C615" s="39"/>
    </row>
    <row r="616" spans="3:3" ht="15.75" customHeight="1" x14ac:dyDescent="0.3">
      <c r="C616" s="39"/>
    </row>
    <row r="617" spans="3:3" ht="15.75" customHeight="1" x14ac:dyDescent="0.3">
      <c r="C617" s="39"/>
    </row>
    <row r="618" spans="3:3" ht="15.75" customHeight="1" x14ac:dyDescent="0.3">
      <c r="C618" s="39"/>
    </row>
    <row r="619" spans="3:3" ht="15.75" customHeight="1" x14ac:dyDescent="0.3">
      <c r="C619" s="39"/>
    </row>
    <row r="620" spans="3:3" ht="15.75" customHeight="1" x14ac:dyDescent="0.3">
      <c r="C620" s="39"/>
    </row>
    <row r="621" spans="3:3" ht="15.75" customHeight="1" x14ac:dyDescent="0.3">
      <c r="C621" s="39"/>
    </row>
    <row r="622" spans="3:3" ht="15.75" customHeight="1" x14ac:dyDescent="0.3">
      <c r="C622" s="39"/>
    </row>
    <row r="623" spans="3:3" ht="15.75" customHeight="1" x14ac:dyDescent="0.3">
      <c r="C623" s="39"/>
    </row>
    <row r="624" spans="3:3" ht="15.75" customHeight="1" x14ac:dyDescent="0.3">
      <c r="C624" s="39"/>
    </row>
    <row r="625" spans="3:3" ht="15.75" customHeight="1" x14ac:dyDescent="0.3">
      <c r="C625" s="39"/>
    </row>
    <row r="626" spans="3:3" ht="15.75" customHeight="1" x14ac:dyDescent="0.3">
      <c r="C626" s="39"/>
    </row>
    <row r="627" spans="3:3" ht="15.75" customHeight="1" x14ac:dyDescent="0.3">
      <c r="C627" s="39"/>
    </row>
    <row r="628" spans="3:3" ht="15.75" customHeight="1" x14ac:dyDescent="0.3">
      <c r="C628" s="39"/>
    </row>
    <row r="629" spans="3:3" ht="15.75" customHeight="1" x14ac:dyDescent="0.3">
      <c r="C629" s="39"/>
    </row>
    <row r="630" spans="3:3" ht="15.75" customHeight="1" x14ac:dyDescent="0.3">
      <c r="C630" s="39"/>
    </row>
    <row r="631" spans="3:3" ht="15.75" customHeight="1" x14ac:dyDescent="0.3">
      <c r="C631" s="39"/>
    </row>
    <row r="632" spans="3:3" ht="15.75" customHeight="1" x14ac:dyDescent="0.3">
      <c r="C632" s="39"/>
    </row>
    <row r="633" spans="3:3" ht="15.75" customHeight="1" x14ac:dyDescent="0.3">
      <c r="C633" s="39"/>
    </row>
    <row r="634" spans="3:3" ht="15.75" customHeight="1" x14ac:dyDescent="0.3">
      <c r="C634" s="39"/>
    </row>
    <row r="635" spans="3:3" ht="15.75" customHeight="1" x14ac:dyDescent="0.3">
      <c r="C635" s="39"/>
    </row>
    <row r="636" spans="3:3" ht="15.75" customHeight="1" x14ac:dyDescent="0.3">
      <c r="C636" s="39"/>
    </row>
    <row r="637" spans="3:3" ht="15.75" customHeight="1" x14ac:dyDescent="0.3">
      <c r="C637" s="39"/>
    </row>
    <row r="638" spans="3:3" ht="15.75" customHeight="1" x14ac:dyDescent="0.3">
      <c r="C638" s="39"/>
    </row>
    <row r="639" spans="3:3" ht="15.75" customHeight="1" x14ac:dyDescent="0.3">
      <c r="C639" s="39"/>
    </row>
    <row r="640" spans="3:3" ht="15.75" customHeight="1" x14ac:dyDescent="0.3">
      <c r="C640" s="39"/>
    </row>
    <row r="641" spans="3:3" ht="15.75" customHeight="1" x14ac:dyDescent="0.3">
      <c r="C641" s="39"/>
    </row>
    <row r="642" spans="3:3" ht="15.75" customHeight="1" x14ac:dyDescent="0.3">
      <c r="C642" s="39"/>
    </row>
    <row r="643" spans="3:3" ht="15.75" customHeight="1" x14ac:dyDescent="0.3">
      <c r="C643" s="39"/>
    </row>
    <row r="644" spans="3:3" ht="15.75" customHeight="1" x14ac:dyDescent="0.3">
      <c r="C644" s="39"/>
    </row>
    <row r="645" spans="3:3" ht="15.75" customHeight="1" x14ac:dyDescent="0.3">
      <c r="C645" s="39"/>
    </row>
    <row r="646" spans="3:3" ht="15.75" customHeight="1" x14ac:dyDescent="0.3">
      <c r="C646" s="39"/>
    </row>
    <row r="647" spans="3:3" ht="15.75" customHeight="1" x14ac:dyDescent="0.3">
      <c r="C647" s="39"/>
    </row>
    <row r="648" spans="3:3" ht="15.75" customHeight="1" x14ac:dyDescent="0.3">
      <c r="C648" s="39"/>
    </row>
    <row r="649" spans="3:3" ht="15.75" customHeight="1" x14ac:dyDescent="0.3">
      <c r="C649" s="39"/>
    </row>
    <row r="650" spans="3:3" ht="15.75" customHeight="1" x14ac:dyDescent="0.3">
      <c r="C650" s="39"/>
    </row>
    <row r="651" spans="3:3" ht="15.75" customHeight="1" x14ac:dyDescent="0.3">
      <c r="C651" s="39"/>
    </row>
    <row r="652" spans="3:3" ht="15.75" customHeight="1" x14ac:dyDescent="0.3">
      <c r="C652" s="39"/>
    </row>
    <row r="653" spans="3:3" ht="15.75" customHeight="1" x14ac:dyDescent="0.3">
      <c r="C653" s="39"/>
    </row>
    <row r="654" spans="3:3" ht="15.75" customHeight="1" x14ac:dyDescent="0.3">
      <c r="C654" s="39"/>
    </row>
    <row r="655" spans="3:3" ht="15.75" customHeight="1" x14ac:dyDescent="0.3">
      <c r="C655" s="39"/>
    </row>
    <row r="656" spans="3:3" ht="15.75" customHeight="1" x14ac:dyDescent="0.3">
      <c r="C656" s="39"/>
    </row>
    <row r="657" spans="3:3" ht="15.75" customHeight="1" x14ac:dyDescent="0.3">
      <c r="C657" s="39"/>
    </row>
    <row r="658" spans="3:3" ht="15.75" customHeight="1" x14ac:dyDescent="0.3">
      <c r="C658" s="39"/>
    </row>
    <row r="659" spans="3:3" ht="15.75" customHeight="1" x14ac:dyDescent="0.3">
      <c r="C659" s="39"/>
    </row>
    <row r="660" spans="3:3" ht="15.75" customHeight="1" x14ac:dyDescent="0.3">
      <c r="C660" s="39"/>
    </row>
    <row r="661" spans="3:3" ht="15.75" customHeight="1" x14ac:dyDescent="0.3">
      <c r="C661" s="39"/>
    </row>
    <row r="662" spans="3:3" ht="15.75" customHeight="1" x14ac:dyDescent="0.3">
      <c r="C662" s="39"/>
    </row>
    <row r="663" spans="3:3" ht="15.75" customHeight="1" x14ac:dyDescent="0.3">
      <c r="C663" s="39"/>
    </row>
    <row r="664" spans="3:3" ht="15.75" customHeight="1" x14ac:dyDescent="0.3">
      <c r="C664" s="39"/>
    </row>
    <row r="665" spans="3:3" ht="15.75" customHeight="1" x14ac:dyDescent="0.3">
      <c r="C665" s="39"/>
    </row>
    <row r="666" spans="3:3" ht="15.75" customHeight="1" x14ac:dyDescent="0.3">
      <c r="C666" s="39"/>
    </row>
    <row r="667" spans="3:3" ht="15.75" customHeight="1" x14ac:dyDescent="0.3">
      <c r="C667" s="39"/>
    </row>
    <row r="668" spans="3:3" ht="15.75" customHeight="1" x14ac:dyDescent="0.3">
      <c r="C668" s="39"/>
    </row>
    <row r="669" spans="3:3" ht="15.75" customHeight="1" x14ac:dyDescent="0.3">
      <c r="C669" s="39"/>
    </row>
    <row r="670" spans="3:3" ht="15.75" customHeight="1" x14ac:dyDescent="0.3">
      <c r="C670" s="39"/>
    </row>
    <row r="671" spans="3:3" ht="15.75" customHeight="1" x14ac:dyDescent="0.3">
      <c r="C671" s="39"/>
    </row>
    <row r="672" spans="3:3" ht="15.75" customHeight="1" x14ac:dyDescent="0.3">
      <c r="C672" s="39"/>
    </row>
    <row r="673" spans="3:3" ht="15.75" customHeight="1" x14ac:dyDescent="0.3">
      <c r="C673" s="39"/>
    </row>
    <row r="674" spans="3:3" ht="15.75" customHeight="1" x14ac:dyDescent="0.3">
      <c r="C674" s="39"/>
    </row>
    <row r="675" spans="3:3" ht="15.75" customHeight="1" x14ac:dyDescent="0.3">
      <c r="C675" s="39"/>
    </row>
    <row r="676" spans="3:3" ht="15.75" customHeight="1" x14ac:dyDescent="0.3">
      <c r="C676" s="39"/>
    </row>
    <row r="677" spans="3:3" ht="15.75" customHeight="1" x14ac:dyDescent="0.3">
      <c r="C677" s="39"/>
    </row>
    <row r="678" spans="3:3" ht="15.75" customHeight="1" x14ac:dyDescent="0.3">
      <c r="C678" s="39"/>
    </row>
    <row r="679" spans="3:3" ht="15.75" customHeight="1" x14ac:dyDescent="0.3">
      <c r="C679" s="39"/>
    </row>
    <row r="680" spans="3:3" ht="15.75" customHeight="1" x14ac:dyDescent="0.3">
      <c r="C680" s="39"/>
    </row>
    <row r="681" spans="3:3" ht="15.75" customHeight="1" x14ac:dyDescent="0.3">
      <c r="C681" s="39"/>
    </row>
    <row r="682" spans="3:3" ht="15.75" customHeight="1" x14ac:dyDescent="0.3">
      <c r="C682" s="39"/>
    </row>
    <row r="683" spans="3:3" ht="15.75" customHeight="1" x14ac:dyDescent="0.3">
      <c r="C683" s="39"/>
    </row>
    <row r="684" spans="3:3" ht="15.75" customHeight="1" x14ac:dyDescent="0.3">
      <c r="C684" s="39"/>
    </row>
    <row r="685" spans="3:3" ht="15.75" customHeight="1" x14ac:dyDescent="0.3">
      <c r="C685" s="39"/>
    </row>
    <row r="686" spans="3:3" ht="15.75" customHeight="1" x14ac:dyDescent="0.3">
      <c r="C686" s="39"/>
    </row>
    <row r="687" spans="3:3" ht="15.75" customHeight="1" x14ac:dyDescent="0.3">
      <c r="C687" s="39"/>
    </row>
    <row r="688" spans="3:3" ht="15.75" customHeight="1" x14ac:dyDescent="0.3">
      <c r="C688" s="39"/>
    </row>
    <row r="689" spans="3:3" ht="15.75" customHeight="1" x14ac:dyDescent="0.3">
      <c r="C689" s="39"/>
    </row>
    <row r="690" spans="3:3" ht="15.75" customHeight="1" x14ac:dyDescent="0.3">
      <c r="C690" s="39"/>
    </row>
    <row r="691" spans="3:3" ht="15.75" customHeight="1" x14ac:dyDescent="0.3">
      <c r="C691" s="39"/>
    </row>
    <row r="692" spans="3:3" ht="15.75" customHeight="1" x14ac:dyDescent="0.3">
      <c r="C692" s="39"/>
    </row>
    <row r="693" spans="3:3" ht="15.75" customHeight="1" x14ac:dyDescent="0.3">
      <c r="C693" s="39"/>
    </row>
    <row r="694" spans="3:3" ht="15.75" customHeight="1" x14ac:dyDescent="0.3">
      <c r="C694" s="39"/>
    </row>
    <row r="695" spans="3:3" ht="15.75" customHeight="1" x14ac:dyDescent="0.3">
      <c r="C695" s="39"/>
    </row>
    <row r="696" spans="3:3" ht="15.75" customHeight="1" x14ac:dyDescent="0.3">
      <c r="C696" s="39"/>
    </row>
    <row r="697" spans="3:3" ht="15.75" customHeight="1" x14ac:dyDescent="0.3">
      <c r="C697" s="39"/>
    </row>
    <row r="698" spans="3:3" ht="15.75" customHeight="1" x14ac:dyDescent="0.3">
      <c r="C698" s="39"/>
    </row>
    <row r="699" spans="3:3" ht="15.75" customHeight="1" x14ac:dyDescent="0.3">
      <c r="C699" s="39"/>
    </row>
    <row r="700" spans="3:3" ht="15.75" customHeight="1" x14ac:dyDescent="0.3">
      <c r="C700" s="39"/>
    </row>
    <row r="701" spans="3:3" ht="15.75" customHeight="1" x14ac:dyDescent="0.3">
      <c r="C701" s="39"/>
    </row>
    <row r="702" spans="3:3" ht="15.75" customHeight="1" x14ac:dyDescent="0.3">
      <c r="C702" s="39"/>
    </row>
    <row r="703" spans="3:3" ht="15.75" customHeight="1" x14ac:dyDescent="0.3">
      <c r="C703" s="39"/>
    </row>
    <row r="704" spans="3:3" ht="15.75" customHeight="1" x14ac:dyDescent="0.3">
      <c r="C704" s="39"/>
    </row>
    <row r="705" spans="3:3" ht="15.75" customHeight="1" x14ac:dyDescent="0.3">
      <c r="C705" s="39"/>
    </row>
    <row r="706" spans="3:3" ht="15.75" customHeight="1" x14ac:dyDescent="0.3">
      <c r="C706" s="39"/>
    </row>
    <row r="707" spans="3:3" ht="15.75" customHeight="1" x14ac:dyDescent="0.3">
      <c r="C707" s="39"/>
    </row>
    <row r="708" spans="3:3" ht="15.75" customHeight="1" x14ac:dyDescent="0.3">
      <c r="C708" s="39"/>
    </row>
    <row r="709" spans="3:3" ht="15.75" customHeight="1" x14ac:dyDescent="0.3">
      <c r="C709" s="39"/>
    </row>
    <row r="710" spans="3:3" ht="15.75" customHeight="1" x14ac:dyDescent="0.3">
      <c r="C710" s="39"/>
    </row>
    <row r="711" spans="3:3" ht="15.75" customHeight="1" x14ac:dyDescent="0.3">
      <c r="C711" s="39"/>
    </row>
    <row r="712" spans="3:3" ht="15.75" customHeight="1" x14ac:dyDescent="0.3">
      <c r="C712" s="39"/>
    </row>
    <row r="713" spans="3:3" ht="15.75" customHeight="1" x14ac:dyDescent="0.3">
      <c r="C713" s="39"/>
    </row>
    <row r="714" spans="3:3" ht="15.75" customHeight="1" x14ac:dyDescent="0.3">
      <c r="C714" s="39"/>
    </row>
    <row r="715" spans="3:3" ht="15.75" customHeight="1" x14ac:dyDescent="0.3">
      <c r="C715" s="39"/>
    </row>
    <row r="716" spans="3:3" ht="15.75" customHeight="1" x14ac:dyDescent="0.3">
      <c r="C716" s="39"/>
    </row>
    <row r="717" spans="3:3" ht="15.75" customHeight="1" x14ac:dyDescent="0.3">
      <c r="C717" s="39"/>
    </row>
    <row r="718" spans="3:3" ht="15.75" customHeight="1" x14ac:dyDescent="0.3">
      <c r="C718" s="39"/>
    </row>
    <row r="719" spans="3:3" ht="15.75" customHeight="1" x14ac:dyDescent="0.3">
      <c r="C719" s="39"/>
    </row>
    <row r="720" spans="3:3" ht="15.75" customHeight="1" x14ac:dyDescent="0.3">
      <c r="C720" s="39"/>
    </row>
    <row r="721" spans="3:3" ht="15.75" customHeight="1" x14ac:dyDescent="0.3">
      <c r="C721" s="39"/>
    </row>
    <row r="722" spans="3:3" ht="15.75" customHeight="1" x14ac:dyDescent="0.3">
      <c r="C722" s="39"/>
    </row>
    <row r="723" spans="3:3" ht="15.75" customHeight="1" x14ac:dyDescent="0.3">
      <c r="C723" s="39"/>
    </row>
    <row r="724" spans="3:3" ht="15.75" customHeight="1" x14ac:dyDescent="0.3">
      <c r="C724" s="39"/>
    </row>
    <row r="725" spans="3:3" ht="15.75" customHeight="1" x14ac:dyDescent="0.3">
      <c r="C725" s="39"/>
    </row>
    <row r="726" spans="3:3" ht="15.75" customHeight="1" x14ac:dyDescent="0.3">
      <c r="C726" s="39"/>
    </row>
    <row r="727" spans="3:3" ht="15.75" customHeight="1" x14ac:dyDescent="0.3">
      <c r="C727" s="39"/>
    </row>
    <row r="728" spans="3:3" ht="15.75" customHeight="1" x14ac:dyDescent="0.3">
      <c r="C728" s="39"/>
    </row>
    <row r="729" spans="3:3" ht="15.75" customHeight="1" x14ac:dyDescent="0.3">
      <c r="C729" s="39"/>
    </row>
    <row r="730" spans="3:3" ht="15.75" customHeight="1" x14ac:dyDescent="0.3">
      <c r="C730" s="39"/>
    </row>
    <row r="731" spans="3:3" ht="15.75" customHeight="1" x14ac:dyDescent="0.3">
      <c r="C731" s="39"/>
    </row>
    <row r="732" spans="3:3" ht="15.75" customHeight="1" x14ac:dyDescent="0.3">
      <c r="C732" s="39"/>
    </row>
    <row r="733" spans="3:3" ht="15.75" customHeight="1" x14ac:dyDescent="0.3">
      <c r="C733" s="39"/>
    </row>
    <row r="734" spans="3:3" ht="15.75" customHeight="1" x14ac:dyDescent="0.3">
      <c r="C734" s="39"/>
    </row>
    <row r="735" spans="3:3" ht="15.75" customHeight="1" x14ac:dyDescent="0.3">
      <c r="C735" s="39"/>
    </row>
    <row r="736" spans="3:3" ht="15.75" customHeight="1" x14ac:dyDescent="0.3">
      <c r="C736" s="39"/>
    </row>
    <row r="737" spans="3:3" ht="15.75" customHeight="1" x14ac:dyDescent="0.3">
      <c r="C737" s="39"/>
    </row>
    <row r="738" spans="3:3" ht="15.75" customHeight="1" x14ac:dyDescent="0.3">
      <c r="C738" s="39"/>
    </row>
    <row r="739" spans="3:3" ht="15.75" customHeight="1" x14ac:dyDescent="0.3">
      <c r="C739" s="39"/>
    </row>
    <row r="740" spans="3:3" ht="15.75" customHeight="1" x14ac:dyDescent="0.3">
      <c r="C740" s="39"/>
    </row>
    <row r="741" spans="3:3" ht="15.75" customHeight="1" x14ac:dyDescent="0.3">
      <c r="C741" s="39"/>
    </row>
    <row r="742" spans="3:3" ht="15.75" customHeight="1" x14ac:dyDescent="0.3">
      <c r="C742" s="39"/>
    </row>
    <row r="743" spans="3:3" ht="15.75" customHeight="1" x14ac:dyDescent="0.3">
      <c r="C743" s="39"/>
    </row>
    <row r="744" spans="3:3" ht="15.75" customHeight="1" x14ac:dyDescent="0.3">
      <c r="C744" s="39"/>
    </row>
    <row r="745" spans="3:3" ht="15.75" customHeight="1" x14ac:dyDescent="0.3">
      <c r="C745" s="39"/>
    </row>
    <row r="746" spans="3:3" ht="15.75" customHeight="1" x14ac:dyDescent="0.3">
      <c r="C746" s="39"/>
    </row>
    <row r="747" spans="3:3" ht="15.75" customHeight="1" x14ac:dyDescent="0.3">
      <c r="C747" s="39"/>
    </row>
    <row r="748" spans="3:3" ht="15.75" customHeight="1" x14ac:dyDescent="0.3">
      <c r="C748" s="39"/>
    </row>
    <row r="749" spans="3:3" ht="15.75" customHeight="1" x14ac:dyDescent="0.3">
      <c r="C749" s="39"/>
    </row>
    <row r="750" spans="3:3" ht="15.75" customHeight="1" x14ac:dyDescent="0.3">
      <c r="C750" s="39"/>
    </row>
    <row r="751" spans="3:3" ht="15.75" customHeight="1" x14ac:dyDescent="0.3">
      <c r="C751" s="39"/>
    </row>
    <row r="752" spans="3:3" ht="15.75" customHeight="1" x14ac:dyDescent="0.3">
      <c r="C752" s="39"/>
    </row>
    <row r="753" spans="3:3" ht="15.75" customHeight="1" x14ac:dyDescent="0.3">
      <c r="C753" s="39"/>
    </row>
    <row r="754" spans="3:3" ht="15.75" customHeight="1" x14ac:dyDescent="0.3">
      <c r="C754" s="39"/>
    </row>
    <row r="755" spans="3:3" ht="15.75" customHeight="1" x14ac:dyDescent="0.3">
      <c r="C755" s="39"/>
    </row>
    <row r="756" spans="3:3" ht="15.75" customHeight="1" x14ac:dyDescent="0.3">
      <c r="C756" s="39"/>
    </row>
    <row r="757" spans="3:3" ht="15.75" customHeight="1" x14ac:dyDescent="0.3">
      <c r="C757" s="39"/>
    </row>
    <row r="758" spans="3:3" ht="15.75" customHeight="1" x14ac:dyDescent="0.3">
      <c r="C758" s="39"/>
    </row>
    <row r="759" spans="3:3" ht="15.75" customHeight="1" x14ac:dyDescent="0.3">
      <c r="C759" s="39"/>
    </row>
    <row r="760" spans="3:3" ht="15.75" customHeight="1" x14ac:dyDescent="0.3">
      <c r="C760" s="39"/>
    </row>
    <row r="761" spans="3:3" ht="15.75" customHeight="1" x14ac:dyDescent="0.3">
      <c r="C761" s="39"/>
    </row>
    <row r="762" spans="3:3" ht="15.75" customHeight="1" x14ac:dyDescent="0.3">
      <c r="C762" s="39"/>
    </row>
    <row r="763" spans="3:3" ht="15.75" customHeight="1" x14ac:dyDescent="0.3">
      <c r="C763" s="39"/>
    </row>
    <row r="764" spans="3:3" ht="15.75" customHeight="1" x14ac:dyDescent="0.3">
      <c r="C764" s="39"/>
    </row>
    <row r="765" spans="3:3" ht="15.75" customHeight="1" x14ac:dyDescent="0.3">
      <c r="C765" s="39"/>
    </row>
    <row r="766" spans="3:3" ht="15.75" customHeight="1" x14ac:dyDescent="0.3">
      <c r="C766" s="39"/>
    </row>
    <row r="767" spans="3:3" ht="15.75" customHeight="1" x14ac:dyDescent="0.3">
      <c r="C767" s="39"/>
    </row>
    <row r="768" spans="3:3" ht="15.75" customHeight="1" x14ac:dyDescent="0.3">
      <c r="C768" s="39"/>
    </row>
    <row r="769" spans="3:3" ht="15.75" customHeight="1" x14ac:dyDescent="0.3">
      <c r="C769" s="39"/>
    </row>
    <row r="770" spans="3:3" ht="15.75" customHeight="1" x14ac:dyDescent="0.3">
      <c r="C770" s="39"/>
    </row>
    <row r="771" spans="3:3" ht="15.75" customHeight="1" x14ac:dyDescent="0.3">
      <c r="C771" s="39"/>
    </row>
    <row r="772" spans="3:3" ht="15.75" customHeight="1" x14ac:dyDescent="0.3">
      <c r="C772" s="39"/>
    </row>
    <row r="773" spans="3:3" ht="15.75" customHeight="1" x14ac:dyDescent="0.3">
      <c r="C773" s="39"/>
    </row>
    <row r="774" spans="3:3" ht="15.75" customHeight="1" x14ac:dyDescent="0.3">
      <c r="C774" s="39"/>
    </row>
    <row r="775" spans="3:3" ht="15.75" customHeight="1" x14ac:dyDescent="0.3">
      <c r="C775" s="39"/>
    </row>
    <row r="776" spans="3:3" ht="15.75" customHeight="1" x14ac:dyDescent="0.3">
      <c r="C776" s="39"/>
    </row>
    <row r="777" spans="3:3" ht="15.75" customHeight="1" x14ac:dyDescent="0.3">
      <c r="C777" s="39"/>
    </row>
    <row r="778" spans="3:3" ht="15.75" customHeight="1" x14ac:dyDescent="0.3">
      <c r="C778" s="39"/>
    </row>
    <row r="779" spans="3:3" ht="15.75" customHeight="1" x14ac:dyDescent="0.3">
      <c r="C779" s="39"/>
    </row>
    <row r="780" spans="3:3" ht="15.75" customHeight="1" x14ac:dyDescent="0.3">
      <c r="C780" s="39"/>
    </row>
    <row r="781" spans="3:3" ht="15.75" customHeight="1" x14ac:dyDescent="0.3">
      <c r="C781" s="39"/>
    </row>
    <row r="782" spans="3:3" ht="15.75" customHeight="1" x14ac:dyDescent="0.3">
      <c r="C782" s="39"/>
    </row>
    <row r="783" spans="3:3" ht="15.75" customHeight="1" x14ac:dyDescent="0.3">
      <c r="C783" s="39"/>
    </row>
    <row r="784" spans="3:3" ht="15.75" customHeight="1" x14ac:dyDescent="0.3">
      <c r="C784" s="39"/>
    </row>
    <row r="785" spans="3:3" ht="15.75" customHeight="1" x14ac:dyDescent="0.3">
      <c r="C785" s="39"/>
    </row>
    <row r="786" spans="3:3" ht="15.75" customHeight="1" x14ac:dyDescent="0.3">
      <c r="C786" s="39"/>
    </row>
    <row r="787" spans="3:3" ht="15.75" customHeight="1" x14ac:dyDescent="0.3">
      <c r="C787" s="39"/>
    </row>
    <row r="788" spans="3:3" ht="15.75" customHeight="1" x14ac:dyDescent="0.3">
      <c r="C788" s="39"/>
    </row>
    <row r="789" spans="3:3" ht="15.75" customHeight="1" x14ac:dyDescent="0.3">
      <c r="C789" s="39"/>
    </row>
    <row r="790" spans="3:3" ht="15.75" customHeight="1" x14ac:dyDescent="0.3">
      <c r="C790" s="39"/>
    </row>
    <row r="791" spans="3:3" ht="15.75" customHeight="1" x14ac:dyDescent="0.3">
      <c r="C791" s="39"/>
    </row>
    <row r="792" spans="3:3" ht="15.75" customHeight="1" x14ac:dyDescent="0.3">
      <c r="C792" s="39"/>
    </row>
    <row r="793" spans="3:3" ht="15.75" customHeight="1" x14ac:dyDescent="0.3">
      <c r="C793" s="39"/>
    </row>
    <row r="794" spans="3:3" ht="15.75" customHeight="1" x14ac:dyDescent="0.3">
      <c r="C794" s="39"/>
    </row>
    <row r="795" spans="3:3" ht="15.75" customHeight="1" x14ac:dyDescent="0.3">
      <c r="C795" s="39"/>
    </row>
    <row r="796" spans="3:3" ht="15.75" customHeight="1" x14ac:dyDescent="0.3">
      <c r="C796" s="39"/>
    </row>
    <row r="797" spans="3:3" ht="15.75" customHeight="1" x14ac:dyDescent="0.3">
      <c r="C797" s="39"/>
    </row>
    <row r="798" spans="3:3" ht="15.75" customHeight="1" x14ac:dyDescent="0.3">
      <c r="C798" s="39"/>
    </row>
    <row r="799" spans="3:3" ht="15.75" customHeight="1" x14ac:dyDescent="0.3">
      <c r="C799" s="39"/>
    </row>
    <row r="800" spans="3:3" ht="15.75" customHeight="1" x14ac:dyDescent="0.3">
      <c r="C800" s="39"/>
    </row>
    <row r="801" spans="3:3" ht="15.75" customHeight="1" x14ac:dyDescent="0.3">
      <c r="C801" s="39"/>
    </row>
    <row r="802" spans="3:3" ht="15.75" customHeight="1" x14ac:dyDescent="0.3">
      <c r="C802" s="39"/>
    </row>
    <row r="803" spans="3:3" ht="15.75" customHeight="1" x14ac:dyDescent="0.3">
      <c r="C803" s="39"/>
    </row>
    <row r="804" spans="3:3" ht="15.75" customHeight="1" x14ac:dyDescent="0.3">
      <c r="C804" s="39"/>
    </row>
    <row r="805" spans="3:3" ht="15.75" customHeight="1" x14ac:dyDescent="0.3">
      <c r="C805" s="39"/>
    </row>
    <row r="806" spans="3:3" ht="15.75" customHeight="1" x14ac:dyDescent="0.3">
      <c r="C806" s="39"/>
    </row>
    <row r="807" spans="3:3" ht="15.75" customHeight="1" x14ac:dyDescent="0.3">
      <c r="C807" s="39"/>
    </row>
    <row r="808" spans="3:3" ht="15.75" customHeight="1" x14ac:dyDescent="0.3">
      <c r="C808" s="39"/>
    </row>
    <row r="809" spans="3:3" ht="15.75" customHeight="1" x14ac:dyDescent="0.3">
      <c r="C809" s="39"/>
    </row>
    <row r="810" spans="3:3" ht="15.75" customHeight="1" x14ac:dyDescent="0.3">
      <c r="C810" s="39"/>
    </row>
    <row r="811" spans="3:3" ht="15.75" customHeight="1" x14ac:dyDescent="0.3">
      <c r="C811" s="39"/>
    </row>
    <row r="812" spans="3:3" ht="15.75" customHeight="1" x14ac:dyDescent="0.3">
      <c r="C812" s="39"/>
    </row>
    <row r="813" spans="3:3" ht="15.75" customHeight="1" x14ac:dyDescent="0.3">
      <c r="C813" s="39"/>
    </row>
    <row r="814" spans="3:3" ht="15.75" customHeight="1" x14ac:dyDescent="0.3">
      <c r="C814" s="39"/>
    </row>
    <row r="815" spans="3:3" ht="15.75" customHeight="1" x14ac:dyDescent="0.3">
      <c r="C815" s="39"/>
    </row>
    <row r="816" spans="3:3" ht="15.75" customHeight="1" x14ac:dyDescent="0.3">
      <c r="C816" s="39"/>
    </row>
    <row r="817" spans="3:3" ht="15.75" customHeight="1" x14ac:dyDescent="0.3">
      <c r="C817" s="39"/>
    </row>
    <row r="818" spans="3:3" ht="15.75" customHeight="1" x14ac:dyDescent="0.3">
      <c r="C818" s="39"/>
    </row>
    <row r="819" spans="3:3" ht="15.75" customHeight="1" x14ac:dyDescent="0.3">
      <c r="C819" s="39"/>
    </row>
    <row r="820" spans="3:3" ht="15.75" customHeight="1" x14ac:dyDescent="0.3">
      <c r="C820" s="39"/>
    </row>
    <row r="821" spans="3:3" ht="15.75" customHeight="1" x14ac:dyDescent="0.3">
      <c r="C821" s="39"/>
    </row>
    <row r="822" spans="3:3" ht="15.75" customHeight="1" x14ac:dyDescent="0.3">
      <c r="C822" s="39"/>
    </row>
    <row r="823" spans="3:3" ht="15.75" customHeight="1" x14ac:dyDescent="0.3">
      <c r="C823" s="39"/>
    </row>
    <row r="824" spans="3:3" ht="15.75" customHeight="1" x14ac:dyDescent="0.3">
      <c r="C824" s="39"/>
    </row>
    <row r="825" spans="3:3" ht="15.75" customHeight="1" x14ac:dyDescent="0.3">
      <c r="C825" s="39"/>
    </row>
    <row r="826" spans="3:3" ht="15.75" customHeight="1" x14ac:dyDescent="0.3">
      <c r="C826" s="39"/>
    </row>
    <row r="827" spans="3:3" ht="15.75" customHeight="1" x14ac:dyDescent="0.3">
      <c r="C827" s="39"/>
    </row>
    <row r="828" spans="3:3" ht="15.75" customHeight="1" x14ac:dyDescent="0.3">
      <c r="C828" s="39"/>
    </row>
    <row r="829" spans="3:3" ht="15.75" customHeight="1" x14ac:dyDescent="0.3">
      <c r="C829" s="39"/>
    </row>
    <row r="830" spans="3:3" ht="15.75" customHeight="1" x14ac:dyDescent="0.3">
      <c r="C830" s="39"/>
    </row>
    <row r="831" spans="3:3" ht="15.75" customHeight="1" x14ac:dyDescent="0.3">
      <c r="C831" s="39"/>
    </row>
    <row r="832" spans="3:3" ht="15.75" customHeight="1" x14ac:dyDescent="0.3">
      <c r="C832" s="39"/>
    </row>
    <row r="833" spans="3:3" ht="15.75" customHeight="1" x14ac:dyDescent="0.3">
      <c r="C833" s="39"/>
    </row>
    <row r="834" spans="3:3" ht="15.75" customHeight="1" x14ac:dyDescent="0.3">
      <c r="C834" s="39"/>
    </row>
    <row r="835" spans="3:3" ht="15.75" customHeight="1" x14ac:dyDescent="0.3">
      <c r="C835" s="39"/>
    </row>
    <row r="836" spans="3:3" ht="15.75" customHeight="1" x14ac:dyDescent="0.3">
      <c r="C836" s="39"/>
    </row>
    <row r="837" spans="3:3" ht="15.75" customHeight="1" x14ac:dyDescent="0.3">
      <c r="C837" s="39"/>
    </row>
    <row r="838" spans="3:3" ht="15.75" customHeight="1" x14ac:dyDescent="0.3">
      <c r="C838" s="39"/>
    </row>
    <row r="839" spans="3:3" ht="15.75" customHeight="1" x14ac:dyDescent="0.3">
      <c r="C839" s="39"/>
    </row>
    <row r="840" spans="3:3" ht="15.75" customHeight="1" x14ac:dyDescent="0.3">
      <c r="C840" s="39"/>
    </row>
    <row r="841" spans="3:3" ht="15.75" customHeight="1" x14ac:dyDescent="0.3">
      <c r="C841" s="39"/>
    </row>
    <row r="842" spans="3:3" ht="15.75" customHeight="1" x14ac:dyDescent="0.3">
      <c r="C842" s="39"/>
    </row>
    <row r="843" spans="3:3" ht="15.75" customHeight="1" x14ac:dyDescent="0.3">
      <c r="C843" s="39"/>
    </row>
    <row r="844" spans="3:3" ht="15.75" customHeight="1" x14ac:dyDescent="0.3">
      <c r="C844" s="39"/>
    </row>
    <row r="845" spans="3:3" ht="15.75" customHeight="1" x14ac:dyDescent="0.3">
      <c r="C845" s="39"/>
    </row>
    <row r="846" spans="3:3" ht="15.75" customHeight="1" x14ac:dyDescent="0.3">
      <c r="C846" s="39"/>
    </row>
    <row r="847" spans="3:3" ht="15.75" customHeight="1" x14ac:dyDescent="0.3">
      <c r="C847" s="39"/>
    </row>
    <row r="848" spans="3:3" ht="15.75" customHeight="1" x14ac:dyDescent="0.3">
      <c r="C848" s="39"/>
    </row>
    <row r="849" spans="3:3" ht="15.75" customHeight="1" x14ac:dyDescent="0.3">
      <c r="C849" s="39"/>
    </row>
    <row r="850" spans="3:3" ht="15.75" customHeight="1" x14ac:dyDescent="0.3">
      <c r="C850" s="39"/>
    </row>
    <row r="851" spans="3:3" ht="15.75" customHeight="1" x14ac:dyDescent="0.3">
      <c r="C851" s="39"/>
    </row>
    <row r="852" spans="3:3" ht="15.75" customHeight="1" x14ac:dyDescent="0.3">
      <c r="C852" s="39"/>
    </row>
    <row r="853" spans="3:3" ht="15.75" customHeight="1" x14ac:dyDescent="0.3">
      <c r="C853" s="39"/>
    </row>
    <row r="854" spans="3:3" ht="15.75" customHeight="1" x14ac:dyDescent="0.3">
      <c r="C854" s="39"/>
    </row>
    <row r="855" spans="3:3" ht="15.75" customHeight="1" x14ac:dyDescent="0.3">
      <c r="C855" s="39"/>
    </row>
    <row r="856" spans="3:3" ht="15.75" customHeight="1" x14ac:dyDescent="0.3">
      <c r="C856" s="39"/>
    </row>
    <row r="857" spans="3:3" ht="15.75" customHeight="1" x14ac:dyDescent="0.3">
      <c r="C857" s="39"/>
    </row>
    <row r="858" spans="3:3" ht="15.75" customHeight="1" x14ac:dyDescent="0.3">
      <c r="C858" s="39"/>
    </row>
    <row r="859" spans="3:3" ht="15.75" customHeight="1" x14ac:dyDescent="0.3">
      <c r="C859" s="39"/>
    </row>
    <row r="860" spans="3:3" ht="15.75" customHeight="1" x14ac:dyDescent="0.3">
      <c r="C860" s="39"/>
    </row>
    <row r="861" spans="3:3" ht="15.75" customHeight="1" x14ac:dyDescent="0.3">
      <c r="C861" s="39"/>
    </row>
    <row r="862" spans="3:3" ht="15.75" customHeight="1" x14ac:dyDescent="0.3">
      <c r="C862" s="39"/>
    </row>
    <row r="863" spans="3:3" ht="15.75" customHeight="1" x14ac:dyDescent="0.3">
      <c r="C863" s="39"/>
    </row>
    <row r="864" spans="3:3" ht="15.75" customHeight="1" x14ac:dyDescent="0.3">
      <c r="C864" s="39"/>
    </row>
    <row r="865" spans="3:3" ht="15.75" customHeight="1" x14ac:dyDescent="0.3">
      <c r="C865" s="39"/>
    </row>
    <row r="866" spans="3:3" ht="15.75" customHeight="1" x14ac:dyDescent="0.3">
      <c r="C866" s="39"/>
    </row>
    <row r="867" spans="3:3" ht="15.75" customHeight="1" x14ac:dyDescent="0.3">
      <c r="C867" s="39"/>
    </row>
    <row r="868" spans="3:3" ht="15.75" customHeight="1" x14ac:dyDescent="0.3">
      <c r="C868" s="39"/>
    </row>
    <row r="869" spans="3:3" ht="15.75" customHeight="1" x14ac:dyDescent="0.3">
      <c r="C869" s="39"/>
    </row>
    <row r="870" spans="3:3" ht="15.75" customHeight="1" x14ac:dyDescent="0.3">
      <c r="C870" s="39"/>
    </row>
    <row r="871" spans="3:3" ht="15.75" customHeight="1" x14ac:dyDescent="0.3">
      <c r="C871" s="39"/>
    </row>
    <row r="872" spans="3:3" ht="15.75" customHeight="1" x14ac:dyDescent="0.3">
      <c r="C872" s="39"/>
    </row>
    <row r="873" spans="3:3" ht="15.75" customHeight="1" x14ac:dyDescent="0.3">
      <c r="C873" s="39"/>
    </row>
    <row r="874" spans="3:3" ht="15.75" customHeight="1" x14ac:dyDescent="0.3">
      <c r="C874" s="39"/>
    </row>
    <row r="875" spans="3:3" ht="15.75" customHeight="1" x14ac:dyDescent="0.3">
      <c r="C875" s="39"/>
    </row>
    <row r="876" spans="3:3" ht="15.75" customHeight="1" x14ac:dyDescent="0.3">
      <c r="C876" s="39"/>
    </row>
    <row r="877" spans="3:3" ht="15.75" customHeight="1" x14ac:dyDescent="0.3">
      <c r="C877" s="39"/>
    </row>
    <row r="878" spans="3:3" ht="15.75" customHeight="1" x14ac:dyDescent="0.3">
      <c r="C878" s="39"/>
    </row>
    <row r="879" spans="3:3" ht="15.75" customHeight="1" x14ac:dyDescent="0.3">
      <c r="C879" s="39"/>
    </row>
    <row r="880" spans="3:3" ht="15.75" customHeight="1" x14ac:dyDescent="0.3">
      <c r="C880" s="39"/>
    </row>
    <row r="881" spans="3:3" ht="15.75" customHeight="1" x14ac:dyDescent="0.3">
      <c r="C881" s="39"/>
    </row>
    <row r="882" spans="3:3" ht="15.75" customHeight="1" x14ac:dyDescent="0.3">
      <c r="C882" s="39"/>
    </row>
    <row r="883" spans="3:3" ht="15.75" customHeight="1" x14ac:dyDescent="0.3">
      <c r="C883" s="39"/>
    </row>
    <row r="884" spans="3:3" ht="15.75" customHeight="1" x14ac:dyDescent="0.3">
      <c r="C884" s="39"/>
    </row>
    <row r="885" spans="3:3" ht="15.75" customHeight="1" x14ac:dyDescent="0.3">
      <c r="C885" s="39"/>
    </row>
    <row r="886" spans="3:3" ht="15.75" customHeight="1" x14ac:dyDescent="0.3">
      <c r="C886" s="39"/>
    </row>
    <row r="887" spans="3:3" ht="15.75" customHeight="1" x14ac:dyDescent="0.3">
      <c r="C887" s="39"/>
    </row>
    <row r="888" spans="3:3" ht="15.75" customHeight="1" x14ac:dyDescent="0.3">
      <c r="C888" s="39"/>
    </row>
    <row r="889" spans="3:3" ht="15.75" customHeight="1" x14ac:dyDescent="0.3">
      <c r="C889" s="39"/>
    </row>
    <row r="890" spans="3:3" ht="15.75" customHeight="1" x14ac:dyDescent="0.3">
      <c r="C890" s="39"/>
    </row>
    <row r="891" spans="3:3" ht="15.75" customHeight="1" x14ac:dyDescent="0.3">
      <c r="C891" s="39"/>
    </row>
    <row r="892" spans="3:3" ht="15.75" customHeight="1" x14ac:dyDescent="0.3">
      <c r="C892" s="39"/>
    </row>
    <row r="893" spans="3:3" ht="15.75" customHeight="1" x14ac:dyDescent="0.3">
      <c r="C893" s="39"/>
    </row>
    <row r="894" spans="3:3" ht="15.75" customHeight="1" x14ac:dyDescent="0.3">
      <c r="C894" s="39"/>
    </row>
    <row r="895" spans="3:3" ht="15.75" customHeight="1" x14ac:dyDescent="0.3">
      <c r="C895" s="39"/>
    </row>
    <row r="896" spans="3:3" ht="15.75" customHeight="1" x14ac:dyDescent="0.3">
      <c r="C896" s="39"/>
    </row>
    <row r="897" spans="3:3" ht="15.75" customHeight="1" x14ac:dyDescent="0.3">
      <c r="C897" s="39"/>
    </row>
    <row r="898" spans="3:3" ht="15.75" customHeight="1" x14ac:dyDescent="0.3">
      <c r="C898" s="39"/>
    </row>
    <row r="899" spans="3:3" ht="15.75" customHeight="1" x14ac:dyDescent="0.3">
      <c r="C899" s="39"/>
    </row>
    <row r="900" spans="3:3" ht="15.75" customHeight="1" x14ac:dyDescent="0.3">
      <c r="C900" s="39"/>
    </row>
    <row r="901" spans="3:3" ht="15.75" customHeight="1" x14ac:dyDescent="0.3">
      <c r="C901" s="39"/>
    </row>
    <row r="902" spans="3:3" ht="15.75" customHeight="1" x14ac:dyDescent="0.3">
      <c r="C902" s="39"/>
    </row>
    <row r="903" spans="3:3" ht="15.75" customHeight="1" x14ac:dyDescent="0.3">
      <c r="C903" s="39"/>
    </row>
    <row r="904" spans="3:3" ht="15.75" customHeight="1" x14ac:dyDescent="0.3">
      <c r="C904" s="39"/>
    </row>
    <row r="905" spans="3:3" ht="15.75" customHeight="1" x14ac:dyDescent="0.3">
      <c r="C905" s="39"/>
    </row>
    <row r="906" spans="3:3" ht="15.75" customHeight="1" x14ac:dyDescent="0.3">
      <c r="C906" s="39"/>
    </row>
    <row r="907" spans="3:3" ht="15.75" customHeight="1" x14ac:dyDescent="0.3">
      <c r="C907" s="39"/>
    </row>
    <row r="908" spans="3:3" ht="15.75" customHeight="1" x14ac:dyDescent="0.3">
      <c r="C908" s="39"/>
    </row>
    <row r="909" spans="3:3" ht="15.75" customHeight="1" x14ac:dyDescent="0.3">
      <c r="C909" s="39"/>
    </row>
    <row r="910" spans="3:3" ht="15.75" customHeight="1" x14ac:dyDescent="0.3">
      <c r="C910" s="39"/>
    </row>
    <row r="911" spans="3:3" ht="15.75" customHeight="1" x14ac:dyDescent="0.3">
      <c r="C911" s="39"/>
    </row>
    <row r="912" spans="3:3" ht="15.75" customHeight="1" x14ac:dyDescent="0.3">
      <c r="C912" s="39"/>
    </row>
    <row r="913" spans="3:3" ht="15.75" customHeight="1" x14ac:dyDescent="0.3">
      <c r="C913" s="39"/>
    </row>
    <row r="914" spans="3:3" ht="15.75" customHeight="1" x14ac:dyDescent="0.3">
      <c r="C914" s="39"/>
    </row>
    <row r="915" spans="3:3" ht="15.75" customHeight="1" x14ac:dyDescent="0.3">
      <c r="C915" s="39"/>
    </row>
    <row r="916" spans="3:3" ht="15.75" customHeight="1" x14ac:dyDescent="0.3">
      <c r="C916" s="39"/>
    </row>
    <row r="917" spans="3:3" ht="15.75" customHeight="1" x14ac:dyDescent="0.3">
      <c r="C917" s="39"/>
    </row>
    <row r="918" spans="3:3" ht="15.75" customHeight="1" x14ac:dyDescent="0.3">
      <c r="C918" s="39"/>
    </row>
    <row r="919" spans="3:3" ht="15.75" customHeight="1" x14ac:dyDescent="0.3">
      <c r="C919" s="39"/>
    </row>
    <row r="920" spans="3:3" ht="15.75" customHeight="1" x14ac:dyDescent="0.3">
      <c r="C920" s="39"/>
    </row>
    <row r="921" spans="3:3" ht="15.75" customHeight="1" x14ac:dyDescent="0.3">
      <c r="C921" s="39"/>
    </row>
    <row r="922" spans="3:3" ht="15.75" customHeight="1" x14ac:dyDescent="0.3">
      <c r="C922" s="39"/>
    </row>
    <row r="923" spans="3:3" ht="15.75" customHeight="1" x14ac:dyDescent="0.3">
      <c r="C923" s="39"/>
    </row>
    <row r="924" spans="3:3" ht="15.75" customHeight="1" x14ac:dyDescent="0.3">
      <c r="C924" s="39"/>
    </row>
    <row r="925" spans="3:3" ht="15.75" customHeight="1" x14ac:dyDescent="0.3">
      <c r="C925" s="39"/>
    </row>
    <row r="926" spans="3:3" ht="15.75" customHeight="1" x14ac:dyDescent="0.3">
      <c r="C926" s="39"/>
    </row>
    <row r="927" spans="3:3" ht="15.75" customHeight="1" x14ac:dyDescent="0.3">
      <c r="C927" s="39"/>
    </row>
    <row r="928" spans="3:3" ht="15.75" customHeight="1" x14ac:dyDescent="0.3">
      <c r="C928" s="39"/>
    </row>
    <row r="929" spans="3:3" ht="15.75" customHeight="1" x14ac:dyDescent="0.3">
      <c r="C929" s="39"/>
    </row>
    <row r="930" spans="3:3" ht="15.75" customHeight="1" x14ac:dyDescent="0.3">
      <c r="C930" s="39"/>
    </row>
    <row r="931" spans="3:3" ht="15.75" customHeight="1" x14ac:dyDescent="0.3">
      <c r="C931" s="39"/>
    </row>
    <row r="932" spans="3:3" ht="15.75" customHeight="1" x14ac:dyDescent="0.3">
      <c r="C932" s="39"/>
    </row>
    <row r="933" spans="3:3" ht="15.75" customHeight="1" x14ac:dyDescent="0.3">
      <c r="C933" s="39"/>
    </row>
    <row r="934" spans="3:3" ht="15.75" customHeight="1" x14ac:dyDescent="0.3">
      <c r="C934" s="39"/>
    </row>
    <row r="935" spans="3:3" ht="15.75" customHeight="1" x14ac:dyDescent="0.3">
      <c r="C935" s="39"/>
    </row>
    <row r="936" spans="3:3" ht="15.75" customHeight="1" x14ac:dyDescent="0.3">
      <c r="C936" s="39"/>
    </row>
    <row r="937" spans="3:3" ht="15.75" customHeight="1" x14ac:dyDescent="0.3">
      <c r="C937" s="39"/>
    </row>
    <row r="938" spans="3:3" ht="15.75" customHeight="1" x14ac:dyDescent="0.3">
      <c r="C938" s="39"/>
    </row>
    <row r="939" spans="3:3" ht="15.75" customHeight="1" x14ac:dyDescent="0.3">
      <c r="C939" s="39"/>
    </row>
    <row r="940" spans="3:3" ht="15.75" customHeight="1" x14ac:dyDescent="0.3">
      <c r="C940" s="39"/>
    </row>
    <row r="941" spans="3:3" ht="15.75" customHeight="1" x14ac:dyDescent="0.3">
      <c r="C941" s="39"/>
    </row>
    <row r="942" spans="3:3" ht="15.75" customHeight="1" x14ac:dyDescent="0.3">
      <c r="C942" s="39"/>
    </row>
    <row r="943" spans="3:3" ht="15.75" customHeight="1" x14ac:dyDescent="0.3">
      <c r="C943" s="39"/>
    </row>
    <row r="944" spans="3:3" ht="15.75" customHeight="1" x14ac:dyDescent="0.3">
      <c r="C944" s="39"/>
    </row>
    <row r="945" spans="3:3" ht="15.75" customHeight="1" x14ac:dyDescent="0.3">
      <c r="C945" s="39"/>
    </row>
    <row r="946" spans="3:3" ht="15.75" customHeight="1" x14ac:dyDescent="0.3">
      <c r="C946" s="39"/>
    </row>
    <row r="947" spans="3:3" ht="15.75" customHeight="1" x14ac:dyDescent="0.3">
      <c r="C947" s="39"/>
    </row>
    <row r="948" spans="3:3" ht="15.75" customHeight="1" x14ac:dyDescent="0.3">
      <c r="C948" s="39"/>
    </row>
    <row r="949" spans="3:3" ht="15.75" customHeight="1" x14ac:dyDescent="0.3">
      <c r="C949" s="39"/>
    </row>
    <row r="950" spans="3:3" ht="15.75" customHeight="1" x14ac:dyDescent="0.3">
      <c r="C950" s="39"/>
    </row>
    <row r="951" spans="3:3" ht="15.75" customHeight="1" x14ac:dyDescent="0.3">
      <c r="C951" s="39"/>
    </row>
    <row r="952" spans="3:3" ht="15.75" customHeight="1" x14ac:dyDescent="0.3">
      <c r="C952" s="39"/>
    </row>
    <row r="953" spans="3:3" ht="15.75" customHeight="1" x14ac:dyDescent="0.3">
      <c r="C953" s="39"/>
    </row>
    <row r="954" spans="3:3" ht="15.75" customHeight="1" x14ac:dyDescent="0.3">
      <c r="C954" s="39"/>
    </row>
    <row r="955" spans="3:3" ht="15.75" customHeight="1" x14ac:dyDescent="0.3">
      <c r="C955" s="39"/>
    </row>
    <row r="956" spans="3:3" ht="15.75" customHeight="1" x14ac:dyDescent="0.3">
      <c r="C956" s="39"/>
    </row>
    <row r="957" spans="3:3" ht="15.75" customHeight="1" x14ac:dyDescent="0.3">
      <c r="C957" s="39"/>
    </row>
    <row r="958" spans="3:3" ht="15.75" customHeight="1" x14ac:dyDescent="0.3">
      <c r="C958" s="39"/>
    </row>
    <row r="959" spans="3:3" ht="15.75" customHeight="1" x14ac:dyDescent="0.3">
      <c r="C959" s="39"/>
    </row>
    <row r="960" spans="3:3" ht="15.75" customHeight="1" x14ac:dyDescent="0.3">
      <c r="C960" s="39"/>
    </row>
    <row r="961" spans="3:3" ht="15.75" customHeight="1" x14ac:dyDescent="0.3">
      <c r="C961" s="39"/>
    </row>
    <row r="962" spans="3:3" ht="15.75" customHeight="1" x14ac:dyDescent="0.3">
      <c r="C962" s="39"/>
    </row>
    <row r="963" spans="3:3" ht="15.75" customHeight="1" x14ac:dyDescent="0.3">
      <c r="C963" s="39"/>
    </row>
    <row r="964" spans="3:3" ht="15.75" customHeight="1" x14ac:dyDescent="0.3">
      <c r="C964" s="39"/>
    </row>
    <row r="965" spans="3:3" ht="15.75" customHeight="1" x14ac:dyDescent="0.3">
      <c r="C965" s="39"/>
    </row>
    <row r="966" spans="3:3" ht="15.75" customHeight="1" x14ac:dyDescent="0.3">
      <c r="C966" s="39"/>
    </row>
    <row r="967" spans="3:3" ht="15.75" customHeight="1" x14ac:dyDescent="0.3">
      <c r="C967" s="39"/>
    </row>
    <row r="968" spans="3:3" ht="15.75" customHeight="1" x14ac:dyDescent="0.3">
      <c r="C968" s="39"/>
    </row>
    <row r="969" spans="3:3" ht="15.75" customHeight="1" x14ac:dyDescent="0.3">
      <c r="C969" s="39"/>
    </row>
    <row r="970" spans="3:3" ht="15.75" customHeight="1" x14ac:dyDescent="0.3">
      <c r="C970" s="39"/>
    </row>
    <row r="971" spans="3:3" ht="15.75" customHeight="1" x14ac:dyDescent="0.3">
      <c r="C971" s="39"/>
    </row>
    <row r="972" spans="3:3" ht="15.75" customHeight="1" x14ac:dyDescent="0.3">
      <c r="C972" s="39"/>
    </row>
    <row r="973" spans="3:3" ht="15.75" customHeight="1" x14ac:dyDescent="0.3">
      <c r="C973" s="39"/>
    </row>
    <row r="974" spans="3:3" ht="15.75" customHeight="1" x14ac:dyDescent="0.3">
      <c r="C974" s="39"/>
    </row>
    <row r="975" spans="3:3" ht="15.75" customHeight="1" x14ac:dyDescent="0.3">
      <c r="C975" s="39"/>
    </row>
    <row r="976" spans="3:3" ht="15.75" customHeight="1" x14ac:dyDescent="0.3">
      <c r="C976" s="39"/>
    </row>
    <row r="977" spans="3:3" ht="15.75" customHeight="1" x14ac:dyDescent="0.3">
      <c r="C977" s="39"/>
    </row>
    <row r="978" spans="3:3" ht="15.75" customHeight="1" x14ac:dyDescent="0.3">
      <c r="C978" s="39"/>
    </row>
    <row r="979" spans="3:3" ht="15.75" customHeight="1" x14ac:dyDescent="0.3">
      <c r="C979" s="39"/>
    </row>
    <row r="980" spans="3:3" ht="15.75" customHeight="1" x14ac:dyDescent="0.3">
      <c r="C980" s="39"/>
    </row>
    <row r="981" spans="3:3" ht="15.75" customHeight="1" x14ac:dyDescent="0.3">
      <c r="C981" s="39"/>
    </row>
    <row r="982" spans="3:3" ht="15.75" customHeight="1" x14ac:dyDescent="0.3">
      <c r="C982" s="39"/>
    </row>
    <row r="983" spans="3:3" ht="15.75" customHeight="1" x14ac:dyDescent="0.3">
      <c r="C983" s="39"/>
    </row>
    <row r="984" spans="3:3" ht="15.75" customHeight="1" x14ac:dyDescent="0.3">
      <c r="C984" s="39"/>
    </row>
    <row r="985" spans="3:3" ht="15.75" customHeight="1" x14ac:dyDescent="0.3">
      <c r="C985" s="39"/>
    </row>
    <row r="986" spans="3:3" ht="15.75" customHeight="1" x14ac:dyDescent="0.3">
      <c r="C986" s="39"/>
    </row>
    <row r="987" spans="3:3" ht="15.75" customHeight="1" x14ac:dyDescent="0.3">
      <c r="C987" s="39"/>
    </row>
    <row r="988" spans="3:3" ht="15.75" customHeight="1" x14ac:dyDescent="0.3">
      <c r="C988" s="39"/>
    </row>
    <row r="989" spans="3:3" ht="15.75" customHeight="1" x14ac:dyDescent="0.3">
      <c r="C989" s="39"/>
    </row>
    <row r="990" spans="3:3" ht="15.75" customHeight="1" x14ac:dyDescent="0.3">
      <c r="C990" s="39"/>
    </row>
    <row r="991" spans="3:3" ht="15.75" customHeight="1" x14ac:dyDescent="0.3">
      <c r="C991" s="39"/>
    </row>
    <row r="992" spans="3:3" ht="15.75" customHeight="1" x14ac:dyDescent="0.3">
      <c r="C992" s="39"/>
    </row>
    <row r="993" spans="3:3" ht="15.75" customHeight="1" x14ac:dyDescent="0.3">
      <c r="C993" s="39"/>
    </row>
    <row r="994" spans="3:3" ht="15.75" customHeight="1" x14ac:dyDescent="0.3">
      <c r="C994" s="39"/>
    </row>
    <row r="995" spans="3:3" ht="15.75" customHeight="1" x14ac:dyDescent="0.3">
      <c r="C995" s="39"/>
    </row>
    <row r="996" spans="3:3" ht="15.75" customHeight="1" x14ac:dyDescent="0.3">
      <c r="C996" s="39"/>
    </row>
    <row r="997" spans="3:3" ht="15.75" customHeight="1" x14ac:dyDescent="0.3">
      <c r="C997" s="39"/>
    </row>
    <row r="998" spans="3:3" ht="15.75" customHeight="1" x14ac:dyDescent="0.3">
      <c r="C998" s="39"/>
    </row>
    <row r="999" spans="3:3" ht="15.75" customHeight="1" x14ac:dyDescent="0.3">
      <c r="C999" s="39"/>
    </row>
    <row r="1000" spans="3:3" ht="15.75" customHeight="1" x14ac:dyDescent="0.3">
      <c r="C1000" s="39"/>
    </row>
    <row r="1001" spans="3:3" ht="15.75" customHeight="1" x14ac:dyDescent="0.3">
      <c r="C1001" s="39"/>
    </row>
    <row r="1002" spans="3:3" ht="15.75" customHeight="1" x14ac:dyDescent="0.3">
      <c r="C1002" s="39"/>
    </row>
    <row r="1003" spans="3:3" ht="15.75" customHeight="1" x14ac:dyDescent="0.3">
      <c r="C1003" s="39"/>
    </row>
  </sheetData>
  <pageMargins left="0.7" right="0.7" top="0.75" bottom="0.75" header="0" footer="0"/>
  <pageSetup paperSize="9" orientation="portrait"/>
  <headerFooter>
    <oddFooter>&amp;L000000Open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xSplit="4" ySplit="6" topLeftCell="E31" activePane="bottomRight" state="frozen"/>
      <selection pane="topRight" activeCell="E1" sqref="E1"/>
      <selection pane="bottomLeft" activeCell="A7" sqref="A7"/>
      <selection pane="bottomRight" activeCell="C44" sqref="C44"/>
    </sheetView>
  </sheetViews>
  <sheetFormatPr defaultColWidth="14.44140625" defaultRowHeight="15" customHeight="1" x14ac:dyDescent="0.3"/>
  <cols>
    <col min="1" max="1" width="8.88671875" customWidth="1"/>
    <col min="2" max="2" width="10.6640625" customWidth="1"/>
    <col min="3" max="3" width="52.21875" customWidth="1"/>
    <col min="4" max="4" width="9.44140625" customWidth="1"/>
    <col min="5" max="5" width="13.109375" style="148" customWidth="1"/>
    <col min="6" max="6" width="4" customWidth="1"/>
    <col min="7" max="7" width="3.88671875" customWidth="1"/>
    <col min="8" max="8" width="4.33203125" customWidth="1"/>
    <col min="9" max="9" width="3.6640625" customWidth="1"/>
    <col min="10" max="10" width="4.44140625" customWidth="1"/>
    <col min="11" max="13" width="4" customWidth="1"/>
    <col min="14" max="15" width="3.88671875" customWidth="1"/>
    <col min="16" max="16" width="4.33203125" customWidth="1"/>
    <col min="17" max="17" width="4.109375" customWidth="1"/>
    <col min="18" max="18" width="6.6640625" customWidth="1"/>
    <col min="19" max="19" width="13.33203125" customWidth="1"/>
    <col min="20" max="21" width="8.88671875" customWidth="1"/>
    <col min="22" max="22" width="11.44140625" customWidth="1"/>
    <col min="23" max="26" width="8.88671875" customWidth="1"/>
  </cols>
  <sheetData>
    <row r="1" spans="1:24" ht="14.4" x14ac:dyDescent="0.3">
      <c r="B1" s="39"/>
      <c r="D1" s="39"/>
    </row>
    <row r="2" spans="1:24" ht="21" x14ac:dyDescent="0.4">
      <c r="A2" s="376" t="s">
        <v>686</v>
      </c>
      <c r="B2" s="377"/>
      <c r="C2" s="377"/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</row>
    <row r="3" spans="1:24" ht="21" x14ac:dyDescent="0.4">
      <c r="A3" s="376" t="s">
        <v>687</v>
      </c>
      <c r="B3" s="377"/>
      <c r="C3" s="41">
        <f>E143+R143</f>
        <v>12560</v>
      </c>
      <c r="D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U3" s="20" t="e">
        <f>#REF!</f>
        <v>#REF!</v>
      </c>
      <c r="V3" s="42" t="e">
        <f>U3-C3</f>
        <v>#REF!</v>
      </c>
      <c r="X3" s="20">
        <v>4360</v>
      </c>
    </row>
    <row r="4" spans="1:24" ht="14.4" x14ac:dyDescent="0.3">
      <c r="B4" s="39"/>
      <c r="D4" s="39"/>
      <c r="X4" s="20">
        <v>408</v>
      </c>
    </row>
    <row r="5" spans="1:24" ht="14.4" x14ac:dyDescent="0.3">
      <c r="A5" s="378" t="s">
        <v>3</v>
      </c>
      <c r="B5" s="380" t="s">
        <v>688</v>
      </c>
      <c r="C5" s="378" t="s">
        <v>689</v>
      </c>
      <c r="D5" s="380" t="s">
        <v>690</v>
      </c>
      <c r="E5" s="378" t="s">
        <v>691</v>
      </c>
      <c r="F5" s="382" t="s">
        <v>692</v>
      </c>
      <c r="G5" s="383"/>
      <c r="H5" s="383"/>
      <c r="I5" s="383"/>
      <c r="J5" s="383"/>
      <c r="K5" s="383"/>
      <c r="L5" s="383"/>
      <c r="M5" s="383"/>
      <c r="N5" s="383"/>
      <c r="O5" s="383"/>
      <c r="P5" s="383"/>
      <c r="Q5" s="383"/>
      <c r="R5" s="384"/>
    </row>
    <row r="6" spans="1:24" ht="14.4" x14ac:dyDescent="0.3">
      <c r="A6" s="379"/>
      <c r="B6" s="379"/>
      <c r="C6" s="379"/>
      <c r="D6" s="379"/>
      <c r="E6" s="381"/>
      <c r="F6" s="43" t="s">
        <v>693</v>
      </c>
      <c r="G6" s="43" t="s">
        <v>694</v>
      </c>
      <c r="H6" s="43" t="s">
        <v>695</v>
      </c>
      <c r="I6" s="43" t="s">
        <v>696</v>
      </c>
      <c r="J6" s="43" t="s">
        <v>697</v>
      </c>
      <c r="K6" s="43" t="s">
        <v>698</v>
      </c>
      <c r="L6" s="43" t="s">
        <v>699</v>
      </c>
      <c r="M6" s="43" t="s">
        <v>700</v>
      </c>
      <c r="N6" s="43" t="s">
        <v>701</v>
      </c>
      <c r="O6" s="43" t="s">
        <v>702</v>
      </c>
      <c r="P6" s="43" t="s">
        <v>703</v>
      </c>
      <c r="Q6" s="43" t="s">
        <v>704</v>
      </c>
      <c r="R6" s="43" t="s">
        <v>705</v>
      </c>
      <c r="X6" s="20">
        <f>X3+X4+X5</f>
        <v>4768</v>
      </c>
    </row>
    <row r="7" spans="1:24" ht="14.4" x14ac:dyDescent="0.3">
      <c r="A7" s="44">
        <v>1</v>
      </c>
      <c r="B7" s="45" t="s">
        <v>636</v>
      </c>
      <c r="C7" s="46" t="s">
        <v>638</v>
      </c>
      <c r="D7" s="47" t="s">
        <v>706</v>
      </c>
      <c r="E7" s="120">
        <v>20</v>
      </c>
      <c r="F7" s="44">
        <v>10</v>
      </c>
      <c r="G7" s="44">
        <v>10</v>
      </c>
      <c r="H7" s="44">
        <v>10</v>
      </c>
      <c r="I7" s="44">
        <v>10</v>
      </c>
      <c r="J7" s="44">
        <v>10</v>
      </c>
      <c r="K7" s="44">
        <v>10</v>
      </c>
      <c r="L7" s="44">
        <v>10</v>
      </c>
      <c r="M7" s="44">
        <v>10</v>
      </c>
      <c r="N7" s="44">
        <v>10</v>
      </c>
      <c r="O7" s="44">
        <v>10</v>
      </c>
      <c r="P7" s="44">
        <v>10</v>
      </c>
      <c r="Q7" s="44">
        <v>10</v>
      </c>
      <c r="R7" s="44">
        <f t="shared" ref="R7:R86" si="0">SUM(F7:Q7)</f>
        <v>120</v>
      </c>
      <c r="T7" s="20">
        <f t="shared" ref="T7:T139" si="1">IF(R7=120,(R7+E7),0)</f>
        <v>140</v>
      </c>
      <c r="U7" s="20" t="s">
        <v>707</v>
      </c>
      <c r="X7" s="20">
        <v>276.8</v>
      </c>
    </row>
    <row r="8" spans="1:24" ht="14.4" x14ac:dyDescent="0.3">
      <c r="A8" s="44">
        <v>2</v>
      </c>
      <c r="B8" s="45" t="s">
        <v>455</v>
      </c>
      <c r="C8" s="48" t="s">
        <v>708</v>
      </c>
      <c r="D8" s="47" t="s">
        <v>709</v>
      </c>
      <c r="E8" s="120">
        <v>20</v>
      </c>
      <c r="F8" s="44">
        <v>10</v>
      </c>
      <c r="G8" s="44">
        <v>10</v>
      </c>
      <c r="H8" s="44">
        <v>10</v>
      </c>
      <c r="I8" s="44">
        <v>10</v>
      </c>
      <c r="J8" s="44">
        <v>10</v>
      </c>
      <c r="K8" s="44">
        <v>10</v>
      </c>
      <c r="L8" s="44">
        <v>10</v>
      </c>
      <c r="M8" s="44">
        <v>10</v>
      </c>
      <c r="N8" s="44">
        <v>10</v>
      </c>
      <c r="O8" s="44">
        <v>10</v>
      </c>
      <c r="P8" s="44">
        <v>10</v>
      </c>
      <c r="Q8" s="44">
        <v>10</v>
      </c>
      <c r="R8" s="44">
        <f t="shared" si="0"/>
        <v>120</v>
      </c>
      <c r="T8" s="20">
        <f t="shared" si="1"/>
        <v>140</v>
      </c>
      <c r="U8" s="20" t="s">
        <v>710</v>
      </c>
      <c r="X8" s="20">
        <f>X6-X7</f>
        <v>4491.2</v>
      </c>
    </row>
    <row r="9" spans="1:24" ht="14.4" x14ac:dyDescent="0.3">
      <c r="A9" s="44">
        <v>3</v>
      </c>
      <c r="B9" s="47" t="s">
        <v>103</v>
      </c>
      <c r="C9" s="48" t="s">
        <v>105</v>
      </c>
      <c r="D9" s="47" t="s">
        <v>711</v>
      </c>
      <c r="E9" s="120">
        <v>20</v>
      </c>
      <c r="F9" s="44">
        <v>10</v>
      </c>
      <c r="G9" s="44">
        <v>10</v>
      </c>
      <c r="H9" s="44">
        <v>10</v>
      </c>
      <c r="I9" s="44">
        <v>10</v>
      </c>
      <c r="J9" s="44">
        <v>10</v>
      </c>
      <c r="K9" s="44">
        <v>10</v>
      </c>
      <c r="L9" s="44">
        <v>10</v>
      </c>
      <c r="M9" s="44">
        <v>10</v>
      </c>
      <c r="N9" s="44">
        <v>10</v>
      </c>
      <c r="O9" s="44">
        <v>10</v>
      </c>
      <c r="P9" s="44">
        <v>10</v>
      </c>
      <c r="Q9" s="44">
        <v>10</v>
      </c>
      <c r="R9" s="44">
        <f t="shared" si="0"/>
        <v>120</v>
      </c>
      <c r="T9" s="20">
        <f t="shared" si="1"/>
        <v>140</v>
      </c>
      <c r="U9" s="20" t="s">
        <v>707</v>
      </c>
    </row>
    <row r="10" spans="1:24" ht="14.4" x14ac:dyDescent="0.3">
      <c r="A10" s="44">
        <v>4</v>
      </c>
      <c r="B10" s="47" t="s">
        <v>283</v>
      </c>
      <c r="C10" s="48" t="s">
        <v>712</v>
      </c>
      <c r="D10" s="47" t="s">
        <v>713</v>
      </c>
      <c r="E10" s="120">
        <v>20</v>
      </c>
      <c r="F10" s="44">
        <v>10</v>
      </c>
      <c r="G10" s="44">
        <v>10</v>
      </c>
      <c r="H10" s="44">
        <v>10</v>
      </c>
      <c r="I10" s="44">
        <v>10</v>
      </c>
      <c r="J10" s="44">
        <v>10</v>
      </c>
      <c r="K10" s="44">
        <v>10</v>
      </c>
      <c r="L10" s="44">
        <v>10</v>
      </c>
      <c r="M10" s="44">
        <v>10</v>
      </c>
      <c r="N10" s="44">
        <v>10</v>
      </c>
      <c r="O10" s="44">
        <v>10</v>
      </c>
      <c r="P10" s="44">
        <v>10</v>
      </c>
      <c r="Q10" s="44">
        <v>10</v>
      </c>
      <c r="R10" s="49">
        <f t="shared" si="0"/>
        <v>120</v>
      </c>
      <c r="T10" s="20">
        <f t="shared" si="1"/>
        <v>140</v>
      </c>
      <c r="U10" s="20" t="s">
        <v>707</v>
      </c>
      <c r="V10" s="20" t="s">
        <v>714</v>
      </c>
    </row>
    <row r="11" spans="1:24" ht="14.4" x14ac:dyDescent="0.3">
      <c r="A11" s="44">
        <v>5</v>
      </c>
      <c r="B11" s="47" t="s">
        <v>39</v>
      </c>
      <c r="C11" s="46" t="s">
        <v>715</v>
      </c>
      <c r="D11" s="47" t="s">
        <v>716</v>
      </c>
      <c r="E11" s="120">
        <v>20</v>
      </c>
      <c r="F11" s="44">
        <v>10</v>
      </c>
      <c r="G11" s="44">
        <v>10</v>
      </c>
      <c r="H11" s="44">
        <v>10</v>
      </c>
      <c r="I11" s="44">
        <v>10</v>
      </c>
      <c r="J11" s="44">
        <v>10</v>
      </c>
      <c r="K11" s="44">
        <v>10</v>
      </c>
      <c r="L11" s="44">
        <v>10</v>
      </c>
      <c r="M11" s="44">
        <v>10</v>
      </c>
      <c r="N11" s="44">
        <v>10</v>
      </c>
      <c r="O11" s="44">
        <v>10</v>
      </c>
      <c r="P11" s="44">
        <v>10</v>
      </c>
      <c r="Q11" s="44">
        <v>10</v>
      </c>
      <c r="R11" s="44">
        <f t="shared" si="0"/>
        <v>120</v>
      </c>
      <c r="T11" s="20">
        <f t="shared" si="1"/>
        <v>140</v>
      </c>
      <c r="U11" s="20" t="s">
        <v>710</v>
      </c>
    </row>
    <row r="12" spans="1:24" ht="14.4" x14ac:dyDescent="0.3">
      <c r="A12" s="44">
        <v>6</v>
      </c>
      <c r="B12" s="47" t="s">
        <v>200</v>
      </c>
      <c r="C12" s="50" t="s">
        <v>717</v>
      </c>
      <c r="D12" s="47" t="s">
        <v>718</v>
      </c>
      <c r="E12" s="120">
        <v>20</v>
      </c>
      <c r="F12" s="44">
        <v>10</v>
      </c>
      <c r="G12" s="44">
        <v>10</v>
      </c>
      <c r="H12" s="44">
        <v>10</v>
      </c>
      <c r="I12" s="44">
        <v>10</v>
      </c>
      <c r="J12" s="44">
        <v>10</v>
      </c>
      <c r="K12" s="44">
        <v>10</v>
      </c>
      <c r="L12" s="44">
        <v>10</v>
      </c>
      <c r="M12" s="44">
        <v>10</v>
      </c>
      <c r="N12" s="44">
        <v>10</v>
      </c>
      <c r="O12" s="44">
        <v>10</v>
      </c>
      <c r="P12" s="44">
        <v>10</v>
      </c>
      <c r="Q12" s="44">
        <v>10</v>
      </c>
      <c r="R12" s="44">
        <f t="shared" si="0"/>
        <v>120</v>
      </c>
      <c r="T12" s="20">
        <f t="shared" si="1"/>
        <v>140</v>
      </c>
      <c r="U12" s="20" t="s">
        <v>719</v>
      </c>
    </row>
    <row r="13" spans="1:24" ht="14.4" x14ac:dyDescent="0.3">
      <c r="A13" s="44">
        <v>7</v>
      </c>
      <c r="B13" s="47" t="s">
        <v>402</v>
      </c>
      <c r="C13" s="48" t="s">
        <v>720</v>
      </c>
      <c r="D13" s="47" t="s">
        <v>721</v>
      </c>
      <c r="E13" s="120">
        <v>20</v>
      </c>
      <c r="F13" s="44">
        <v>10</v>
      </c>
      <c r="G13" s="44">
        <v>10</v>
      </c>
      <c r="H13" s="44">
        <v>10</v>
      </c>
      <c r="I13" s="44">
        <v>10</v>
      </c>
      <c r="J13" s="44">
        <v>10</v>
      </c>
      <c r="K13" s="44">
        <v>10</v>
      </c>
      <c r="L13" s="44">
        <v>10</v>
      </c>
      <c r="M13" s="44">
        <v>10</v>
      </c>
      <c r="N13" s="44">
        <v>10</v>
      </c>
      <c r="O13" s="44">
        <v>10</v>
      </c>
      <c r="P13" s="44">
        <v>10</v>
      </c>
      <c r="Q13" s="44">
        <v>10</v>
      </c>
      <c r="R13" s="44">
        <f t="shared" si="0"/>
        <v>120</v>
      </c>
      <c r="T13" s="20">
        <f t="shared" si="1"/>
        <v>140</v>
      </c>
      <c r="U13" s="20" t="s">
        <v>707</v>
      </c>
    </row>
    <row r="14" spans="1:24" ht="14.4" x14ac:dyDescent="0.3">
      <c r="A14" s="44">
        <v>8</v>
      </c>
      <c r="B14" s="47" t="s">
        <v>54</v>
      </c>
      <c r="C14" s="51" t="s">
        <v>56</v>
      </c>
      <c r="D14" s="47" t="s">
        <v>722</v>
      </c>
      <c r="E14" s="120">
        <v>20</v>
      </c>
      <c r="F14" s="44">
        <v>10</v>
      </c>
      <c r="G14" s="44">
        <v>10</v>
      </c>
      <c r="H14" s="44">
        <v>10</v>
      </c>
      <c r="I14" s="44">
        <v>10</v>
      </c>
      <c r="J14" s="44">
        <v>10</v>
      </c>
      <c r="K14" s="44">
        <v>10</v>
      </c>
      <c r="L14" s="44">
        <v>10</v>
      </c>
      <c r="M14" s="44">
        <v>10</v>
      </c>
      <c r="N14" s="44">
        <v>10</v>
      </c>
      <c r="O14" s="44">
        <v>10</v>
      </c>
      <c r="P14" s="44">
        <v>10</v>
      </c>
      <c r="Q14" s="44">
        <v>10</v>
      </c>
      <c r="R14" s="49">
        <f t="shared" si="0"/>
        <v>120</v>
      </c>
      <c r="T14" s="20">
        <f t="shared" si="1"/>
        <v>140</v>
      </c>
      <c r="U14" s="20" t="s">
        <v>707</v>
      </c>
    </row>
    <row r="15" spans="1:24" ht="14.4" x14ac:dyDescent="0.3">
      <c r="A15" s="44">
        <v>9</v>
      </c>
      <c r="B15" s="47" t="s">
        <v>423</v>
      </c>
      <c r="C15" s="50" t="s">
        <v>425</v>
      </c>
      <c r="D15" s="47" t="s">
        <v>723</v>
      </c>
      <c r="E15" s="120">
        <v>20</v>
      </c>
      <c r="F15" s="44">
        <v>10</v>
      </c>
      <c r="G15" s="44">
        <v>10</v>
      </c>
      <c r="H15" s="44">
        <v>10</v>
      </c>
      <c r="I15" s="44">
        <v>10</v>
      </c>
      <c r="J15" s="44">
        <v>10</v>
      </c>
      <c r="K15" s="44">
        <v>10</v>
      </c>
      <c r="L15" s="44">
        <v>10</v>
      </c>
      <c r="M15" s="44">
        <v>10</v>
      </c>
      <c r="N15" s="44">
        <v>10</v>
      </c>
      <c r="O15" s="44">
        <v>10</v>
      </c>
      <c r="P15" s="44">
        <v>10</v>
      </c>
      <c r="Q15" s="44">
        <v>10</v>
      </c>
      <c r="R15" s="44">
        <f t="shared" si="0"/>
        <v>120</v>
      </c>
      <c r="T15" s="20">
        <f t="shared" si="1"/>
        <v>140</v>
      </c>
      <c r="U15" s="20" t="s">
        <v>719</v>
      </c>
    </row>
    <row r="16" spans="1:24" ht="14.4" x14ac:dyDescent="0.3">
      <c r="A16" s="44">
        <v>10</v>
      </c>
      <c r="B16" s="47" t="s">
        <v>430</v>
      </c>
      <c r="C16" s="46" t="s">
        <v>432</v>
      </c>
      <c r="D16" s="47" t="s">
        <v>724</v>
      </c>
      <c r="E16" s="120">
        <v>20</v>
      </c>
      <c r="F16" s="44">
        <v>10</v>
      </c>
      <c r="G16" s="44">
        <v>10</v>
      </c>
      <c r="H16" s="44">
        <v>10</v>
      </c>
      <c r="I16" s="44">
        <v>10</v>
      </c>
      <c r="J16" s="44">
        <v>10</v>
      </c>
      <c r="K16" s="44">
        <v>10</v>
      </c>
      <c r="L16" s="44">
        <v>10</v>
      </c>
      <c r="M16" s="44">
        <v>10</v>
      </c>
      <c r="N16" s="44">
        <v>10</v>
      </c>
      <c r="O16" s="44">
        <v>10</v>
      </c>
      <c r="P16" s="44">
        <v>10</v>
      </c>
      <c r="Q16" s="44">
        <v>10</v>
      </c>
      <c r="R16" s="44">
        <f t="shared" si="0"/>
        <v>120</v>
      </c>
      <c r="T16" s="20">
        <f t="shared" si="1"/>
        <v>140</v>
      </c>
      <c r="U16" s="20" t="s">
        <v>710</v>
      </c>
    </row>
    <row r="17" spans="1:22" ht="14.4" x14ac:dyDescent="0.3">
      <c r="A17" s="44">
        <v>11</v>
      </c>
      <c r="B17" s="47" t="s">
        <v>72</v>
      </c>
      <c r="C17" s="46" t="s">
        <v>74</v>
      </c>
      <c r="D17" s="47" t="s">
        <v>725</v>
      </c>
      <c r="E17" s="120">
        <v>20</v>
      </c>
      <c r="F17" s="44">
        <v>10</v>
      </c>
      <c r="G17" s="44">
        <v>10</v>
      </c>
      <c r="H17" s="44">
        <v>10</v>
      </c>
      <c r="I17" s="44">
        <v>10</v>
      </c>
      <c r="J17" s="44">
        <v>10</v>
      </c>
      <c r="K17" s="44">
        <v>10</v>
      </c>
      <c r="L17" s="44">
        <v>10</v>
      </c>
      <c r="M17" s="44">
        <v>10</v>
      </c>
      <c r="N17" s="44">
        <v>10</v>
      </c>
      <c r="O17" s="44">
        <v>10</v>
      </c>
      <c r="P17" s="44">
        <v>10</v>
      </c>
      <c r="Q17" s="44">
        <v>10</v>
      </c>
      <c r="R17" s="44">
        <f t="shared" si="0"/>
        <v>120</v>
      </c>
      <c r="T17" s="20">
        <f t="shared" si="1"/>
        <v>140</v>
      </c>
      <c r="U17" s="20" t="s">
        <v>707</v>
      </c>
    </row>
    <row r="18" spans="1:22" ht="14.4" x14ac:dyDescent="0.3">
      <c r="A18" s="44">
        <v>12</v>
      </c>
      <c r="B18" s="47" t="s">
        <v>335</v>
      </c>
      <c r="C18" s="46" t="s">
        <v>337</v>
      </c>
      <c r="D18" s="47" t="s">
        <v>726</v>
      </c>
      <c r="E18" s="120">
        <v>20</v>
      </c>
      <c r="F18" s="44">
        <v>10</v>
      </c>
      <c r="G18" s="44">
        <v>10</v>
      </c>
      <c r="H18" s="44">
        <v>10</v>
      </c>
      <c r="I18" s="44">
        <v>10</v>
      </c>
      <c r="J18" s="44">
        <v>10</v>
      </c>
      <c r="K18" s="44">
        <v>10</v>
      </c>
      <c r="L18" s="44">
        <v>10</v>
      </c>
      <c r="M18" s="44">
        <v>10</v>
      </c>
      <c r="N18" s="44">
        <v>10</v>
      </c>
      <c r="O18" s="44">
        <v>10</v>
      </c>
      <c r="P18" s="44">
        <v>10</v>
      </c>
      <c r="Q18" s="44">
        <v>10</v>
      </c>
      <c r="R18" s="44">
        <f t="shared" si="0"/>
        <v>120</v>
      </c>
      <c r="T18" s="20">
        <f t="shared" si="1"/>
        <v>140</v>
      </c>
      <c r="U18" s="20" t="s">
        <v>707</v>
      </c>
    </row>
    <row r="19" spans="1:22" ht="14.4" x14ac:dyDescent="0.3">
      <c r="A19" s="44">
        <v>13</v>
      </c>
      <c r="B19" s="47" t="s">
        <v>519</v>
      </c>
      <c r="C19" s="48" t="s">
        <v>521</v>
      </c>
      <c r="D19" s="47" t="s">
        <v>727</v>
      </c>
      <c r="E19" s="120">
        <v>20</v>
      </c>
      <c r="F19" s="44">
        <v>10</v>
      </c>
      <c r="G19" s="44">
        <v>10</v>
      </c>
      <c r="H19" s="44">
        <v>10</v>
      </c>
      <c r="I19" s="44">
        <v>10</v>
      </c>
      <c r="J19" s="44">
        <v>10</v>
      </c>
      <c r="K19" s="44">
        <v>10</v>
      </c>
      <c r="L19" s="44">
        <v>10</v>
      </c>
      <c r="M19" s="44">
        <v>10</v>
      </c>
      <c r="N19" s="44">
        <v>10</v>
      </c>
      <c r="O19" s="44">
        <v>10</v>
      </c>
      <c r="P19" s="44">
        <v>10</v>
      </c>
      <c r="Q19" s="44">
        <v>10</v>
      </c>
      <c r="R19" s="49">
        <f t="shared" si="0"/>
        <v>120</v>
      </c>
      <c r="T19" s="20">
        <f t="shared" si="1"/>
        <v>140</v>
      </c>
      <c r="U19" s="20" t="s">
        <v>707</v>
      </c>
      <c r="V19" s="20" t="s">
        <v>728</v>
      </c>
    </row>
    <row r="20" spans="1:22" ht="14.4" x14ac:dyDescent="0.3">
      <c r="A20" s="44">
        <v>14</v>
      </c>
      <c r="B20" s="47" t="s">
        <v>372</v>
      </c>
      <c r="C20" s="51" t="s">
        <v>374</v>
      </c>
      <c r="D20" s="47" t="s">
        <v>729</v>
      </c>
      <c r="E20" s="120">
        <v>20</v>
      </c>
      <c r="F20" s="44">
        <v>10</v>
      </c>
      <c r="G20" s="44">
        <v>10</v>
      </c>
      <c r="H20" s="44">
        <v>10</v>
      </c>
      <c r="I20" s="44">
        <v>10</v>
      </c>
      <c r="J20" s="44">
        <v>10</v>
      </c>
      <c r="K20" s="44">
        <v>10</v>
      </c>
      <c r="L20" s="44">
        <v>10</v>
      </c>
      <c r="M20" s="44">
        <v>10</v>
      </c>
      <c r="N20" s="44">
        <v>10</v>
      </c>
      <c r="O20" s="44">
        <v>10</v>
      </c>
      <c r="P20" s="44">
        <v>10</v>
      </c>
      <c r="Q20" s="44">
        <v>10</v>
      </c>
      <c r="R20" s="44">
        <f t="shared" si="0"/>
        <v>120</v>
      </c>
      <c r="T20" s="20">
        <f t="shared" si="1"/>
        <v>140</v>
      </c>
      <c r="U20" s="20" t="s">
        <v>719</v>
      </c>
    </row>
    <row r="21" spans="1:22" ht="15.75" customHeight="1" x14ac:dyDescent="0.3">
      <c r="A21" s="44">
        <v>15</v>
      </c>
      <c r="B21" s="47" t="s">
        <v>79</v>
      </c>
      <c r="C21" s="48" t="s">
        <v>81</v>
      </c>
      <c r="D21" s="47" t="s">
        <v>730</v>
      </c>
      <c r="E21" s="120">
        <v>20</v>
      </c>
      <c r="F21" s="44">
        <v>10</v>
      </c>
      <c r="G21" s="44">
        <v>10</v>
      </c>
      <c r="H21" s="44">
        <v>10</v>
      </c>
      <c r="I21" s="44">
        <v>10</v>
      </c>
      <c r="J21" s="44">
        <v>10</v>
      </c>
      <c r="K21" s="44">
        <v>10</v>
      </c>
      <c r="L21" s="44">
        <v>10</v>
      </c>
      <c r="M21" s="44">
        <v>10</v>
      </c>
      <c r="N21" s="44">
        <v>10</v>
      </c>
      <c r="O21" s="44">
        <v>10</v>
      </c>
      <c r="P21" s="44">
        <v>10</v>
      </c>
      <c r="Q21" s="44">
        <v>10</v>
      </c>
      <c r="R21" s="44">
        <f t="shared" si="0"/>
        <v>120</v>
      </c>
      <c r="T21" s="20">
        <f t="shared" si="1"/>
        <v>140</v>
      </c>
      <c r="U21" s="20" t="s">
        <v>707</v>
      </c>
    </row>
    <row r="22" spans="1:22" ht="15.75" customHeight="1" x14ac:dyDescent="0.3">
      <c r="A22" s="44">
        <v>16</v>
      </c>
      <c r="B22" s="47" t="s">
        <v>232</v>
      </c>
      <c r="C22" s="51" t="s">
        <v>234</v>
      </c>
      <c r="D22" s="47" t="s">
        <v>731</v>
      </c>
      <c r="E22" s="120">
        <v>20</v>
      </c>
      <c r="F22" s="44">
        <v>10</v>
      </c>
      <c r="G22" s="44">
        <v>10</v>
      </c>
      <c r="H22" s="44">
        <v>10</v>
      </c>
      <c r="I22" s="44">
        <v>10</v>
      </c>
      <c r="J22" s="44">
        <v>10</v>
      </c>
      <c r="K22" s="44">
        <v>10</v>
      </c>
      <c r="L22" s="44">
        <v>10</v>
      </c>
      <c r="M22" s="44">
        <v>10</v>
      </c>
      <c r="N22" s="44">
        <v>10</v>
      </c>
      <c r="O22" s="44">
        <v>10</v>
      </c>
      <c r="P22" s="44">
        <v>10</v>
      </c>
      <c r="Q22" s="44">
        <v>10</v>
      </c>
      <c r="R22" s="44">
        <f t="shared" si="0"/>
        <v>120</v>
      </c>
      <c r="T22" s="20">
        <f t="shared" si="1"/>
        <v>140</v>
      </c>
      <c r="U22" s="20" t="s">
        <v>719</v>
      </c>
    </row>
    <row r="23" spans="1:22" ht="15.75" customHeight="1" x14ac:dyDescent="0.3">
      <c r="A23" s="44">
        <v>17</v>
      </c>
      <c r="B23" s="47" t="s">
        <v>503</v>
      </c>
      <c r="C23" s="46" t="s">
        <v>505</v>
      </c>
      <c r="D23" s="47" t="s">
        <v>732</v>
      </c>
      <c r="E23" s="120">
        <v>20</v>
      </c>
      <c r="F23" s="44">
        <v>10</v>
      </c>
      <c r="G23" s="44">
        <v>10</v>
      </c>
      <c r="H23" s="44">
        <v>10</v>
      </c>
      <c r="I23" s="44">
        <v>10</v>
      </c>
      <c r="J23" s="44">
        <v>10</v>
      </c>
      <c r="K23" s="44">
        <v>10</v>
      </c>
      <c r="L23" s="44">
        <v>10</v>
      </c>
      <c r="M23" s="44">
        <v>10</v>
      </c>
      <c r="N23" s="44">
        <v>10</v>
      </c>
      <c r="O23" s="44">
        <v>10</v>
      </c>
      <c r="P23" s="44">
        <v>10</v>
      </c>
      <c r="Q23" s="44">
        <v>10</v>
      </c>
      <c r="R23" s="44">
        <f t="shared" si="0"/>
        <v>120</v>
      </c>
      <c r="T23" s="20">
        <f t="shared" si="1"/>
        <v>140</v>
      </c>
      <c r="U23" s="20" t="s">
        <v>710</v>
      </c>
    </row>
    <row r="24" spans="1:22" ht="15.75" customHeight="1" x14ac:dyDescent="0.3">
      <c r="A24" s="44">
        <v>18</v>
      </c>
      <c r="B24" s="47" t="s">
        <v>556</v>
      </c>
      <c r="C24" s="50" t="s">
        <v>733</v>
      </c>
      <c r="D24" s="47" t="s">
        <v>734</v>
      </c>
      <c r="E24" s="120">
        <v>20</v>
      </c>
      <c r="F24" s="44">
        <v>10</v>
      </c>
      <c r="G24" s="44">
        <v>10</v>
      </c>
      <c r="H24" s="44">
        <v>10</v>
      </c>
      <c r="I24" s="44">
        <v>10</v>
      </c>
      <c r="J24" s="44">
        <v>10</v>
      </c>
      <c r="K24" s="44">
        <v>10</v>
      </c>
      <c r="L24" s="44">
        <v>10</v>
      </c>
      <c r="M24" s="44">
        <v>10</v>
      </c>
      <c r="N24" s="44">
        <v>10</v>
      </c>
      <c r="O24" s="44">
        <v>10</v>
      </c>
      <c r="P24" s="44">
        <v>10</v>
      </c>
      <c r="Q24" s="44">
        <v>10</v>
      </c>
      <c r="R24" s="44">
        <f t="shared" si="0"/>
        <v>120</v>
      </c>
      <c r="T24" s="20">
        <f t="shared" si="1"/>
        <v>140</v>
      </c>
      <c r="U24" s="20" t="s">
        <v>719</v>
      </c>
    </row>
    <row r="25" spans="1:22" ht="15.75" customHeight="1" x14ac:dyDescent="0.3">
      <c r="A25" s="44">
        <v>19</v>
      </c>
      <c r="B25" s="47" t="s">
        <v>595</v>
      </c>
      <c r="C25" s="48" t="s">
        <v>735</v>
      </c>
      <c r="D25" s="47" t="s">
        <v>736</v>
      </c>
      <c r="E25" s="120">
        <v>20</v>
      </c>
      <c r="F25" s="44">
        <v>10</v>
      </c>
      <c r="G25" s="44">
        <v>10</v>
      </c>
      <c r="H25" s="44">
        <v>10</v>
      </c>
      <c r="I25" s="44">
        <v>10</v>
      </c>
      <c r="J25" s="44">
        <v>10</v>
      </c>
      <c r="K25" s="44">
        <v>10</v>
      </c>
      <c r="L25" s="44">
        <v>10</v>
      </c>
      <c r="M25" s="44">
        <v>10</v>
      </c>
      <c r="N25" s="44">
        <v>10</v>
      </c>
      <c r="O25" s="44">
        <v>10</v>
      </c>
      <c r="P25" s="44">
        <v>10</v>
      </c>
      <c r="Q25" s="44">
        <v>10</v>
      </c>
      <c r="R25" s="44">
        <f t="shared" si="0"/>
        <v>120</v>
      </c>
      <c r="T25" s="20">
        <f t="shared" si="1"/>
        <v>140</v>
      </c>
      <c r="U25" s="20" t="s">
        <v>707</v>
      </c>
    </row>
    <row r="26" spans="1:22" ht="15.75" customHeight="1" x14ac:dyDescent="0.3">
      <c r="A26" s="44">
        <v>20</v>
      </c>
      <c r="B26" s="47" t="s">
        <v>524</v>
      </c>
      <c r="C26" s="46" t="s">
        <v>526</v>
      </c>
      <c r="D26" s="47" t="s">
        <v>737</v>
      </c>
      <c r="E26" s="120">
        <v>20</v>
      </c>
      <c r="F26" s="44">
        <v>10</v>
      </c>
      <c r="G26" s="44">
        <v>10</v>
      </c>
      <c r="H26" s="44">
        <v>10</v>
      </c>
      <c r="I26" s="44">
        <v>10</v>
      </c>
      <c r="J26" s="44">
        <v>10</v>
      </c>
      <c r="K26" s="44">
        <v>10</v>
      </c>
      <c r="L26" s="44">
        <v>10</v>
      </c>
      <c r="M26" s="44">
        <v>10</v>
      </c>
      <c r="N26" s="44">
        <v>10</v>
      </c>
      <c r="O26" s="44">
        <v>10</v>
      </c>
      <c r="P26" s="44">
        <v>10</v>
      </c>
      <c r="Q26" s="44">
        <v>10</v>
      </c>
      <c r="R26" s="44">
        <f t="shared" si="0"/>
        <v>120</v>
      </c>
      <c r="T26" s="20">
        <f t="shared" si="1"/>
        <v>140</v>
      </c>
      <c r="U26" s="20" t="s">
        <v>710</v>
      </c>
    </row>
    <row r="27" spans="1:22" ht="15.75" customHeight="1" x14ac:dyDescent="0.3">
      <c r="A27" s="44">
        <v>21</v>
      </c>
      <c r="B27" s="47" t="s">
        <v>532</v>
      </c>
      <c r="C27" s="46" t="s">
        <v>534</v>
      </c>
      <c r="D27" s="47" t="s">
        <v>738</v>
      </c>
      <c r="E27" s="120">
        <v>20</v>
      </c>
      <c r="F27" s="44">
        <v>10</v>
      </c>
      <c r="G27" s="44">
        <v>10</v>
      </c>
      <c r="H27" s="44">
        <v>10</v>
      </c>
      <c r="I27" s="44">
        <v>10</v>
      </c>
      <c r="J27" s="44">
        <v>10</v>
      </c>
      <c r="K27" s="44">
        <v>10</v>
      </c>
      <c r="L27" s="44">
        <v>10</v>
      </c>
      <c r="M27" s="44">
        <v>10</v>
      </c>
      <c r="N27" s="44">
        <v>10</v>
      </c>
      <c r="O27" s="44">
        <v>10</v>
      </c>
      <c r="P27" s="44">
        <v>10</v>
      </c>
      <c r="Q27" s="44">
        <v>10</v>
      </c>
      <c r="R27" s="44">
        <f t="shared" si="0"/>
        <v>120</v>
      </c>
      <c r="T27" s="20">
        <f t="shared" si="1"/>
        <v>140</v>
      </c>
      <c r="U27" s="20" t="s">
        <v>707</v>
      </c>
    </row>
    <row r="28" spans="1:22" ht="15.75" customHeight="1" x14ac:dyDescent="0.3">
      <c r="A28" s="44">
        <v>22</v>
      </c>
      <c r="B28" s="47" t="s">
        <v>653</v>
      </c>
      <c r="C28" s="46" t="s">
        <v>656</v>
      </c>
      <c r="D28" s="47" t="s">
        <v>739</v>
      </c>
      <c r="E28" s="120">
        <v>20</v>
      </c>
      <c r="F28" s="44">
        <v>10</v>
      </c>
      <c r="G28" s="44">
        <v>10</v>
      </c>
      <c r="H28" s="44">
        <v>10</v>
      </c>
      <c r="I28" s="44">
        <v>10</v>
      </c>
      <c r="J28" s="44">
        <v>10</v>
      </c>
      <c r="K28" s="44">
        <v>10</v>
      </c>
      <c r="L28" s="44">
        <v>10</v>
      </c>
      <c r="M28" s="44">
        <v>10</v>
      </c>
      <c r="N28" s="44">
        <v>10</v>
      </c>
      <c r="O28" s="44">
        <v>10</v>
      </c>
      <c r="P28" s="44">
        <v>10</v>
      </c>
      <c r="Q28" s="44">
        <v>10</v>
      </c>
      <c r="R28" s="44">
        <f t="shared" si="0"/>
        <v>120</v>
      </c>
      <c r="T28" s="20">
        <f t="shared" si="1"/>
        <v>140</v>
      </c>
      <c r="U28" s="20" t="s">
        <v>707</v>
      </c>
    </row>
    <row r="29" spans="1:22" ht="15.75" customHeight="1" x14ac:dyDescent="0.3">
      <c r="A29" s="44">
        <v>23</v>
      </c>
      <c r="B29" s="47" t="s">
        <v>678</v>
      </c>
      <c r="C29" s="51" t="s">
        <v>681</v>
      </c>
      <c r="D29" s="47" t="s">
        <v>740</v>
      </c>
      <c r="E29" s="120">
        <v>20</v>
      </c>
      <c r="F29" s="44">
        <v>10</v>
      </c>
      <c r="G29" s="44">
        <v>10</v>
      </c>
      <c r="H29" s="44">
        <v>10</v>
      </c>
      <c r="I29" s="44">
        <v>10</v>
      </c>
      <c r="J29" s="44">
        <v>10</v>
      </c>
      <c r="K29" s="44">
        <v>10</v>
      </c>
      <c r="L29" s="44">
        <v>10</v>
      </c>
      <c r="M29" s="44">
        <v>10</v>
      </c>
      <c r="N29" s="44">
        <v>10</v>
      </c>
      <c r="O29" s="44">
        <v>10</v>
      </c>
      <c r="P29" s="44">
        <v>10</v>
      </c>
      <c r="Q29" s="44">
        <v>10</v>
      </c>
      <c r="R29" s="44">
        <f t="shared" si="0"/>
        <v>120</v>
      </c>
      <c r="T29" s="20">
        <f t="shared" si="1"/>
        <v>140</v>
      </c>
      <c r="U29" s="20" t="s">
        <v>719</v>
      </c>
    </row>
    <row r="30" spans="1:22" ht="15.75" customHeight="1" x14ac:dyDescent="0.3">
      <c r="A30" s="44">
        <v>24</v>
      </c>
      <c r="B30" s="47" t="s">
        <v>356</v>
      </c>
      <c r="C30" s="50" t="s">
        <v>741</v>
      </c>
      <c r="D30" s="47" t="s">
        <v>742</v>
      </c>
      <c r="E30" s="120">
        <v>20</v>
      </c>
      <c r="F30" s="44">
        <v>10</v>
      </c>
      <c r="G30" s="44">
        <v>10</v>
      </c>
      <c r="H30" s="44">
        <v>10</v>
      </c>
      <c r="I30" s="44">
        <v>10</v>
      </c>
      <c r="J30" s="44">
        <v>10</v>
      </c>
      <c r="K30" s="44">
        <v>10</v>
      </c>
      <c r="L30" s="44">
        <v>10</v>
      </c>
      <c r="M30" s="44">
        <v>10</v>
      </c>
      <c r="N30" s="44">
        <v>10</v>
      </c>
      <c r="O30" s="44">
        <v>10</v>
      </c>
      <c r="P30" s="44">
        <v>10</v>
      </c>
      <c r="Q30" s="44">
        <v>10</v>
      </c>
      <c r="R30" s="44">
        <f t="shared" si="0"/>
        <v>120</v>
      </c>
      <c r="T30" s="20">
        <f t="shared" si="1"/>
        <v>140</v>
      </c>
      <c r="U30" s="20" t="s">
        <v>719</v>
      </c>
    </row>
    <row r="31" spans="1:22" ht="15.75" customHeight="1" x14ac:dyDescent="0.3">
      <c r="A31" s="44">
        <v>25</v>
      </c>
      <c r="B31" s="47" t="s">
        <v>462</v>
      </c>
      <c r="C31" s="50" t="s">
        <v>743</v>
      </c>
      <c r="D31" s="47" t="s">
        <v>744</v>
      </c>
      <c r="E31" s="120">
        <v>20</v>
      </c>
      <c r="F31" s="44">
        <v>10</v>
      </c>
      <c r="G31" s="44">
        <v>10</v>
      </c>
      <c r="H31" s="44">
        <v>10</v>
      </c>
      <c r="I31" s="44">
        <v>10</v>
      </c>
      <c r="J31" s="44">
        <v>10</v>
      </c>
      <c r="K31" s="44">
        <v>10</v>
      </c>
      <c r="L31" s="44">
        <v>10</v>
      </c>
      <c r="M31" s="44">
        <v>10</v>
      </c>
      <c r="N31" s="44">
        <v>10</v>
      </c>
      <c r="O31" s="44">
        <v>10</v>
      </c>
      <c r="P31" s="44">
        <v>10</v>
      </c>
      <c r="Q31" s="44">
        <v>10</v>
      </c>
      <c r="R31" s="44">
        <f t="shared" si="0"/>
        <v>120</v>
      </c>
      <c r="T31" s="20">
        <f t="shared" si="1"/>
        <v>140</v>
      </c>
      <c r="U31" s="20" t="s">
        <v>719</v>
      </c>
    </row>
    <row r="32" spans="1:22" ht="15.75" customHeight="1" x14ac:dyDescent="0.3">
      <c r="A32" s="44">
        <v>26</v>
      </c>
      <c r="B32" s="47" t="s">
        <v>224</v>
      </c>
      <c r="C32" s="48" t="s">
        <v>745</v>
      </c>
      <c r="D32" s="47" t="s">
        <v>746</v>
      </c>
      <c r="E32" s="120">
        <v>20</v>
      </c>
      <c r="F32" s="44">
        <v>10</v>
      </c>
      <c r="G32" s="44">
        <v>10</v>
      </c>
      <c r="H32" s="44">
        <v>10</v>
      </c>
      <c r="I32" s="44">
        <v>10</v>
      </c>
      <c r="J32" s="44">
        <v>10</v>
      </c>
      <c r="K32" s="44">
        <v>10</v>
      </c>
      <c r="L32" s="44">
        <v>10</v>
      </c>
      <c r="M32" s="44">
        <v>10</v>
      </c>
      <c r="N32" s="44">
        <v>10</v>
      </c>
      <c r="O32" s="44">
        <v>10</v>
      </c>
      <c r="P32" s="44">
        <v>10</v>
      </c>
      <c r="Q32" s="44">
        <v>10</v>
      </c>
      <c r="R32" s="44">
        <f t="shared" si="0"/>
        <v>120</v>
      </c>
      <c r="T32" s="20">
        <f t="shared" si="1"/>
        <v>140</v>
      </c>
      <c r="U32" s="20" t="s">
        <v>707</v>
      </c>
    </row>
    <row r="33" spans="1:26" ht="15.75" customHeight="1" x14ac:dyDescent="0.3">
      <c r="A33" s="44">
        <v>27</v>
      </c>
      <c r="B33" s="47" t="s">
        <v>328</v>
      </c>
      <c r="C33" s="50" t="s">
        <v>329</v>
      </c>
      <c r="D33" s="47" t="s">
        <v>747</v>
      </c>
      <c r="E33" s="120">
        <v>20</v>
      </c>
      <c r="F33" s="44">
        <v>10</v>
      </c>
      <c r="G33" s="44">
        <v>10</v>
      </c>
      <c r="H33" s="44">
        <v>10</v>
      </c>
      <c r="I33" s="44">
        <v>10</v>
      </c>
      <c r="J33" s="44">
        <v>10</v>
      </c>
      <c r="K33" s="44">
        <v>10</v>
      </c>
      <c r="L33" s="44">
        <v>10</v>
      </c>
      <c r="M33" s="44">
        <v>10</v>
      </c>
      <c r="N33" s="44">
        <v>10</v>
      </c>
      <c r="O33" s="44">
        <v>10</v>
      </c>
      <c r="P33" s="44">
        <v>10</v>
      </c>
      <c r="Q33" s="44">
        <v>10</v>
      </c>
      <c r="R33" s="44">
        <f t="shared" si="0"/>
        <v>120</v>
      </c>
      <c r="T33" s="20">
        <f t="shared" si="1"/>
        <v>140</v>
      </c>
      <c r="U33" s="20" t="s">
        <v>719</v>
      </c>
    </row>
    <row r="34" spans="1:26" ht="15.75" customHeight="1" x14ac:dyDescent="0.3">
      <c r="A34" s="44">
        <v>28</v>
      </c>
      <c r="B34" s="47" t="s">
        <v>172</v>
      </c>
      <c r="C34" s="50" t="s">
        <v>174</v>
      </c>
      <c r="D34" s="47" t="s">
        <v>748</v>
      </c>
      <c r="E34" s="120">
        <v>20</v>
      </c>
      <c r="F34" s="44">
        <v>10</v>
      </c>
      <c r="G34" s="44">
        <v>10</v>
      </c>
      <c r="H34" s="44">
        <v>10</v>
      </c>
      <c r="I34" s="44">
        <v>10</v>
      </c>
      <c r="J34" s="44">
        <v>10</v>
      </c>
      <c r="K34" s="44">
        <v>10</v>
      </c>
      <c r="L34" s="44">
        <v>10</v>
      </c>
      <c r="M34" s="44">
        <v>10</v>
      </c>
      <c r="N34" s="44">
        <v>10</v>
      </c>
      <c r="O34" s="44">
        <v>10</v>
      </c>
      <c r="P34" s="44">
        <v>10</v>
      </c>
      <c r="Q34" s="44">
        <v>10</v>
      </c>
      <c r="R34" s="44">
        <f t="shared" si="0"/>
        <v>120</v>
      </c>
      <c r="T34" s="20">
        <f t="shared" si="1"/>
        <v>140</v>
      </c>
      <c r="U34" s="20" t="s">
        <v>719</v>
      </c>
    </row>
    <row r="35" spans="1:26" ht="15.75" customHeight="1" x14ac:dyDescent="0.3">
      <c r="A35" s="44">
        <v>29</v>
      </c>
      <c r="B35" s="47" t="s">
        <v>348</v>
      </c>
      <c r="C35" s="51" t="s">
        <v>749</v>
      </c>
      <c r="D35" s="47" t="s">
        <v>750</v>
      </c>
      <c r="E35" s="120">
        <v>20</v>
      </c>
      <c r="F35" s="44">
        <v>10</v>
      </c>
      <c r="G35" s="44">
        <v>10</v>
      </c>
      <c r="H35" s="44">
        <v>10</v>
      </c>
      <c r="I35" s="44">
        <v>10</v>
      </c>
      <c r="J35" s="44">
        <v>10</v>
      </c>
      <c r="K35" s="44">
        <v>10</v>
      </c>
      <c r="L35" s="44">
        <v>10</v>
      </c>
      <c r="M35" s="44">
        <v>10</v>
      </c>
      <c r="N35" s="44">
        <v>10</v>
      </c>
      <c r="O35" s="44">
        <v>10</v>
      </c>
      <c r="P35" s="44">
        <v>10</v>
      </c>
      <c r="Q35" s="44">
        <v>10</v>
      </c>
      <c r="R35" s="44">
        <f t="shared" si="0"/>
        <v>120</v>
      </c>
      <c r="T35" s="20">
        <f t="shared" si="1"/>
        <v>140</v>
      </c>
      <c r="U35" s="20" t="s">
        <v>719</v>
      </c>
    </row>
    <row r="36" spans="1:26" ht="15.75" customHeight="1" x14ac:dyDescent="0.3">
      <c r="A36" s="44">
        <v>30</v>
      </c>
      <c r="B36" s="47" t="s">
        <v>85</v>
      </c>
      <c r="C36" s="50" t="s">
        <v>751</v>
      </c>
      <c r="D36" s="47" t="s">
        <v>752</v>
      </c>
      <c r="E36" s="120">
        <v>20</v>
      </c>
      <c r="F36" s="44">
        <v>10</v>
      </c>
      <c r="G36" s="44">
        <v>10</v>
      </c>
      <c r="H36" s="44">
        <v>10</v>
      </c>
      <c r="I36" s="44">
        <v>10</v>
      </c>
      <c r="J36" s="44">
        <v>10</v>
      </c>
      <c r="K36" s="44">
        <v>10</v>
      </c>
      <c r="L36" s="44">
        <v>10</v>
      </c>
      <c r="M36" s="44">
        <v>10</v>
      </c>
      <c r="N36" s="44">
        <v>10</v>
      </c>
      <c r="O36" s="44">
        <v>10</v>
      </c>
      <c r="P36" s="44">
        <v>10</v>
      </c>
      <c r="Q36" s="44">
        <v>10</v>
      </c>
      <c r="R36" s="44">
        <f t="shared" si="0"/>
        <v>120</v>
      </c>
      <c r="T36" s="20">
        <f t="shared" si="1"/>
        <v>140</v>
      </c>
      <c r="U36" s="20" t="s">
        <v>719</v>
      </c>
    </row>
    <row r="37" spans="1:26" ht="15.75" customHeight="1" x14ac:dyDescent="0.3">
      <c r="A37" s="44">
        <v>31</v>
      </c>
      <c r="B37" s="47" t="s">
        <v>577</v>
      </c>
      <c r="C37" s="51" t="s">
        <v>579</v>
      </c>
      <c r="D37" s="47" t="s">
        <v>753</v>
      </c>
      <c r="E37" s="120">
        <v>20</v>
      </c>
      <c r="F37" s="44">
        <v>10</v>
      </c>
      <c r="G37" s="44">
        <v>10</v>
      </c>
      <c r="H37" s="44">
        <v>10</v>
      </c>
      <c r="I37" s="44">
        <v>10</v>
      </c>
      <c r="J37" s="44">
        <v>10</v>
      </c>
      <c r="K37" s="44">
        <v>10</v>
      </c>
      <c r="L37" s="44">
        <v>10</v>
      </c>
      <c r="M37" s="44">
        <v>10</v>
      </c>
      <c r="N37" s="44">
        <v>10</v>
      </c>
      <c r="O37" s="44">
        <v>10</v>
      </c>
      <c r="P37" s="44">
        <v>10</v>
      </c>
      <c r="Q37" s="44">
        <v>10</v>
      </c>
      <c r="R37" s="44">
        <f t="shared" si="0"/>
        <v>120</v>
      </c>
      <c r="T37" s="20">
        <f t="shared" si="1"/>
        <v>140</v>
      </c>
      <c r="U37" s="20" t="s">
        <v>719</v>
      </c>
    </row>
    <row r="38" spans="1:26" ht="15.75" customHeight="1" x14ac:dyDescent="0.3">
      <c r="A38" s="44">
        <v>32</v>
      </c>
      <c r="B38" s="47" t="s">
        <v>31</v>
      </c>
      <c r="C38" s="52" t="s">
        <v>754</v>
      </c>
      <c r="D38" s="47" t="s">
        <v>755</v>
      </c>
      <c r="E38" s="120">
        <v>20</v>
      </c>
      <c r="F38" s="44">
        <v>10</v>
      </c>
      <c r="G38" s="44">
        <v>10</v>
      </c>
      <c r="H38" s="44">
        <v>10</v>
      </c>
      <c r="I38" s="44">
        <v>10</v>
      </c>
      <c r="J38" s="44">
        <v>10</v>
      </c>
      <c r="K38" s="44">
        <v>10</v>
      </c>
      <c r="L38" s="44">
        <v>10</v>
      </c>
      <c r="M38" s="44">
        <v>10</v>
      </c>
      <c r="N38" s="44">
        <v>10</v>
      </c>
      <c r="O38" s="44">
        <v>10</v>
      </c>
      <c r="P38" s="44">
        <v>10</v>
      </c>
      <c r="Q38" s="44">
        <v>10</v>
      </c>
      <c r="R38" s="44">
        <f t="shared" si="0"/>
        <v>120</v>
      </c>
      <c r="T38" s="20">
        <f t="shared" si="1"/>
        <v>140</v>
      </c>
      <c r="U38" s="20" t="s">
        <v>719</v>
      </c>
    </row>
    <row r="39" spans="1:26" ht="15.75" customHeight="1" x14ac:dyDescent="0.3">
      <c r="A39" s="44">
        <v>33</v>
      </c>
      <c r="B39" s="47" t="s">
        <v>117</v>
      </c>
      <c r="C39" s="48" t="s">
        <v>119</v>
      </c>
      <c r="D39" s="47" t="s">
        <v>756</v>
      </c>
      <c r="E39" s="120">
        <v>20</v>
      </c>
      <c r="F39" s="44">
        <v>10</v>
      </c>
      <c r="G39" s="44">
        <v>10</v>
      </c>
      <c r="H39" s="44">
        <v>10</v>
      </c>
      <c r="I39" s="44">
        <v>10</v>
      </c>
      <c r="J39" s="44">
        <v>10</v>
      </c>
      <c r="K39" s="44">
        <v>10</v>
      </c>
      <c r="L39" s="44">
        <v>10</v>
      </c>
      <c r="M39" s="44">
        <v>10</v>
      </c>
      <c r="N39" s="44">
        <v>10</v>
      </c>
      <c r="O39" s="44">
        <v>10</v>
      </c>
      <c r="P39" s="44">
        <v>10</v>
      </c>
      <c r="Q39" s="44">
        <v>10</v>
      </c>
      <c r="R39" s="44">
        <f t="shared" si="0"/>
        <v>120</v>
      </c>
      <c r="T39" s="20">
        <f t="shared" si="1"/>
        <v>140</v>
      </c>
      <c r="U39" s="20" t="s">
        <v>707</v>
      </c>
    </row>
    <row r="40" spans="1:26" ht="15.75" customHeight="1" x14ac:dyDescent="0.3">
      <c r="A40" s="44">
        <v>34</v>
      </c>
      <c r="B40" s="47" t="s">
        <v>444</v>
      </c>
      <c r="C40" s="48" t="s">
        <v>446</v>
      </c>
      <c r="D40" s="47" t="s">
        <v>757</v>
      </c>
      <c r="E40" s="120">
        <v>20</v>
      </c>
      <c r="F40" s="44">
        <v>10</v>
      </c>
      <c r="G40" s="44">
        <v>10</v>
      </c>
      <c r="H40" s="44">
        <v>10</v>
      </c>
      <c r="I40" s="44">
        <v>10</v>
      </c>
      <c r="J40" s="44">
        <v>10</v>
      </c>
      <c r="K40" s="44">
        <v>10</v>
      </c>
      <c r="L40" s="44">
        <v>10</v>
      </c>
      <c r="M40" s="44">
        <v>10</v>
      </c>
      <c r="N40" s="44">
        <v>10</v>
      </c>
      <c r="O40" s="44">
        <v>10</v>
      </c>
      <c r="P40" s="44">
        <v>10</v>
      </c>
      <c r="Q40" s="44">
        <v>10</v>
      </c>
      <c r="R40" s="44">
        <f t="shared" si="0"/>
        <v>120</v>
      </c>
      <c r="T40" s="20">
        <f t="shared" si="1"/>
        <v>140</v>
      </c>
      <c r="U40" s="20" t="s">
        <v>707</v>
      </c>
    </row>
    <row r="41" spans="1:26" ht="15.75" customHeight="1" x14ac:dyDescent="0.3">
      <c r="A41" s="44">
        <v>35</v>
      </c>
      <c r="B41" s="47" t="s">
        <v>265</v>
      </c>
      <c r="C41" s="51" t="s">
        <v>267</v>
      </c>
      <c r="D41" s="47" t="s">
        <v>758</v>
      </c>
      <c r="E41" s="120">
        <v>20</v>
      </c>
      <c r="F41" s="44">
        <v>10</v>
      </c>
      <c r="G41" s="44">
        <v>10</v>
      </c>
      <c r="H41" s="44">
        <v>10</v>
      </c>
      <c r="I41" s="44">
        <v>10</v>
      </c>
      <c r="J41" s="44">
        <v>10</v>
      </c>
      <c r="K41" s="44">
        <v>10</v>
      </c>
      <c r="L41" s="44">
        <v>10</v>
      </c>
      <c r="M41" s="44">
        <v>10</v>
      </c>
      <c r="N41" s="44">
        <v>10</v>
      </c>
      <c r="O41" s="44">
        <v>10</v>
      </c>
      <c r="P41" s="44">
        <v>10</v>
      </c>
      <c r="Q41" s="44">
        <v>10</v>
      </c>
      <c r="R41" s="44">
        <f t="shared" si="0"/>
        <v>120</v>
      </c>
      <c r="T41" s="20">
        <f t="shared" si="1"/>
        <v>140</v>
      </c>
    </row>
    <row r="42" spans="1:26" ht="15.75" customHeight="1" x14ac:dyDescent="0.3">
      <c r="A42" s="44">
        <v>36</v>
      </c>
      <c r="B42" s="47" t="s">
        <v>63</v>
      </c>
      <c r="C42" s="51" t="s">
        <v>65</v>
      </c>
      <c r="D42" s="47" t="s">
        <v>759</v>
      </c>
      <c r="E42" s="120">
        <v>20</v>
      </c>
      <c r="F42" s="44">
        <v>10</v>
      </c>
      <c r="G42" s="44">
        <v>10</v>
      </c>
      <c r="H42" s="44">
        <v>10</v>
      </c>
      <c r="I42" s="44">
        <v>10</v>
      </c>
      <c r="J42" s="44">
        <v>10</v>
      </c>
      <c r="K42" s="44">
        <v>10</v>
      </c>
      <c r="L42" s="44">
        <v>10</v>
      </c>
      <c r="M42" s="44">
        <v>10</v>
      </c>
      <c r="N42" s="44">
        <v>10</v>
      </c>
      <c r="O42" s="44">
        <v>10</v>
      </c>
      <c r="P42" s="44">
        <v>10</v>
      </c>
      <c r="Q42" s="44">
        <v>10</v>
      </c>
      <c r="R42" s="49">
        <f t="shared" si="0"/>
        <v>120</v>
      </c>
      <c r="T42" s="20">
        <f t="shared" si="1"/>
        <v>140</v>
      </c>
      <c r="U42" s="20" t="s">
        <v>760</v>
      </c>
    </row>
    <row r="43" spans="1:26" ht="15.75" customHeight="1" x14ac:dyDescent="0.3">
      <c r="A43" s="44">
        <v>37</v>
      </c>
      <c r="B43" s="47" t="s">
        <v>47</v>
      </c>
      <c r="C43" s="51" t="s">
        <v>1230</v>
      </c>
      <c r="D43" s="47" t="s">
        <v>761</v>
      </c>
      <c r="E43" s="120">
        <v>20</v>
      </c>
      <c r="F43" s="44">
        <v>10</v>
      </c>
      <c r="G43" s="44">
        <v>10</v>
      </c>
      <c r="H43" s="44">
        <v>10</v>
      </c>
      <c r="I43" s="44">
        <v>10</v>
      </c>
      <c r="J43" s="44">
        <v>10</v>
      </c>
      <c r="K43" s="44">
        <v>10</v>
      </c>
      <c r="L43" s="44">
        <v>10</v>
      </c>
      <c r="M43" s="44">
        <v>10</v>
      </c>
      <c r="N43" s="44">
        <v>10</v>
      </c>
      <c r="O43" s="44">
        <v>10</v>
      </c>
      <c r="P43" s="44">
        <v>10</v>
      </c>
      <c r="Q43" s="44">
        <v>10</v>
      </c>
      <c r="R43" s="44">
        <f t="shared" si="0"/>
        <v>120</v>
      </c>
      <c r="T43" s="20">
        <f t="shared" si="1"/>
        <v>140</v>
      </c>
    </row>
    <row r="44" spans="1:26" ht="15.75" customHeight="1" x14ac:dyDescent="0.3">
      <c r="A44" s="44">
        <v>38</v>
      </c>
      <c r="B44" s="47" t="s">
        <v>380</v>
      </c>
      <c r="C44" s="51" t="s">
        <v>382</v>
      </c>
      <c r="D44" s="47" t="s">
        <v>762</v>
      </c>
      <c r="E44" s="120">
        <v>20</v>
      </c>
      <c r="F44" s="44">
        <v>10</v>
      </c>
      <c r="G44" s="44">
        <v>10</v>
      </c>
      <c r="H44" s="44">
        <v>10</v>
      </c>
      <c r="I44" s="44">
        <v>10</v>
      </c>
      <c r="J44" s="44">
        <v>10</v>
      </c>
      <c r="K44" s="44">
        <v>10</v>
      </c>
      <c r="L44" s="44">
        <v>10</v>
      </c>
      <c r="M44" s="44">
        <v>10</v>
      </c>
      <c r="N44" s="44">
        <v>10</v>
      </c>
      <c r="O44" s="44">
        <v>10</v>
      </c>
      <c r="P44" s="44">
        <v>10</v>
      </c>
      <c r="Q44" s="44">
        <v>10</v>
      </c>
      <c r="R44" s="44">
        <f t="shared" si="0"/>
        <v>120</v>
      </c>
      <c r="T44" s="20">
        <f t="shared" si="1"/>
        <v>140</v>
      </c>
    </row>
    <row r="45" spans="1:26" ht="15.75" customHeight="1" x14ac:dyDescent="0.3">
      <c r="A45" s="44">
        <v>39</v>
      </c>
      <c r="B45" s="47" t="s">
        <v>511</v>
      </c>
      <c r="C45" s="51" t="s">
        <v>513</v>
      </c>
      <c r="D45" s="47" t="s">
        <v>763</v>
      </c>
      <c r="E45" s="120">
        <v>20</v>
      </c>
      <c r="F45" s="44">
        <v>10</v>
      </c>
      <c r="G45" s="44">
        <v>10</v>
      </c>
      <c r="H45" s="44">
        <v>10</v>
      </c>
      <c r="I45" s="44">
        <v>10</v>
      </c>
      <c r="J45" s="44">
        <v>10</v>
      </c>
      <c r="K45" s="44">
        <v>10</v>
      </c>
      <c r="L45" s="44">
        <v>10</v>
      </c>
      <c r="M45" s="44">
        <v>10</v>
      </c>
      <c r="N45" s="44">
        <v>10</v>
      </c>
      <c r="O45" s="44">
        <v>10</v>
      </c>
      <c r="P45" s="44">
        <v>10</v>
      </c>
      <c r="Q45" s="44">
        <v>10</v>
      </c>
      <c r="R45" s="44">
        <f t="shared" si="0"/>
        <v>120</v>
      </c>
      <c r="T45" s="20">
        <f t="shared" si="1"/>
        <v>140</v>
      </c>
    </row>
    <row r="46" spans="1:26" ht="15.75" customHeight="1" x14ac:dyDescent="0.3">
      <c r="A46" s="44">
        <v>40</v>
      </c>
      <c r="B46" s="47" t="s">
        <v>157</v>
      </c>
      <c r="C46" s="46" t="s">
        <v>159</v>
      </c>
      <c r="D46" s="47" t="s">
        <v>764</v>
      </c>
      <c r="E46" s="120">
        <v>20</v>
      </c>
      <c r="F46" s="44">
        <v>10</v>
      </c>
      <c r="G46" s="44">
        <v>10</v>
      </c>
      <c r="H46" s="44">
        <v>10</v>
      </c>
      <c r="I46" s="44">
        <v>10</v>
      </c>
      <c r="J46" s="44">
        <v>10</v>
      </c>
      <c r="K46" s="44">
        <v>10</v>
      </c>
      <c r="L46" s="44">
        <v>10</v>
      </c>
      <c r="M46" s="44">
        <v>10</v>
      </c>
      <c r="N46" s="44">
        <v>10</v>
      </c>
      <c r="O46" s="44">
        <v>10</v>
      </c>
      <c r="P46" s="44">
        <v>10</v>
      </c>
      <c r="Q46" s="44">
        <v>10</v>
      </c>
      <c r="R46" s="44">
        <f t="shared" si="0"/>
        <v>120</v>
      </c>
      <c r="S46" s="53">
        <f>R46+E46</f>
        <v>140</v>
      </c>
      <c r="T46" s="53">
        <f t="shared" si="1"/>
        <v>140</v>
      </c>
      <c r="U46" s="53" t="s">
        <v>707</v>
      </c>
      <c r="V46" s="53"/>
      <c r="W46" s="53"/>
      <c r="X46" s="53"/>
      <c r="Y46" s="53"/>
      <c r="Z46" s="53"/>
    </row>
    <row r="47" spans="1:26" ht="15.75" customHeight="1" x14ac:dyDescent="0.3">
      <c r="A47" s="44">
        <v>41</v>
      </c>
      <c r="B47" s="47" t="s">
        <v>590</v>
      </c>
      <c r="C47" s="48" t="s">
        <v>765</v>
      </c>
      <c r="D47" s="47" t="s">
        <v>766</v>
      </c>
      <c r="E47" s="120">
        <v>20</v>
      </c>
      <c r="F47" s="44">
        <v>10</v>
      </c>
      <c r="G47" s="44">
        <v>10</v>
      </c>
      <c r="H47" s="44">
        <v>10</v>
      </c>
      <c r="I47" s="44">
        <v>10</v>
      </c>
      <c r="J47" s="44">
        <v>10</v>
      </c>
      <c r="K47" s="44">
        <v>10</v>
      </c>
      <c r="L47" s="44">
        <v>10</v>
      </c>
      <c r="M47" s="44">
        <v>10</v>
      </c>
      <c r="N47" s="44">
        <v>10</v>
      </c>
      <c r="O47" s="44">
        <v>10</v>
      </c>
      <c r="P47" s="44">
        <v>10</v>
      </c>
      <c r="Q47" s="44">
        <v>10</v>
      </c>
      <c r="R47" s="44">
        <f t="shared" si="0"/>
        <v>120</v>
      </c>
      <c r="T47" s="20">
        <f t="shared" si="1"/>
        <v>140</v>
      </c>
      <c r="U47" s="20" t="s">
        <v>707</v>
      </c>
    </row>
    <row r="48" spans="1:26" ht="15.75" customHeight="1" x14ac:dyDescent="0.3">
      <c r="A48" s="44">
        <v>42</v>
      </c>
      <c r="B48" s="47" t="s">
        <v>614</v>
      </c>
      <c r="C48" s="50" t="s">
        <v>767</v>
      </c>
      <c r="D48" s="47" t="s">
        <v>768</v>
      </c>
      <c r="E48" s="120">
        <v>20</v>
      </c>
      <c r="F48" s="44">
        <v>10</v>
      </c>
      <c r="G48" s="44">
        <v>10</v>
      </c>
      <c r="H48" s="44">
        <v>10</v>
      </c>
      <c r="I48" s="44">
        <v>10</v>
      </c>
      <c r="J48" s="44">
        <v>10</v>
      </c>
      <c r="K48" s="44">
        <v>10</v>
      </c>
      <c r="L48" s="44">
        <v>10</v>
      </c>
      <c r="M48" s="44">
        <v>10</v>
      </c>
      <c r="N48" s="44">
        <v>10</v>
      </c>
      <c r="O48" s="44">
        <v>10</v>
      </c>
      <c r="P48" s="44">
        <v>10</v>
      </c>
      <c r="Q48" s="44">
        <v>10</v>
      </c>
      <c r="R48" s="44">
        <f t="shared" si="0"/>
        <v>120</v>
      </c>
      <c r="T48" s="20">
        <f t="shared" si="1"/>
        <v>140</v>
      </c>
      <c r="U48" s="20" t="s">
        <v>719</v>
      </c>
    </row>
    <row r="49" spans="1:26" ht="15.75" customHeight="1" x14ac:dyDescent="0.3">
      <c r="A49" s="44">
        <v>43</v>
      </c>
      <c r="B49" s="47" t="s">
        <v>22</v>
      </c>
      <c r="C49" s="48" t="s">
        <v>769</v>
      </c>
      <c r="D49" s="47" t="s">
        <v>770</v>
      </c>
      <c r="E49" s="120">
        <v>20</v>
      </c>
      <c r="F49" s="44">
        <v>10</v>
      </c>
      <c r="G49" s="44">
        <v>10</v>
      </c>
      <c r="H49" s="44">
        <v>10</v>
      </c>
      <c r="I49" s="44">
        <v>10</v>
      </c>
      <c r="J49" s="44">
        <v>10</v>
      </c>
      <c r="K49" s="44">
        <v>10</v>
      </c>
      <c r="L49" s="44">
        <v>10</v>
      </c>
      <c r="M49" s="44">
        <v>10</v>
      </c>
      <c r="N49" s="44">
        <v>10</v>
      </c>
      <c r="O49" s="44">
        <v>10</v>
      </c>
      <c r="P49" s="44">
        <v>10</v>
      </c>
      <c r="Q49" s="44">
        <v>10</v>
      </c>
      <c r="R49" s="44">
        <f t="shared" si="0"/>
        <v>120</v>
      </c>
      <c r="T49" s="20">
        <f t="shared" si="1"/>
        <v>140</v>
      </c>
      <c r="U49" s="20" t="s">
        <v>707</v>
      </c>
    </row>
    <row r="50" spans="1:26" ht="15.75" customHeight="1" x14ac:dyDescent="0.3">
      <c r="A50" s="44">
        <v>44</v>
      </c>
      <c r="B50" s="47" t="s">
        <v>110</v>
      </c>
      <c r="C50" s="50" t="s">
        <v>112</v>
      </c>
      <c r="D50" s="47" t="s">
        <v>771</v>
      </c>
      <c r="E50" s="120">
        <v>20</v>
      </c>
      <c r="F50" s="44">
        <v>10</v>
      </c>
      <c r="G50" s="44">
        <v>10</v>
      </c>
      <c r="H50" s="44">
        <v>10</v>
      </c>
      <c r="I50" s="44">
        <v>10</v>
      </c>
      <c r="J50" s="44">
        <v>10</v>
      </c>
      <c r="K50" s="44">
        <v>10</v>
      </c>
      <c r="L50" s="44">
        <v>10</v>
      </c>
      <c r="M50" s="44">
        <v>10</v>
      </c>
      <c r="N50" s="44">
        <v>10</v>
      </c>
      <c r="O50" s="44">
        <v>10</v>
      </c>
      <c r="P50" s="44">
        <v>10</v>
      </c>
      <c r="Q50" s="44">
        <v>10</v>
      </c>
      <c r="R50" s="44">
        <f t="shared" si="0"/>
        <v>120</v>
      </c>
      <c r="T50" s="20">
        <f t="shared" si="1"/>
        <v>140</v>
      </c>
      <c r="U50" s="20" t="s">
        <v>719</v>
      </c>
    </row>
    <row r="51" spans="1:26" ht="15.75" customHeight="1" x14ac:dyDescent="0.3">
      <c r="A51" s="44">
        <v>45</v>
      </c>
      <c r="B51" s="47" t="s">
        <v>134</v>
      </c>
      <c r="C51" s="54" t="s">
        <v>136</v>
      </c>
      <c r="D51" s="47" t="s">
        <v>772</v>
      </c>
      <c r="E51" s="120">
        <v>20</v>
      </c>
      <c r="F51" s="44">
        <v>10</v>
      </c>
      <c r="G51" s="44">
        <v>10</v>
      </c>
      <c r="H51" s="44">
        <v>10</v>
      </c>
      <c r="I51" s="44">
        <v>10</v>
      </c>
      <c r="J51" s="44">
        <v>10</v>
      </c>
      <c r="K51" s="44">
        <v>10</v>
      </c>
      <c r="L51" s="44">
        <v>10</v>
      </c>
      <c r="M51" s="44">
        <v>10</v>
      </c>
      <c r="N51" s="44">
        <v>10</v>
      </c>
      <c r="O51" s="44">
        <v>10</v>
      </c>
      <c r="P51" s="44">
        <v>10</v>
      </c>
      <c r="Q51" s="44">
        <v>10</v>
      </c>
      <c r="R51" s="44">
        <f t="shared" si="0"/>
        <v>120</v>
      </c>
      <c r="T51" s="20">
        <f t="shared" si="1"/>
        <v>140</v>
      </c>
      <c r="U51" s="20" t="s">
        <v>719</v>
      </c>
    </row>
    <row r="52" spans="1:26" ht="15.75" customHeight="1" x14ac:dyDescent="0.3">
      <c r="A52" s="44">
        <v>46</v>
      </c>
      <c r="B52" s="47" t="s">
        <v>192</v>
      </c>
      <c r="C52" s="48" t="s">
        <v>773</v>
      </c>
      <c r="D52" s="47" t="s">
        <v>774</v>
      </c>
      <c r="E52" s="120">
        <v>20</v>
      </c>
      <c r="F52" s="44">
        <v>10</v>
      </c>
      <c r="G52" s="44">
        <v>10</v>
      </c>
      <c r="H52" s="44">
        <v>10</v>
      </c>
      <c r="I52" s="44">
        <v>10</v>
      </c>
      <c r="J52" s="44">
        <v>10</v>
      </c>
      <c r="K52" s="44">
        <v>10</v>
      </c>
      <c r="L52" s="44">
        <v>10</v>
      </c>
      <c r="M52" s="44">
        <v>10</v>
      </c>
      <c r="N52" s="44">
        <v>10</v>
      </c>
      <c r="O52" s="44">
        <v>10</v>
      </c>
      <c r="P52" s="44">
        <v>10</v>
      </c>
      <c r="Q52" s="44">
        <v>10</v>
      </c>
      <c r="R52" s="44">
        <f t="shared" si="0"/>
        <v>120</v>
      </c>
      <c r="T52" s="20">
        <f t="shared" si="1"/>
        <v>140</v>
      </c>
      <c r="U52" s="20" t="s">
        <v>707</v>
      </c>
    </row>
    <row r="53" spans="1:26" ht="15.75" customHeight="1" x14ac:dyDescent="0.3">
      <c r="A53" s="44">
        <v>47</v>
      </c>
      <c r="B53" s="47" t="s">
        <v>321</v>
      </c>
      <c r="C53" s="55" t="s">
        <v>323</v>
      </c>
      <c r="D53" s="47" t="s">
        <v>775</v>
      </c>
      <c r="E53" s="120">
        <v>20</v>
      </c>
      <c r="F53" s="44">
        <v>10</v>
      </c>
      <c r="G53" s="44">
        <v>10</v>
      </c>
      <c r="H53" s="44">
        <v>10</v>
      </c>
      <c r="I53" s="44">
        <v>10</v>
      </c>
      <c r="J53" s="44">
        <v>10</v>
      </c>
      <c r="K53" s="44">
        <v>10</v>
      </c>
      <c r="L53" s="44">
        <v>10</v>
      </c>
      <c r="M53" s="44">
        <v>10</v>
      </c>
      <c r="N53" s="44">
        <v>10</v>
      </c>
      <c r="O53" s="44">
        <v>10</v>
      </c>
      <c r="P53" s="44">
        <v>10</v>
      </c>
      <c r="Q53" s="44">
        <v>10</v>
      </c>
      <c r="R53" s="44">
        <f t="shared" si="0"/>
        <v>120</v>
      </c>
      <c r="T53" s="20">
        <f t="shared" si="1"/>
        <v>140</v>
      </c>
      <c r="U53" s="20" t="s">
        <v>707</v>
      </c>
    </row>
    <row r="54" spans="1:26" ht="15.75" customHeight="1" x14ac:dyDescent="0.3">
      <c r="A54" s="44">
        <v>48</v>
      </c>
      <c r="B54" s="47" t="s">
        <v>450</v>
      </c>
      <c r="C54" s="46" t="s">
        <v>452</v>
      </c>
      <c r="D54" s="47" t="s">
        <v>776</v>
      </c>
      <c r="E54" s="120">
        <v>20</v>
      </c>
      <c r="F54" s="44">
        <v>10</v>
      </c>
      <c r="G54" s="44">
        <v>10</v>
      </c>
      <c r="H54" s="44">
        <v>10</v>
      </c>
      <c r="I54" s="44">
        <v>10</v>
      </c>
      <c r="J54" s="44">
        <v>10</v>
      </c>
      <c r="K54" s="44">
        <v>10</v>
      </c>
      <c r="L54" s="44">
        <v>10</v>
      </c>
      <c r="M54" s="44">
        <v>10</v>
      </c>
      <c r="N54" s="44">
        <v>10</v>
      </c>
      <c r="O54" s="44">
        <v>10</v>
      </c>
      <c r="P54" s="44">
        <v>10</v>
      </c>
      <c r="Q54" s="44">
        <v>10</v>
      </c>
      <c r="R54" s="44">
        <f t="shared" si="0"/>
        <v>120</v>
      </c>
      <c r="T54" s="20">
        <f t="shared" si="1"/>
        <v>140</v>
      </c>
      <c r="U54" s="20" t="s">
        <v>707</v>
      </c>
    </row>
    <row r="55" spans="1:26" ht="15.75" customHeight="1" x14ac:dyDescent="0.3">
      <c r="A55" s="44">
        <v>49</v>
      </c>
      <c r="B55" s="47" t="s">
        <v>669</v>
      </c>
      <c r="C55" s="14" t="s">
        <v>672</v>
      </c>
      <c r="D55" s="47" t="s">
        <v>777</v>
      </c>
      <c r="E55" s="120">
        <v>20</v>
      </c>
      <c r="F55" s="44">
        <v>10</v>
      </c>
      <c r="G55" s="44">
        <v>10</v>
      </c>
      <c r="H55" s="44">
        <v>10</v>
      </c>
      <c r="I55" s="44">
        <v>10</v>
      </c>
      <c r="J55" s="44">
        <v>10</v>
      </c>
      <c r="K55" s="44">
        <v>10</v>
      </c>
      <c r="L55" s="44">
        <v>10</v>
      </c>
      <c r="M55" s="44">
        <v>10</v>
      </c>
      <c r="N55" s="44">
        <v>10</v>
      </c>
      <c r="O55" s="44">
        <v>10</v>
      </c>
      <c r="P55" s="44">
        <v>10</v>
      </c>
      <c r="Q55" s="44">
        <v>10</v>
      </c>
      <c r="R55" s="44">
        <f t="shared" si="0"/>
        <v>120</v>
      </c>
      <c r="S55" s="53">
        <f>R55+E55</f>
        <v>140</v>
      </c>
      <c r="T55" s="53">
        <f t="shared" si="1"/>
        <v>140</v>
      </c>
      <c r="U55" s="53"/>
      <c r="V55" s="53"/>
      <c r="W55" s="53"/>
      <c r="X55" s="53"/>
      <c r="Y55" s="53"/>
      <c r="Z55" s="53"/>
    </row>
    <row r="56" spans="1:26" ht="15.75" customHeight="1" x14ac:dyDescent="0.3">
      <c r="A56" s="44">
        <v>50</v>
      </c>
      <c r="B56" s="47" t="s">
        <v>257</v>
      </c>
      <c r="C56" s="55" t="s">
        <v>259</v>
      </c>
      <c r="D56" s="47" t="s">
        <v>778</v>
      </c>
      <c r="E56" s="120">
        <v>20</v>
      </c>
      <c r="F56" s="44">
        <v>10</v>
      </c>
      <c r="G56" s="44">
        <v>10</v>
      </c>
      <c r="H56" s="44">
        <v>10</v>
      </c>
      <c r="I56" s="44">
        <v>10</v>
      </c>
      <c r="J56" s="44">
        <v>10</v>
      </c>
      <c r="K56" s="44">
        <v>10</v>
      </c>
      <c r="L56" s="44">
        <v>10</v>
      </c>
      <c r="M56" s="44">
        <v>10</v>
      </c>
      <c r="N56" s="44">
        <v>10</v>
      </c>
      <c r="O56" s="44">
        <v>10</v>
      </c>
      <c r="P56" s="44">
        <v>10</v>
      </c>
      <c r="Q56" s="44">
        <v>10</v>
      </c>
      <c r="R56" s="44">
        <f t="shared" si="0"/>
        <v>120</v>
      </c>
      <c r="T56" s="20">
        <f t="shared" si="1"/>
        <v>140</v>
      </c>
    </row>
    <row r="57" spans="1:26" ht="15.75" customHeight="1" x14ac:dyDescent="0.3">
      <c r="A57" s="44">
        <v>51</v>
      </c>
      <c r="B57" s="47" t="s">
        <v>364</v>
      </c>
      <c r="C57" s="50" t="s">
        <v>366</v>
      </c>
      <c r="D57" s="47" t="s">
        <v>779</v>
      </c>
      <c r="E57" s="120">
        <v>20</v>
      </c>
      <c r="F57" s="44">
        <v>10</v>
      </c>
      <c r="G57" s="44">
        <v>10</v>
      </c>
      <c r="H57" s="44">
        <v>10</v>
      </c>
      <c r="I57" s="44">
        <v>10</v>
      </c>
      <c r="J57" s="44">
        <v>10</v>
      </c>
      <c r="K57" s="44">
        <v>10</v>
      </c>
      <c r="L57" s="44">
        <v>10</v>
      </c>
      <c r="M57" s="44">
        <v>10</v>
      </c>
      <c r="N57" s="44">
        <v>10</v>
      </c>
      <c r="O57" s="44">
        <v>10</v>
      </c>
      <c r="P57" s="44">
        <v>10</v>
      </c>
      <c r="Q57" s="44">
        <v>10</v>
      </c>
      <c r="R57" s="44">
        <f t="shared" si="0"/>
        <v>120</v>
      </c>
      <c r="T57" s="20">
        <f t="shared" si="1"/>
        <v>140</v>
      </c>
    </row>
    <row r="58" spans="1:26" ht="15.75" customHeight="1" x14ac:dyDescent="0.3">
      <c r="A58" s="44">
        <v>52</v>
      </c>
      <c r="B58" s="47" t="s">
        <v>489</v>
      </c>
      <c r="C58" s="51" t="s">
        <v>491</v>
      </c>
      <c r="D58" s="47" t="s">
        <v>780</v>
      </c>
      <c r="E58" s="120">
        <v>20</v>
      </c>
      <c r="F58" s="44">
        <v>10</v>
      </c>
      <c r="G58" s="44">
        <v>10</v>
      </c>
      <c r="H58" s="44">
        <v>10</v>
      </c>
      <c r="I58" s="44">
        <v>10</v>
      </c>
      <c r="J58" s="44">
        <v>10</v>
      </c>
      <c r="K58" s="44">
        <v>10</v>
      </c>
      <c r="L58" s="44">
        <v>10</v>
      </c>
      <c r="M58" s="44">
        <v>10</v>
      </c>
      <c r="N58" s="44">
        <v>10</v>
      </c>
      <c r="O58" s="44">
        <v>10</v>
      </c>
      <c r="P58" s="44">
        <v>10</v>
      </c>
      <c r="Q58" s="44">
        <v>10</v>
      </c>
      <c r="R58" s="44">
        <f t="shared" si="0"/>
        <v>120</v>
      </c>
      <c r="T58" s="20">
        <f t="shared" si="1"/>
        <v>140</v>
      </c>
    </row>
    <row r="59" spans="1:26" ht="15.75" customHeight="1" x14ac:dyDescent="0.3">
      <c r="A59" s="44">
        <v>53</v>
      </c>
      <c r="B59" s="47" t="s">
        <v>126</v>
      </c>
      <c r="C59" s="46" t="s">
        <v>128</v>
      </c>
      <c r="D59" s="47" t="s">
        <v>781</v>
      </c>
      <c r="E59" s="120">
        <v>20</v>
      </c>
      <c r="F59" s="44">
        <v>10</v>
      </c>
      <c r="G59" s="44">
        <v>10</v>
      </c>
      <c r="H59" s="44">
        <v>10</v>
      </c>
      <c r="I59" s="44">
        <v>10</v>
      </c>
      <c r="J59" s="44">
        <v>10</v>
      </c>
      <c r="K59" s="44">
        <v>10</v>
      </c>
      <c r="L59" s="44">
        <v>10</v>
      </c>
      <c r="M59" s="44">
        <v>10</v>
      </c>
      <c r="N59" s="44">
        <v>10</v>
      </c>
      <c r="O59" s="44">
        <v>10</v>
      </c>
      <c r="P59" s="44">
        <v>10</v>
      </c>
      <c r="Q59" s="44">
        <v>10</v>
      </c>
      <c r="R59" s="44">
        <f t="shared" si="0"/>
        <v>120</v>
      </c>
      <c r="T59" s="20">
        <f t="shared" si="1"/>
        <v>140</v>
      </c>
      <c r="U59" s="20" t="s">
        <v>707</v>
      </c>
    </row>
    <row r="60" spans="1:26" ht="15.75" customHeight="1" x14ac:dyDescent="0.3">
      <c r="A60" s="44">
        <v>54</v>
      </c>
      <c r="B60" s="47" t="s">
        <v>239</v>
      </c>
      <c r="C60" s="48" t="s">
        <v>782</v>
      </c>
      <c r="D60" s="47" t="s">
        <v>783</v>
      </c>
      <c r="E60" s="120">
        <v>20</v>
      </c>
      <c r="F60" s="44">
        <v>10</v>
      </c>
      <c r="G60" s="44">
        <v>10</v>
      </c>
      <c r="H60" s="44">
        <v>10</v>
      </c>
      <c r="I60" s="44">
        <v>10</v>
      </c>
      <c r="J60" s="44">
        <v>10</v>
      </c>
      <c r="K60" s="44">
        <v>10</v>
      </c>
      <c r="L60" s="44">
        <v>10</v>
      </c>
      <c r="M60" s="44">
        <v>10</v>
      </c>
      <c r="N60" s="44">
        <v>10</v>
      </c>
      <c r="O60" s="44">
        <v>10</v>
      </c>
      <c r="P60" s="44">
        <v>10</v>
      </c>
      <c r="Q60" s="44">
        <v>10</v>
      </c>
      <c r="R60" s="44">
        <f t="shared" si="0"/>
        <v>120</v>
      </c>
      <c r="T60" s="20">
        <f t="shared" si="1"/>
        <v>140</v>
      </c>
      <c r="U60" s="20" t="s">
        <v>784</v>
      </c>
    </row>
    <row r="61" spans="1:26" ht="15.75" customHeight="1" x14ac:dyDescent="0.3">
      <c r="A61" s="44">
        <v>55</v>
      </c>
      <c r="B61" s="47" t="s">
        <v>249</v>
      </c>
      <c r="C61" s="46" t="s">
        <v>251</v>
      </c>
      <c r="D61" s="47" t="s">
        <v>785</v>
      </c>
      <c r="E61" s="120">
        <v>20</v>
      </c>
      <c r="F61" s="44">
        <v>10</v>
      </c>
      <c r="G61" s="44">
        <v>10</v>
      </c>
      <c r="H61" s="44">
        <v>10</v>
      </c>
      <c r="I61" s="44">
        <v>10</v>
      </c>
      <c r="J61" s="44">
        <v>10</v>
      </c>
      <c r="K61" s="44">
        <v>10</v>
      </c>
      <c r="L61" s="44">
        <v>10</v>
      </c>
      <c r="M61" s="44">
        <v>10</v>
      </c>
      <c r="N61" s="44">
        <v>10</v>
      </c>
      <c r="O61" s="44">
        <v>10</v>
      </c>
      <c r="P61" s="44">
        <v>10</v>
      </c>
      <c r="Q61" s="44">
        <v>10</v>
      </c>
      <c r="R61" s="44">
        <f t="shared" si="0"/>
        <v>120</v>
      </c>
      <c r="T61" s="20">
        <f t="shared" si="1"/>
        <v>140</v>
      </c>
      <c r="U61" s="20" t="s">
        <v>784</v>
      </c>
    </row>
    <row r="62" spans="1:26" ht="15.75" customHeight="1" x14ac:dyDescent="0.3">
      <c r="A62" s="44">
        <v>56</v>
      </c>
      <c r="B62" s="47" t="s">
        <v>395</v>
      </c>
      <c r="C62" s="51" t="s">
        <v>397</v>
      </c>
      <c r="D62" s="47" t="s">
        <v>786</v>
      </c>
      <c r="E62" s="120">
        <v>20</v>
      </c>
      <c r="F62" s="44">
        <v>10</v>
      </c>
      <c r="G62" s="44">
        <v>10</v>
      </c>
      <c r="H62" s="44">
        <v>10</v>
      </c>
      <c r="I62" s="44">
        <v>10</v>
      </c>
      <c r="J62" s="44">
        <v>10</v>
      </c>
      <c r="K62" s="44">
        <v>10</v>
      </c>
      <c r="L62" s="44">
        <v>10</v>
      </c>
      <c r="M62" s="44">
        <v>10</v>
      </c>
      <c r="N62" s="44">
        <v>10</v>
      </c>
      <c r="O62" s="44">
        <v>10</v>
      </c>
      <c r="P62" s="44">
        <v>10</v>
      </c>
      <c r="Q62" s="44">
        <v>10</v>
      </c>
      <c r="R62" s="44">
        <f t="shared" si="0"/>
        <v>120</v>
      </c>
      <c r="T62" s="20">
        <f t="shared" si="1"/>
        <v>140</v>
      </c>
      <c r="U62" s="20" t="s">
        <v>787</v>
      </c>
      <c r="W62" s="20" t="s">
        <v>788</v>
      </c>
    </row>
    <row r="63" spans="1:26" ht="15.75" customHeight="1" x14ac:dyDescent="0.3">
      <c r="A63" s="44">
        <v>57</v>
      </c>
      <c r="B63" s="47" t="s">
        <v>150</v>
      </c>
      <c r="C63" s="14" t="s">
        <v>152</v>
      </c>
      <c r="D63" s="47" t="s">
        <v>789</v>
      </c>
      <c r="E63" s="120">
        <v>20</v>
      </c>
      <c r="F63" s="44">
        <v>10</v>
      </c>
      <c r="G63" s="44">
        <v>10</v>
      </c>
      <c r="H63" s="44">
        <v>10</v>
      </c>
      <c r="I63" s="56">
        <v>10</v>
      </c>
      <c r="J63" s="56">
        <v>10</v>
      </c>
      <c r="K63" s="56">
        <v>10</v>
      </c>
      <c r="L63" s="56">
        <v>10</v>
      </c>
      <c r="M63" s="56">
        <v>10</v>
      </c>
      <c r="N63" s="56">
        <v>10</v>
      </c>
      <c r="O63" s="56">
        <v>10</v>
      </c>
      <c r="P63" s="56">
        <v>10</v>
      </c>
      <c r="Q63" s="56">
        <v>10</v>
      </c>
      <c r="R63" s="44">
        <f t="shared" si="0"/>
        <v>120</v>
      </c>
      <c r="S63" s="53">
        <f t="shared" ref="S63:S66" si="2">R63+E63</f>
        <v>140</v>
      </c>
      <c r="T63" s="53">
        <f t="shared" si="1"/>
        <v>140</v>
      </c>
      <c r="U63" s="53" t="s">
        <v>790</v>
      </c>
      <c r="V63" s="53"/>
      <c r="W63" s="53"/>
      <c r="X63" s="53"/>
      <c r="Y63" s="53"/>
      <c r="Z63" s="53"/>
    </row>
    <row r="64" spans="1:26" ht="15.75" customHeight="1" x14ac:dyDescent="0.3">
      <c r="A64" s="44">
        <v>58</v>
      </c>
      <c r="B64" s="47" t="s">
        <v>438</v>
      </c>
      <c r="C64" s="3" t="s">
        <v>440</v>
      </c>
      <c r="D64" s="47" t="s">
        <v>791</v>
      </c>
      <c r="E64" s="120">
        <v>20</v>
      </c>
      <c r="F64" s="44">
        <v>10</v>
      </c>
      <c r="G64" s="44">
        <v>10</v>
      </c>
      <c r="H64" s="44">
        <v>10</v>
      </c>
      <c r="I64" s="44">
        <v>10</v>
      </c>
      <c r="J64" s="44">
        <v>10</v>
      </c>
      <c r="K64" s="44">
        <v>10</v>
      </c>
      <c r="L64" s="44">
        <v>10</v>
      </c>
      <c r="M64" s="44">
        <v>10</v>
      </c>
      <c r="N64" s="44">
        <v>10</v>
      </c>
      <c r="O64" s="44">
        <v>10</v>
      </c>
      <c r="P64" s="44">
        <v>10</v>
      </c>
      <c r="Q64" s="44">
        <v>10</v>
      </c>
      <c r="R64" s="44">
        <f t="shared" si="0"/>
        <v>120</v>
      </c>
      <c r="S64" s="53">
        <f t="shared" si="2"/>
        <v>140</v>
      </c>
      <c r="T64" s="53">
        <f t="shared" si="1"/>
        <v>140</v>
      </c>
      <c r="U64" s="53"/>
      <c r="V64" s="53"/>
      <c r="W64" s="53"/>
      <c r="X64" s="53"/>
      <c r="Y64" s="53"/>
      <c r="Z64" s="53"/>
    </row>
    <row r="65" spans="1:26" ht="15.75" customHeight="1" x14ac:dyDescent="0.3">
      <c r="A65" s="57">
        <v>59</v>
      </c>
      <c r="B65" s="58" t="s">
        <v>307</v>
      </c>
      <c r="C65" s="59" t="s">
        <v>309</v>
      </c>
      <c r="D65" s="58" t="s">
        <v>792</v>
      </c>
      <c r="E65" s="370">
        <v>20</v>
      </c>
      <c r="F65" s="57">
        <v>10</v>
      </c>
      <c r="G65" s="57">
        <v>10</v>
      </c>
      <c r="H65" s="57">
        <v>10</v>
      </c>
      <c r="I65" s="57"/>
      <c r="J65" s="57"/>
      <c r="K65" s="57"/>
      <c r="L65" s="57"/>
      <c r="M65" s="57"/>
      <c r="N65" s="57"/>
      <c r="O65" s="57"/>
      <c r="P65" s="57"/>
      <c r="Q65" s="57"/>
      <c r="R65" s="49">
        <f t="shared" si="0"/>
        <v>30</v>
      </c>
      <c r="S65" s="60">
        <f t="shared" si="2"/>
        <v>50</v>
      </c>
      <c r="T65" s="60">
        <f t="shared" si="1"/>
        <v>0</v>
      </c>
      <c r="U65" s="60"/>
      <c r="V65" s="60"/>
      <c r="W65" s="60"/>
      <c r="X65" s="60"/>
      <c r="Y65" s="60"/>
      <c r="Z65" s="60"/>
    </row>
    <row r="66" spans="1:26" ht="15.75" customHeight="1" x14ac:dyDescent="0.3">
      <c r="A66" s="57">
        <v>60</v>
      </c>
      <c r="B66" s="58" t="s">
        <v>217</v>
      </c>
      <c r="C66" s="59" t="s">
        <v>219</v>
      </c>
      <c r="D66" s="58" t="s">
        <v>793</v>
      </c>
      <c r="E66" s="370">
        <v>20</v>
      </c>
      <c r="F66" s="57">
        <v>10</v>
      </c>
      <c r="G66" s="57">
        <v>10</v>
      </c>
      <c r="H66" s="57">
        <v>10</v>
      </c>
      <c r="I66" s="57">
        <v>10</v>
      </c>
      <c r="J66" s="57">
        <v>10</v>
      </c>
      <c r="K66" s="57">
        <v>10</v>
      </c>
      <c r="L66" s="57">
        <v>10</v>
      </c>
      <c r="M66" s="57">
        <v>10</v>
      </c>
      <c r="N66" s="57">
        <v>10</v>
      </c>
      <c r="O66" s="57">
        <v>10</v>
      </c>
      <c r="P66" s="57">
        <v>10</v>
      </c>
      <c r="Q66" s="57">
        <v>10</v>
      </c>
      <c r="R66" s="57">
        <f t="shared" si="0"/>
        <v>120</v>
      </c>
      <c r="S66" s="60">
        <f t="shared" si="2"/>
        <v>140</v>
      </c>
      <c r="T66" s="60">
        <f t="shared" si="1"/>
        <v>140</v>
      </c>
      <c r="U66" s="60"/>
      <c r="V66" s="60"/>
      <c r="W66" s="60"/>
      <c r="X66" s="60"/>
      <c r="Y66" s="60"/>
      <c r="Z66" s="60"/>
    </row>
    <row r="67" spans="1:26" ht="15.75" customHeight="1" x14ac:dyDescent="0.3">
      <c r="A67" s="44">
        <v>61</v>
      </c>
      <c r="B67" s="47" t="s">
        <v>301</v>
      </c>
      <c r="C67" s="48" t="s">
        <v>794</v>
      </c>
      <c r="D67" s="47" t="s">
        <v>795</v>
      </c>
      <c r="E67" s="120">
        <v>20</v>
      </c>
      <c r="F67" s="44">
        <v>10</v>
      </c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9">
        <f t="shared" si="0"/>
        <v>10</v>
      </c>
      <c r="T67" s="20">
        <f t="shared" si="1"/>
        <v>0</v>
      </c>
      <c r="U67" s="20" t="s">
        <v>784</v>
      </c>
    </row>
    <row r="68" spans="1:26" ht="15.75" customHeight="1" x14ac:dyDescent="0.3">
      <c r="A68" s="44">
        <v>62</v>
      </c>
      <c r="B68" s="47" t="s">
        <v>342</v>
      </c>
      <c r="C68" s="55" t="s">
        <v>344</v>
      </c>
      <c r="D68" s="47" t="s">
        <v>796</v>
      </c>
      <c r="E68" s="120">
        <v>20</v>
      </c>
      <c r="F68" s="44">
        <v>10</v>
      </c>
      <c r="G68" s="44">
        <v>10</v>
      </c>
      <c r="H68" s="44">
        <v>10</v>
      </c>
      <c r="I68" s="44">
        <v>10</v>
      </c>
      <c r="J68" s="44">
        <v>10</v>
      </c>
      <c r="K68" s="44">
        <v>10</v>
      </c>
      <c r="L68" s="44">
        <v>10</v>
      </c>
      <c r="M68" s="44">
        <v>10</v>
      </c>
      <c r="N68" s="44">
        <v>10</v>
      </c>
      <c r="O68" s="44">
        <v>10</v>
      </c>
      <c r="P68" s="56">
        <v>10</v>
      </c>
      <c r="Q68" s="56">
        <v>10</v>
      </c>
      <c r="R68" s="44">
        <f t="shared" si="0"/>
        <v>120</v>
      </c>
      <c r="T68" s="20">
        <f t="shared" si="1"/>
        <v>140</v>
      </c>
      <c r="U68" s="20" t="s">
        <v>784</v>
      </c>
    </row>
    <row r="69" spans="1:26" ht="15.75" customHeight="1" x14ac:dyDescent="0.3">
      <c r="A69" s="44">
        <v>63</v>
      </c>
      <c r="B69" s="47" t="s">
        <v>289</v>
      </c>
      <c r="C69" s="3" t="s">
        <v>291</v>
      </c>
      <c r="D69" s="47" t="s">
        <v>797</v>
      </c>
      <c r="E69" s="120">
        <v>20</v>
      </c>
      <c r="F69" s="44">
        <v>10</v>
      </c>
      <c r="G69" s="44">
        <v>10</v>
      </c>
      <c r="H69" s="44">
        <v>10</v>
      </c>
      <c r="I69" s="44">
        <v>10</v>
      </c>
      <c r="J69" s="44">
        <v>10</v>
      </c>
      <c r="K69" s="44">
        <v>10</v>
      </c>
      <c r="L69" s="44">
        <v>10</v>
      </c>
      <c r="M69" s="44">
        <v>10</v>
      </c>
      <c r="N69" s="44">
        <v>10</v>
      </c>
      <c r="O69" s="44">
        <v>10</v>
      </c>
      <c r="P69" s="44">
        <v>10</v>
      </c>
      <c r="Q69" s="44">
        <v>10</v>
      </c>
      <c r="R69" s="44">
        <f t="shared" si="0"/>
        <v>120</v>
      </c>
      <c r="S69" s="53">
        <f t="shared" ref="S69:S73" si="3">R69+E69</f>
        <v>140</v>
      </c>
      <c r="T69" s="53">
        <f t="shared" si="1"/>
        <v>140</v>
      </c>
      <c r="U69" s="53"/>
      <c r="V69" s="53"/>
      <c r="W69" s="53"/>
      <c r="X69" s="53"/>
      <c r="Y69" s="53"/>
      <c r="Z69" s="53"/>
    </row>
    <row r="70" spans="1:26" ht="15.75" customHeight="1" x14ac:dyDescent="0.3">
      <c r="A70" s="44">
        <v>64</v>
      </c>
      <c r="B70" s="47" t="s">
        <v>608</v>
      </c>
      <c r="C70" s="44" t="s">
        <v>798</v>
      </c>
      <c r="D70" s="47" t="s">
        <v>799</v>
      </c>
      <c r="E70" s="120">
        <v>20</v>
      </c>
      <c r="F70" s="44">
        <v>10</v>
      </c>
      <c r="G70" s="44">
        <v>10</v>
      </c>
      <c r="H70" s="44">
        <v>10</v>
      </c>
      <c r="I70" s="44">
        <v>10</v>
      </c>
      <c r="J70" s="44">
        <v>10</v>
      </c>
      <c r="K70" s="44">
        <v>10</v>
      </c>
      <c r="L70" s="44">
        <v>10</v>
      </c>
      <c r="M70" s="44">
        <v>10</v>
      </c>
      <c r="N70" s="44">
        <v>10</v>
      </c>
      <c r="O70" s="44">
        <v>10</v>
      </c>
      <c r="P70" s="44">
        <v>10</v>
      </c>
      <c r="Q70" s="44">
        <v>10</v>
      </c>
      <c r="R70" s="44">
        <f t="shared" si="0"/>
        <v>120</v>
      </c>
      <c r="S70" s="53">
        <f t="shared" si="3"/>
        <v>140</v>
      </c>
      <c r="T70" s="53">
        <f t="shared" si="1"/>
        <v>140</v>
      </c>
      <c r="U70" s="53"/>
      <c r="V70" s="53"/>
      <c r="W70" s="53"/>
      <c r="X70" s="53"/>
      <c r="Y70" s="53"/>
      <c r="Z70" s="53"/>
    </row>
    <row r="71" spans="1:26" ht="15.75" customHeight="1" x14ac:dyDescent="0.3">
      <c r="A71" s="44">
        <v>65</v>
      </c>
      <c r="B71" s="47" t="s">
        <v>548</v>
      </c>
      <c r="C71" s="14" t="s">
        <v>550</v>
      </c>
      <c r="D71" s="47" t="s">
        <v>800</v>
      </c>
      <c r="E71" s="120">
        <v>20</v>
      </c>
      <c r="F71" s="44">
        <v>10</v>
      </c>
      <c r="G71" s="44">
        <v>10</v>
      </c>
      <c r="H71" s="44">
        <v>10</v>
      </c>
      <c r="I71" s="44">
        <v>10</v>
      </c>
      <c r="J71" s="44">
        <v>10</v>
      </c>
      <c r="K71" s="44">
        <v>10</v>
      </c>
      <c r="L71" s="44">
        <v>10</v>
      </c>
      <c r="M71" s="44">
        <v>10</v>
      </c>
      <c r="N71" s="44">
        <v>10</v>
      </c>
      <c r="O71" s="44">
        <v>10</v>
      </c>
      <c r="P71" s="44">
        <v>10</v>
      </c>
      <c r="Q71" s="44">
        <v>10</v>
      </c>
      <c r="R71" s="44">
        <f t="shared" si="0"/>
        <v>120</v>
      </c>
      <c r="S71" s="53">
        <f t="shared" si="3"/>
        <v>140</v>
      </c>
      <c r="T71" s="53">
        <f t="shared" si="1"/>
        <v>140</v>
      </c>
      <c r="U71" s="53"/>
      <c r="V71" s="53"/>
      <c r="W71" s="53"/>
      <c r="X71" s="53"/>
      <c r="Y71" s="53"/>
      <c r="Z71" s="53"/>
    </row>
    <row r="72" spans="1:26" ht="15.75" customHeight="1" x14ac:dyDescent="0.3">
      <c r="A72" s="44">
        <v>66</v>
      </c>
      <c r="B72" s="47" t="s">
        <v>482</v>
      </c>
      <c r="C72" s="50" t="s">
        <v>801</v>
      </c>
      <c r="D72" s="47" t="s">
        <v>802</v>
      </c>
      <c r="E72" s="120">
        <v>20</v>
      </c>
      <c r="F72" s="44">
        <v>10</v>
      </c>
      <c r="G72" s="44">
        <v>10</v>
      </c>
      <c r="H72" s="44">
        <v>10</v>
      </c>
      <c r="I72" s="44">
        <v>10</v>
      </c>
      <c r="J72" s="44">
        <v>10</v>
      </c>
      <c r="K72" s="44">
        <v>10</v>
      </c>
      <c r="L72" s="44">
        <v>10</v>
      </c>
      <c r="M72" s="44">
        <v>10</v>
      </c>
      <c r="N72" s="44">
        <v>10</v>
      </c>
      <c r="O72" s="44">
        <v>10</v>
      </c>
      <c r="P72" s="44">
        <v>10</v>
      </c>
      <c r="Q72" s="44">
        <v>10</v>
      </c>
      <c r="R72" s="49">
        <f t="shared" si="0"/>
        <v>120</v>
      </c>
      <c r="S72" s="20">
        <f t="shared" si="3"/>
        <v>140</v>
      </c>
      <c r="T72" s="20">
        <f t="shared" si="1"/>
        <v>140</v>
      </c>
      <c r="U72" s="20" t="s">
        <v>803</v>
      </c>
      <c r="V72" s="61">
        <v>42945</v>
      </c>
    </row>
    <row r="73" spans="1:26" ht="15.75" customHeight="1" x14ac:dyDescent="0.3">
      <c r="A73" s="44">
        <v>67</v>
      </c>
      <c r="B73" s="47" t="s">
        <v>185</v>
      </c>
      <c r="C73" s="54" t="s">
        <v>187</v>
      </c>
      <c r="D73" s="47" t="s">
        <v>804</v>
      </c>
      <c r="E73" s="120">
        <v>20</v>
      </c>
      <c r="F73" s="44">
        <v>10</v>
      </c>
      <c r="G73" s="44">
        <v>10</v>
      </c>
      <c r="H73" s="44">
        <v>10</v>
      </c>
      <c r="I73" s="44">
        <v>10</v>
      </c>
      <c r="J73" s="44">
        <v>10</v>
      </c>
      <c r="K73" s="44">
        <v>10</v>
      </c>
      <c r="L73" s="44">
        <v>10</v>
      </c>
      <c r="M73" s="44">
        <v>10</v>
      </c>
      <c r="N73" s="44">
        <v>10</v>
      </c>
      <c r="O73" s="44">
        <v>10</v>
      </c>
      <c r="P73" s="44">
        <v>10</v>
      </c>
      <c r="Q73" s="44">
        <v>10</v>
      </c>
      <c r="R73" s="44">
        <f t="shared" si="0"/>
        <v>120</v>
      </c>
      <c r="S73" s="20">
        <f t="shared" si="3"/>
        <v>140</v>
      </c>
      <c r="T73" s="20">
        <f t="shared" si="1"/>
        <v>140</v>
      </c>
    </row>
    <row r="74" spans="1:26" ht="15.75" customHeight="1" x14ac:dyDescent="0.3">
      <c r="A74" s="44">
        <v>68</v>
      </c>
      <c r="B74" s="47" t="s">
        <v>276</v>
      </c>
      <c r="C74" s="48" t="s">
        <v>805</v>
      </c>
      <c r="D74" s="47" t="s">
        <v>806</v>
      </c>
      <c r="E74" s="120">
        <v>20</v>
      </c>
      <c r="F74" s="44">
        <v>10</v>
      </c>
      <c r="G74" s="44">
        <v>10</v>
      </c>
      <c r="H74" s="44">
        <v>10</v>
      </c>
      <c r="I74" s="44">
        <v>10</v>
      </c>
      <c r="J74" s="44">
        <v>10</v>
      </c>
      <c r="K74" s="44">
        <v>10</v>
      </c>
      <c r="L74" s="44">
        <v>10</v>
      </c>
      <c r="M74" s="44">
        <v>10</v>
      </c>
      <c r="N74" s="44">
        <v>10</v>
      </c>
      <c r="O74" s="44">
        <v>10</v>
      </c>
      <c r="P74" s="44">
        <v>10</v>
      </c>
      <c r="Q74" s="44">
        <v>10</v>
      </c>
      <c r="R74" s="44">
        <f t="shared" si="0"/>
        <v>120</v>
      </c>
      <c r="T74" s="20">
        <f t="shared" si="1"/>
        <v>140</v>
      </c>
      <c r="U74" s="20" t="s">
        <v>707</v>
      </c>
    </row>
    <row r="75" spans="1:26" ht="15.75" customHeight="1" x14ac:dyDescent="0.3">
      <c r="A75" s="44">
        <v>69</v>
      </c>
      <c r="B75" s="47" t="s">
        <v>564</v>
      </c>
      <c r="C75" s="48" t="s">
        <v>807</v>
      </c>
      <c r="D75" s="47" t="s">
        <v>808</v>
      </c>
      <c r="E75" s="120">
        <v>20</v>
      </c>
      <c r="F75" s="44">
        <v>10</v>
      </c>
      <c r="G75" s="44">
        <v>10</v>
      </c>
      <c r="H75" s="44">
        <v>10</v>
      </c>
      <c r="I75" s="44">
        <v>10</v>
      </c>
      <c r="J75" s="44">
        <v>10</v>
      </c>
      <c r="K75" s="44">
        <v>10</v>
      </c>
      <c r="L75" s="44">
        <v>10</v>
      </c>
      <c r="M75" s="44">
        <v>10</v>
      </c>
      <c r="N75" s="44">
        <v>10</v>
      </c>
      <c r="O75" s="44">
        <v>10</v>
      </c>
      <c r="P75" s="44">
        <v>10</v>
      </c>
      <c r="Q75" s="44">
        <v>10</v>
      </c>
      <c r="R75" s="44">
        <f t="shared" si="0"/>
        <v>120</v>
      </c>
      <c r="T75" s="20">
        <f t="shared" si="1"/>
        <v>140</v>
      </c>
      <c r="U75" s="20" t="s">
        <v>707</v>
      </c>
    </row>
    <row r="76" spans="1:26" ht="15.75" customHeight="1" x14ac:dyDescent="0.3">
      <c r="A76" s="44">
        <v>70</v>
      </c>
      <c r="B76" s="47" t="s">
        <v>629</v>
      </c>
      <c r="C76" s="3" t="s">
        <v>631</v>
      </c>
      <c r="D76" s="47" t="s">
        <v>809</v>
      </c>
      <c r="E76" s="120">
        <v>20</v>
      </c>
      <c r="F76" s="44">
        <v>10</v>
      </c>
      <c r="G76" s="44">
        <v>10</v>
      </c>
      <c r="H76" s="44">
        <v>10</v>
      </c>
      <c r="I76" s="44">
        <v>10</v>
      </c>
      <c r="J76" s="44">
        <v>10</v>
      </c>
      <c r="K76" s="44">
        <v>10</v>
      </c>
      <c r="L76" s="44">
        <v>10</v>
      </c>
      <c r="M76" s="44">
        <v>10</v>
      </c>
      <c r="N76" s="44">
        <v>10</v>
      </c>
      <c r="O76" s="44">
        <v>10</v>
      </c>
      <c r="P76" s="44"/>
      <c r="Q76" s="44"/>
      <c r="R76" s="49">
        <f t="shared" si="0"/>
        <v>100</v>
      </c>
      <c r="T76" s="20">
        <f t="shared" si="1"/>
        <v>0</v>
      </c>
      <c r="U76" s="20" t="s">
        <v>803</v>
      </c>
    </row>
    <row r="77" spans="1:26" ht="15.75" customHeight="1" x14ac:dyDescent="0.3">
      <c r="A77" s="372">
        <v>71</v>
      </c>
      <c r="B77" s="373" t="s">
        <v>810</v>
      </c>
      <c r="C77" s="375" t="s">
        <v>811</v>
      </c>
      <c r="D77" s="373" t="s">
        <v>812</v>
      </c>
      <c r="E77" s="120">
        <v>20</v>
      </c>
      <c r="F77" s="44">
        <v>10</v>
      </c>
      <c r="G77" s="44">
        <v>10</v>
      </c>
      <c r="H77" s="44">
        <v>10</v>
      </c>
      <c r="I77" s="44">
        <v>10</v>
      </c>
      <c r="J77" s="44">
        <v>10</v>
      </c>
      <c r="K77" s="44">
        <v>10</v>
      </c>
      <c r="L77" s="44">
        <v>10</v>
      </c>
      <c r="M77" s="44">
        <v>10</v>
      </c>
      <c r="N77" s="44">
        <v>10</v>
      </c>
      <c r="O77" s="44">
        <v>10</v>
      </c>
      <c r="P77" s="44">
        <v>10</v>
      </c>
      <c r="Q77" s="44">
        <v>10</v>
      </c>
      <c r="R77" s="44">
        <f t="shared" si="0"/>
        <v>120</v>
      </c>
      <c r="T77" s="20">
        <f t="shared" si="1"/>
        <v>140</v>
      </c>
    </row>
    <row r="78" spans="1:26" ht="15.75" customHeight="1" x14ac:dyDescent="0.3">
      <c r="A78" s="44">
        <v>72</v>
      </c>
      <c r="B78" s="47" t="s">
        <v>813</v>
      </c>
      <c r="C78" s="48" t="s">
        <v>814</v>
      </c>
      <c r="D78" s="47" t="s">
        <v>815</v>
      </c>
      <c r="E78" s="120">
        <v>20</v>
      </c>
      <c r="F78" s="44">
        <v>10</v>
      </c>
      <c r="G78" s="44">
        <v>10</v>
      </c>
      <c r="H78" s="44">
        <v>10</v>
      </c>
      <c r="I78" s="44">
        <v>10</v>
      </c>
      <c r="J78" s="44">
        <v>10</v>
      </c>
      <c r="K78" s="44">
        <v>10</v>
      </c>
      <c r="L78" s="44">
        <v>10</v>
      </c>
      <c r="M78" s="44">
        <v>10</v>
      </c>
      <c r="N78" s="44">
        <v>10</v>
      </c>
      <c r="O78" s="44">
        <v>10</v>
      </c>
      <c r="P78" s="44">
        <v>10</v>
      </c>
      <c r="Q78" s="44">
        <v>10</v>
      </c>
      <c r="R78" s="44">
        <f t="shared" si="0"/>
        <v>120</v>
      </c>
      <c r="T78" s="20">
        <f t="shared" si="1"/>
        <v>140</v>
      </c>
    </row>
    <row r="79" spans="1:26" ht="15.75" customHeight="1" x14ac:dyDescent="0.3">
      <c r="A79" s="44">
        <v>73</v>
      </c>
      <c r="B79" s="47" t="s">
        <v>816</v>
      </c>
      <c r="C79" s="48" t="s">
        <v>817</v>
      </c>
      <c r="D79" s="47" t="s">
        <v>818</v>
      </c>
      <c r="E79" s="120">
        <v>20</v>
      </c>
      <c r="F79" s="44">
        <v>10</v>
      </c>
      <c r="G79" s="44">
        <v>10</v>
      </c>
      <c r="H79" s="44">
        <v>10</v>
      </c>
      <c r="I79" s="44">
        <v>10</v>
      </c>
      <c r="J79" s="44">
        <v>10</v>
      </c>
      <c r="K79" s="44">
        <v>10</v>
      </c>
      <c r="L79" s="44">
        <v>10</v>
      </c>
      <c r="M79" s="44">
        <v>10</v>
      </c>
      <c r="N79" s="44">
        <v>10</v>
      </c>
      <c r="O79" s="44">
        <v>10</v>
      </c>
      <c r="P79" s="44">
        <v>10</v>
      </c>
      <c r="Q79" s="44">
        <v>10</v>
      </c>
      <c r="R79" s="44">
        <f t="shared" si="0"/>
        <v>120</v>
      </c>
      <c r="T79" s="20">
        <f t="shared" si="1"/>
        <v>140</v>
      </c>
    </row>
    <row r="80" spans="1:26" ht="15.75" customHeight="1" x14ac:dyDescent="0.3">
      <c r="A80" s="44">
        <v>74</v>
      </c>
      <c r="B80" s="47" t="s">
        <v>819</v>
      </c>
      <c r="C80" s="48" t="s">
        <v>820</v>
      </c>
      <c r="D80" s="47" t="s">
        <v>821</v>
      </c>
      <c r="E80" s="120">
        <v>20</v>
      </c>
      <c r="F80" s="44">
        <v>10</v>
      </c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9">
        <f t="shared" si="0"/>
        <v>10</v>
      </c>
      <c r="T80" s="20">
        <f t="shared" si="1"/>
        <v>0</v>
      </c>
    </row>
    <row r="81" spans="1:21" ht="15.75" customHeight="1" x14ac:dyDescent="0.3">
      <c r="A81" s="44">
        <v>75</v>
      </c>
      <c r="B81" s="47" t="s">
        <v>822</v>
      </c>
      <c r="C81" s="48" t="s">
        <v>823</v>
      </c>
      <c r="D81" s="47" t="s">
        <v>824</v>
      </c>
      <c r="E81" s="120">
        <v>20</v>
      </c>
      <c r="F81" s="44">
        <v>10</v>
      </c>
      <c r="G81" s="44">
        <v>10</v>
      </c>
      <c r="H81" s="44">
        <v>10</v>
      </c>
      <c r="I81" s="44">
        <v>10</v>
      </c>
      <c r="J81" s="44">
        <v>10</v>
      </c>
      <c r="K81" s="44">
        <v>10</v>
      </c>
      <c r="L81" s="44">
        <v>10</v>
      </c>
      <c r="M81" s="44">
        <v>10</v>
      </c>
      <c r="N81" s="44">
        <v>10</v>
      </c>
      <c r="O81" s="44">
        <v>10</v>
      </c>
      <c r="P81" s="44">
        <v>10</v>
      </c>
      <c r="Q81" s="44">
        <v>10</v>
      </c>
      <c r="R81" s="44">
        <f t="shared" si="0"/>
        <v>120</v>
      </c>
      <c r="T81" s="20">
        <f t="shared" si="1"/>
        <v>140</v>
      </c>
    </row>
    <row r="82" spans="1:21" ht="15.75" customHeight="1" x14ac:dyDescent="0.3">
      <c r="A82" s="44">
        <v>76</v>
      </c>
      <c r="B82" s="47" t="s">
        <v>825</v>
      </c>
      <c r="C82" s="48" t="s">
        <v>826</v>
      </c>
      <c r="D82" s="47" t="s">
        <v>827</v>
      </c>
      <c r="E82" s="120">
        <v>20</v>
      </c>
      <c r="F82" s="44">
        <v>10</v>
      </c>
      <c r="G82" s="44">
        <v>10</v>
      </c>
      <c r="H82" s="44">
        <v>10</v>
      </c>
      <c r="I82" s="44">
        <v>10</v>
      </c>
      <c r="J82" s="44">
        <v>10</v>
      </c>
      <c r="K82" s="44">
        <v>10</v>
      </c>
      <c r="L82" s="44">
        <v>10</v>
      </c>
      <c r="M82" s="44">
        <v>10</v>
      </c>
      <c r="N82" s="44">
        <v>10</v>
      </c>
      <c r="O82" s="44">
        <v>10</v>
      </c>
      <c r="P82" s="44">
        <v>10</v>
      </c>
      <c r="Q82" s="44">
        <v>10</v>
      </c>
      <c r="R82" s="44">
        <f t="shared" si="0"/>
        <v>120</v>
      </c>
      <c r="T82" s="20">
        <f t="shared" si="1"/>
        <v>140</v>
      </c>
    </row>
    <row r="83" spans="1:21" ht="15.75" customHeight="1" x14ac:dyDescent="0.3">
      <c r="A83" s="44">
        <v>77</v>
      </c>
      <c r="B83" s="47" t="s">
        <v>416</v>
      </c>
      <c r="C83" s="46" t="s">
        <v>418</v>
      </c>
      <c r="D83" s="47" t="s">
        <v>828</v>
      </c>
      <c r="E83" s="120">
        <v>20</v>
      </c>
      <c r="F83" s="44">
        <v>10</v>
      </c>
      <c r="G83" s="44">
        <v>10</v>
      </c>
      <c r="H83" s="44">
        <v>10</v>
      </c>
      <c r="I83" s="44">
        <v>10</v>
      </c>
      <c r="J83" s="44">
        <v>10</v>
      </c>
      <c r="K83" s="44">
        <v>10</v>
      </c>
      <c r="L83" s="44">
        <v>10</v>
      </c>
      <c r="M83" s="44">
        <v>10</v>
      </c>
      <c r="N83" s="44">
        <v>10</v>
      </c>
      <c r="O83" s="44">
        <v>10</v>
      </c>
      <c r="P83" s="44">
        <v>10</v>
      </c>
      <c r="Q83" s="44">
        <v>10</v>
      </c>
      <c r="R83" s="49">
        <f t="shared" si="0"/>
        <v>120</v>
      </c>
      <c r="T83" s="20">
        <f t="shared" si="1"/>
        <v>140</v>
      </c>
      <c r="U83" s="20" t="s">
        <v>710</v>
      </c>
    </row>
    <row r="84" spans="1:21" ht="15.75" customHeight="1" x14ac:dyDescent="0.3">
      <c r="A84" s="44">
        <v>78</v>
      </c>
      <c r="B84" s="47" t="s">
        <v>829</v>
      </c>
      <c r="C84" s="44" t="s">
        <v>830</v>
      </c>
      <c r="D84" s="47" t="s">
        <v>831</v>
      </c>
      <c r="E84" s="120">
        <v>20</v>
      </c>
      <c r="F84" s="44">
        <v>10</v>
      </c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9">
        <f t="shared" si="0"/>
        <v>10</v>
      </c>
      <c r="T84" s="20">
        <f t="shared" si="1"/>
        <v>0</v>
      </c>
      <c r="U84" s="20" t="s">
        <v>803</v>
      </c>
    </row>
    <row r="85" spans="1:21" ht="15.75" customHeight="1" x14ac:dyDescent="0.3">
      <c r="A85" s="44">
        <v>79</v>
      </c>
      <c r="B85" s="47" t="s">
        <v>832</v>
      </c>
      <c r="C85" s="3" t="s">
        <v>584</v>
      </c>
      <c r="D85" s="47" t="s">
        <v>721</v>
      </c>
      <c r="E85" s="120">
        <v>20</v>
      </c>
      <c r="F85" s="44">
        <v>10</v>
      </c>
      <c r="G85" s="44">
        <v>10</v>
      </c>
      <c r="H85" s="44">
        <v>10</v>
      </c>
      <c r="I85" s="44">
        <v>10</v>
      </c>
      <c r="J85" s="44">
        <v>10</v>
      </c>
      <c r="K85" s="44">
        <v>10</v>
      </c>
      <c r="L85" s="44">
        <v>10</v>
      </c>
      <c r="M85" s="44">
        <v>10</v>
      </c>
      <c r="N85" s="44">
        <v>10</v>
      </c>
      <c r="O85" s="44">
        <v>10</v>
      </c>
      <c r="P85" s="44"/>
      <c r="Q85" s="44"/>
      <c r="R85" s="44">
        <f t="shared" si="0"/>
        <v>100</v>
      </c>
      <c r="T85" s="20">
        <f t="shared" si="1"/>
        <v>0</v>
      </c>
    </row>
    <row r="86" spans="1:21" ht="15.75" customHeight="1" x14ac:dyDescent="0.3">
      <c r="A86" s="44">
        <v>80</v>
      </c>
      <c r="B86" s="47" t="s">
        <v>833</v>
      </c>
      <c r="C86" s="9" t="s">
        <v>296</v>
      </c>
      <c r="D86" s="47" t="s">
        <v>834</v>
      </c>
      <c r="E86" s="120">
        <v>20</v>
      </c>
      <c r="F86" s="44">
        <v>10</v>
      </c>
      <c r="G86" s="44">
        <v>10</v>
      </c>
      <c r="H86" s="44">
        <v>10</v>
      </c>
      <c r="I86" s="44">
        <v>10</v>
      </c>
      <c r="J86" s="44">
        <v>10</v>
      </c>
      <c r="K86" s="44">
        <v>10</v>
      </c>
      <c r="L86" s="44">
        <v>10</v>
      </c>
      <c r="M86" s="44">
        <v>10</v>
      </c>
      <c r="N86" s="44">
        <v>10</v>
      </c>
      <c r="O86" s="44">
        <v>10</v>
      </c>
      <c r="P86" s="44">
        <v>10</v>
      </c>
      <c r="Q86" s="44">
        <v>10</v>
      </c>
      <c r="R86" s="49">
        <f t="shared" si="0"/>
        <v>120</v>
      </c>
      <c r="T86" s="20">
        <f t="shared" si="1"/>
        <v>140</v>
      </c>
      <c r="U86" s="20" t="s">
        <v>835</v>
      </c>
    </row>
    <row r="87" spans="1:21" ht="15.75" customHeight="1" x14ac:dyDescent="0.3">
      <c r="A87" s="44">
        <v>81</v>
      </c>
      <c r="B87" s="47" t="s">
        <v>836</v>
      </c>
      <c r="C87" s="44"/>
      <c r="D87" s="47"/>
      <c r="E87" s="120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T87" s="20">
        <f t="shared" si="1"/>
        <v>0</v>
      </c>
    </row>
    <row r="88" spans="1:21" ht="15.75" customHeight="1" x14ac:dyDescent="0.3">
      <c r="A88" s="44">
        <v>82</v>
      </c>
      <c r="B88" s="47" t="s">
        <v>837</v>
      </c>
      <c r="C88" s="44"/>
      <c r="D88" s="47"/>
      <c r="E88" s="120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>
        <f t="shared" ref="R88:R140" si="4">SUM(F88:Q88)</f>
        <v>0</v>
      </c>
      <c r="T88" s="20">
        <f t="shared" si="1"/>
        <v>0</v>
      </c>
    </row>
    <row r="89" spans="1:21" ht="15.75" customHeight="1" x14ac:dyDescent="0.3">
      <c r="A89" s="44">
        <v>83</v>
      </c>
      <c r="B89" s="47" t="s">
        <v>142</v>
      </c>
      <c r="C89" s="46" t="s">
        <v>144</v>
      </c>
      <c r="D89" s="47" t="s">
        <v>838</v>
      </c>
      <c r="E89" s="120">
        <v>20</v>
      </c>
      <c r="F89" s="44">
        <v>10</v>
      </c>
      <c r="G89" s="44">
        <v>10</v>
      </c>
      <c r="H89" s="44">
        <v>10</v>
      </c>
      <c r="I89" s="44">
        <v>10</v>
      </c>
      <c r="J89" s="44">
        <v>10</v>
      </c>
      <c r="K89" s="44">
        <v>10</v>
      </c>
      <c r="L89" s="44">
        <v>10</v>
      </c>
      <c r="M89" s="44">
        <v>10</v>
      </c>
      <c r="N89" s="44">
        <v>10</v>
      </c>
      <c r="O89" s="44">
        <v>10</v>
      </c>
      <c r="P89" s="44">
        <v>10</v>
      </c>
      <c r="Q89" s="44">
        <v>10</v>
      </c>
      <c r="R89" s="44">
        <f t="shared" si="4"/>
        <v>120</v>
      </c>
      <c r="T89" s="20">
        <f t="shared" si="1"/>
        <v>140</v>
      </c>
      <c r="U89" s="20" t="s">
        <v>707</v>
      </c>
    </row>
    <row r="90" spans="1:21" ht="15.75" customHeight="1" x14ac:dyDescent="0.3">
      <c r="A90" s="44">
        <v>84</v>
      </c>
      <c r="B90" s="47" t="s">
        <v>839</v>
      </c>
      <c r="C90" s="44"/>
      <c r="D90" s="47"/>
      <c r="E90" s="120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>
        <f t="shared" si="4"/>
        <v>0</v>
      </c>
      <c r="T90" s="20">
        <f t="shared" si="1"/>
        <v>0</v>
      </c>
    </row>
    <row r="91" spans="1:21" ht="15.75" customHeight="1" x14ac:dyDescent="0.3">
      <c r="A91" s="44">
        <v>85</v>
      </c>
      <c r="B91" s="47" t="s">
        <v>840</v>
      </c>
      <c r="C91" s="44"/>
      <c r="D91" s="47"/>
      <c r="E91" s="120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>
        <f t="shared" si="4"/>
        <v>0</v>
      </c>
      <c r="T91" s="20">
        <f t="shared" si="1"/>
        <v>0</v>
      </c>
    </row>
    <row r="92" spans="1:21" ht="15.75" customHeight="1" x14ac:dyDescent="0.3">
      <c r="A92" s="44">
        <v>86</v>
      </c>
      <c r="B92" s="47" t="s">
        <v>841</v>
      </c>
      <c r="C92" s="44"/>
      <c r="D92" s="47"/>
      <c r="E92" s="120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>
        <f t="shared" si="4"/>
        <v>0</v>
      </c>
      <c r="T92" s="20">
        <f t="shared" si="1"/>
        <v>0</v>
      </c>
    </row>
    <row r="93" spans="1:21" ht="15.75" customHeight="1" x14ac:dyDescent="0.3">
      <c r="A93" s="44">
        <v>87</v>
      </c>
      <c r="B93" s="47" t="s">
        <v>842</v>
      </c>
      <c r="C93" s="44"/>
      <c r="D93" s="47"/>
      <c r="E93" s="120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>
        <f t="shared" si="4"/>
        <v>0</v>
      </c>
      <c r="T93" s="20">
        <f t="shared" si="1"/>
        <v>0</v>
      </c>
    </row>
    <row r="94" spans="1:21" ht="15.75" customHeight="1" x14ac:dyDescent="0.3">
      <c r="A94" s="44">
        <v>88</v>
      </c>
      <c r="B94" s="47" t="s">
        <v>644</v>
      </c>
      <c r="C94" s="46" t="s">
        <v>647</v>
      </c>
      <c r="D94" s="47" t="s">
        <v>843</v>
      </c>
      <c r="E94" s="120">
        <v>20</v>
      </c>
      <c r="F94" s="44">
        <v>10</v>
      </c>
      <c r="G94" s="44">
        <v>10</v>
      </c>
      <c r="H94" s="44">
        <v>10</v>
      </c>
      <c r="I94" s="44">
        <v>10</v>
      </c>
      <c r="J94" s="44">
        <v>10</v>
      </c>
      <c r="K94" s="44">
        <v>10</v>
      </c>
      <c r="L94" s="44">
        <v>10</v>
      </c>
      <c r="M94" s="44">
        <v>10</v>
      </c>
      <c r="N94" s="44">
        <v>10</v>
      </c>
      <c r="O94" s="44">
        <v>10</v>
      </c>
      <c r="P94" s="44">
        <v>10</v>
      </c>
      <c r="Q94" s="44">
        <v>10</v>
      </c>
      <c r="R94" s="44">
        <f t="shared" si="4"/>
        <v>120</v>
      </c>
      <c r="T94" s="20">
        <f t="shared" si="1"/>
        <v>140</v>
      </c>
      <c r="U94" s="20" t="s">
        <v>707</v>
      </c>
    </row>
    <row r="95" spans="1:21" ht="15.75" customHeight="1" x14ac:dyDescent="0.3">
      <c r="A95" s="44">
        <v>89</v>
      </c>
      <c r="B95" s="47" t="s">
        <v>844</v>
      </c>
      <c r="C95" s="44"/>
      <c r="D95" s="47"/>
      <c r="E95" s="120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>
        <f t="shared" si="4"/>
        <v>0</v>
      </c>
      <c r="T95" s="20">
        <f t="shared" si="1"/>
        <v>0</v>
      </c>
    </row>
    <row r="96" spans="1:21" ht="15.75" customHeight="1" x14ac:dyDescent="0.3">
      <c r="A96" s="44">
        <v>90</v>
      </c>
      <c r="B96" s="47" t="s">
        <v>845</v>
      </c>
      <c r="C96" s="44"/>
      <c r="D96" s="47"/>
      <c r="E96" s="120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>
        <f t="shared" si="4"/>
        <v>0</v>
      </c>
      <c r="T96" s="20">
        <f t="shared" si="1"/>
        <v>0</v>
      </c>
    </row>
    <row r="97" spans="1:21" ht="15.75" customHeight="1" x14ac:dyDescent="0.3">
      <c r="A97" s="44">
        <v>91</v>
      </c>
      <c r="B97" s="47" t="s">
        <v>846</v>
      </c>
      <c r="C97" s="44"/>
      <c r="D97" s="47"/>
      <c r="E97" s="120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>
        <f t="shared" si="4"/>
        <v>0</v>
      </c>
      <c r="T97" s="20">
        <f t="shared" si="1"/>
        <v>0</v>
      </c>
    </row>
    <row r="98" spans="1:21" ht="15.75" customHeight="1" x14ac:dyDescent="0.3">
      <c r="A98" s="44">
        <v>92</v>
      </c>
      <c r="B98" s="47" t="s">
        <v>847</v>
      </c>
      <c r="C98" s="44"/>
      <c r="D98" s="47"/>
      <c r="E98" s="120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>
        <f t="shared" si="4"/>
        <v>0</v>
      </c>
      <c r="T98" s="20">
        <f t="shared" si="1"/>
        <v>0</v>
      </c>
    </row>
    <row r="99" spans="1:21" ht="15.75" customHeight="1" x14ac:dyDescent="0.3">
      <c r="A99" s="44">
        <v>93</v>
      </c>
      <c r="B99" s="47" t="s">
        <v>848</v>
      </c>
      <c r="C99" s="44"/>
      <c r="D99" s="47"/>
      <c r="E99" s="120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>
        <f t="shared" si="4"/>
        <v>0</v>
      </c>
      <c r="T99" s="20">
        <f t="shared" si="1"/>
        <v>0</v>
      </c>
    </row>
    <row r="100" spans="1:21" ht="15.75" customHeight="1" x14ac:dyDescent="0.3">
      <c r="A100" s="44">
        <v>94</v>
      </c>
      <c r="B100" s="47" t="s">
        <v>849</v>
      </c>
      <c r="C100" s="44"/>
      <c r="D100" s="47"/>
      <c r="E100" s="120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>
        <f t="shared" si="4"/>
        <v>0</v>
      </c>
      <c r="T100" s="20">
        <f t="shared" si="1"/>
        <v>0</v>
      </c>
    </row>
    <row r="101" spans="1:21" ht="15.75" customHeight="1" x14ac:dyDescent="0.3">
      <c r="A101" s="44">
        <v>95</v>
      </c>
      <c r="B101" s="47" t="s">
        <v>850</v>
      </c>
      <c r="C101" s="44"/>
      <c r="D101" s="47"/>
      <c r="E101" s="120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>
        <f t="shared" si="4"/>
        <v>0</v>
      </c>
      <c r="T101" s="20">
        <f t="shared" si="1"/>
        <v>0</v>
      </c>
    </row>
    <row r="102" spans="1:21" ht="15.75" customHeight="1" x14ac:dyDescent="0.3">
      <c r="A102" s="44">
        <v>96</v>
      </c>
      <c r="B102" s="47" t="s">
        <v>851</v>
      </c>
      <c r="C102" s="44"/>
      <c r="D102" s="47"/>
      <c r="E102" s="120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>
        <f t="shared" si="4"/>
        <v>0</v>
      </c>
      <c r="T102" s="20">
        <f t="shared" si="1"/>
        <v>0</v>
      </c>
    </row>
    <row r="103" spans="1:21" ht="15.75" customHeight="1" x14ac:dyDescent="0.3">
      <c r="A103" s="44">
        <v>97</v>
      </c>
      <c r="B103" s="47" t="s">
        <v>852</v>
      </c>
      <c r="C103" s="44"/>
      <c r="D103" s="47"/>
      <c r="E103" s="120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>
        <f t="shared" si="4"/>
        <v>0</v>
      </c>
      <c r="T103" s="20">
        <f t="shared" si="1"/>
        <v>0</v>
      </c>
    </row>
    <row r="104" spans="1:21" ht="15.75" customHeight="1" x14ac:dyDescent="0.3">
      <c r="A104" s="44">
        <v>98</v>
      </c>
      <c r="B104" s="47" t="s">
        <v>853</v>
      </c>
      <c r="C104" s="44"/>
      <c r="D104" s="47"/>
      <c r="E104" s="120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>
        <f t="shared" si="4"/>
        <v>0</v>
      </c>
      <c r="T104" s="20">
        <f t="shared" si="1"/>
        <v>0</v>
      </c>
    </row>
    <row r="105" spans="1:21" ht="15.75" customHeight="1" x14ac:dyDescent="0.3">
      <c r="A105" s="44">
        <v>99</v>
      </c>
      <c r="B105" s="47" t="s">
        <v>854</v>
      </c>
      <c r="C105" s="44"/>
      <c r="D105" s="47"/>
      <c r="E105" s="120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>
        <f t="shared" si="4"/>
        <v>0</v>
      </c>
      <c r="T105" s="20">
        <f t="shared" si="1"/>
        <v>0</v>
      </c>
    </row>
    <row r="106" spans="1:21" ht="15.75" customHeight="1" x14ac:dyDescent="0.3">
      <c r="A106" s="44">
        <v>100</v>
      </c>
      <c r="B106" s="47" t="s">
        <v>855</v>
      </c>
      <c r="C106" s="44"/>
      <c r="D106" s="47"/>
      <c r="E106" s="120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>
        <f t="shared" si="4"/>
        <v>0</v>
      </c>
      <c r="T106" s="20">
        <f t="shared" si="1"/>
        <v>0</v>
      </c>
    </row>
    <row r="107" spans="1:21" ht="15.75" customHeight="1" x14ac:dyDescent="0.3">
      <c r="A107" s="44">
        <v>101</v>
      </c>
      <c r="B107" s="47" t="s">
        <v>856</v>
      </c>
      <c r="C107" s="44"/>
      <c r="D107" s="47"/>
      <c r="E107" s="120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>
        <f t="shared" si="4"/>
        <v>0</v>
      </c>
      <c r="T107" s="20">
        <f t="shared" si="1"/>
        <v>0</v>
      </c>
    </row>
    <row r="108" spans="1:21" ht="15.75" customHeight="1" x14ac:dyDescent="0.3">
      <c r="A108" s="44">
        <v>102</v>
      </c>
      <c r="B108" s="47" t="s">
        <v>857</v>
      </c>
      <c r="C108" s="44"/>
      <c r="D108" s="47"/>
      <c r="E108" s="120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>
        <f t="shared" si="4"/>
        <v>0</v>
      </c>
      <c r="T108" s="20">
        <f t="shared" si="1"/>
        <v>0</v>
      </c>
    </row>
    <row r="109" spans="1:21" ht="15.75" customHeight="1" x14ac:dyDescent="0.3">
      <c r="A109" s="44">
        <v>103</v>
      </c>
      <c r="B109" s="47" t="s">
        <v>858</v>
      </c>
      <c r="C109" s="44"/>
      <c r="D109" s="47"/>
      <c r="E109" s="120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>
        <f t="shared" si="4"/>
        <v>0</v>
      </c>
      <c r="T109" s="20">
        <f t="shared" si="1"/>
        <v>0</v>
      </c>
    </row>
    <row r="110" spans="1:21" ht="15.75" customHeight="1" x14ac:dyDescent="0.3">
      <c r="A110" s="44">
        <v>104</v>
      </c>
      <c r="B110" s="47" t="s">
        <v>859</v>
      </c>
      <c r="C110" s="44"/>
      <c r="D110" s="47"/>
      <c r="E110" s="120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>
        <f t="shared" si="4"/>
        <v>0</v>
      </c>
      <c r="T110" s="20">
        <f t="shared" si="1"/>
        <v>0</v>
      </c>
    </row>
    <row r="111" spans="1:21" ht="15.75" customHeight="1" x14ac:dyDescent="0.3">
      <c r="A111" s="44">
        <v>105</v>
      </c>
      <c r="B111" s="47" t="s">
        <v>468</v>
      </c>
      <c r="C111" s="48" t="s">
        <v>470</v>
      </c>
      <c r="D111" s="47" t="s">
        <v>860</v>
      </c>
      <c r="E111" s="120">
        <v>20</v>
      </c>
      <c r="F111" s="44">
        <v>10</v>
      </c>
      <c r="G111" s="44">
        <v>10</v>
      </c>
      <c r="H111" s="44">
        <v>10</v>
      </c>
      <c r="I111" s="44">
        <v>10</v>
      </c>
      <c r="J111" s="44">
        <v>10</v>
      </c>
      <c r="K111" s="44">
        <v>10</v>
      </c>
      <c r="L111" s="44">
        <v>10</v>
      </c>
      <c r="M111" s="44">
        <v>10</v>
      </c>
      <c r="N111" s="44">
        <v>10</v>
      </c>
      <c r="O111" s="44">
        <v>10</v>
      </c>
      <c r="P111" s="44">
        <v>10</v>
      </c>
      <c r="Q111" s="44">
        <v>10</v>
      </c>
      <c r="R111" s="44">
        <f t="shared" si="4"/>
        <v>120</v>
      </c>
      <c r="T111" s="20">
        <f t="shared" si="1"/>
        <v>140</v>
      </c>
      <c r="U111" s="20" t="s">
        <v>707</v>
      </c>
    </row>
    <row r="112" spans="1:21" ht="15.75" customHeight="1" x14ac:dyDescent="0.3">
      <c r="A112" s="44">
        <v>106</v>
      </c>
      <c r="B112" s="47" t="s">
        <v>861</v>
      </c>
      <c r="C112" s="44"/>
      <c r="D112" s="47"/>
      <c r="E112" s="120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>
        <f t="shared" si="4"/>
        <v>0</v>
      </c>
      <c r="T112" s="20">
        <f t="shared" si="1"/>
        <v>0</v>
      </c>
    </row>
    <row r="113" spans="1:21" ht="15.75" customHeight="1" x14ac:dyDescent="0.3">
      <c r="A113" s="44">
        <v>107</v>
      </c>
      <c r="B113" s="47" t="s">
        <v>862</v>
      </c>
      <c r="C113" s="44"/>
      <c r="D113" s="47"/>
      <c r="E113" s="120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>
        <f t="shared" si="4"/>
        <v>0</v>
      </c>
      <c r="T113" s="20">
        <f t="shared" si="1"/>
        <v>0</v>
      </c>
    </row>
    <row r="114" spans="1:21" ht="15.75" customHeight="1" x14ac:dyDescent="0.3">
      <c r="A114" s="44">
        <v>108</v>
      </c>
      <c r="B114" s="47" t="s">
        <v>863</v>
      </c>
      <c r="C114" s="44"/>
      <c r="D114" s="47"/>
      <c r="E114" s="120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>
        <f t="shared" si="4"/>
        <v>0</v>
      </c>
      <c r="T114" s="20">
        <f t="shared" si="1"/>
        <v>0</v>
      </c>
    </row>
    <row r="115" spans="1:21" ht="15.75" customHeight="1" x14ac:dyDescent="0.3">
      <c r="A115" s="44">
        <v>109</v>
      </c>
      <c r="B115" s="47" t="s">
        <v>864</v>
      </c>
      <c r="C115" s="44"/>
      <c r="D115" s="47"/>
      <c r="E115" s="120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>
        <f t="shared" si="4"/>
        <v>0</v>
      </c>
      <c r="T115" s="20">
        <f t="shared" si="1"/>
        <v>0</v>
      </c>
    </row>
    <row r="116" spans="1:21" ht="15.75" customHeight="1" x14ac:dyDescent="0.3">
      <c r="A116" s="44">
        <v>110</v>
      </c>
      <c r="B116" s="47" t="s">
        <v>865</v>
      </c>
      <c r="C116" s="44"/>
      <c r="D116" s="47"/>
      <c r="E116" s="120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>
        <f t="shared" si="4"/>
        <v>0</v>
      </c>
      <c r="T116" s="20">
        <f t="shared" si="1"/>
        <v>0</v>
      </c>
    </row>
    <row r="117" spans="1:21" ht="15.75" customHeight="1" x14ac:dyDescent="0.3">
      <c r="A117" s="44">
        <v>111</v>
      </c>
      <c r="B117" s="47" t="s">
        <v>621</v>
      </c>
      <c r="C117" s="46" t="s">
        <v>623</v>
      </c>
      <c r="D117" s="47" t="s">
        <v>866</v>
      </c>
      <c r="E117" s="120">
        <v>20</v>
      </c>
      <c r="F117" s="44">
        <v>10</v>
      </c>
      <c r="G117" s="44">
        <v>10</v>
      </c>
      <c r="H117" s="44">
        <v>10</v>
      </c>
      <c r="I117" s="44">
        <v>10</v>
      </c>
      <c r="J117" s="44">
        <v>10</v>
      </c>
      <c r="K117" s="44">
        <v>10</v>
      </c>
      <c r="L117" s="44">
        <v>10</v>
      </c>
      <c r="M117" s="44">
        <v>10</v>
      </c>
      <c r="N117" s="44">
        <v>10</v>
      </c>
      <c r="O117" s="44">
        <v>10</v>
      </c>
      <c r="P117" s="44">
        <v>10</v>
      </c>
      <c r="Q117" s="44">
        <v>10</v>
      </c>
      <c r="R117" s="44">
        <f t="shared" si="4"/>
        <v>120</v>
      </c>
      <c r="T117" s="20">
        <f t="shared" si="1"/>
        <v>140</v>
      </c>
      <c r="U117" s="20" t="s">
        <v>710</v>
      </c>
    </row>
    <row r="118" spans="1:21" ht="15.75" customHeight="1" x14ac:dyDescent="0.3">
      <c r="A118" s="44">
        <v>112</v>
      </c>
      <c r="B118" s="47" t="s">
        <v>208</v>
      </c>
      <c r="C118" s="44"/>
      <c r="D118" s="47"/>
      <c r="E118" s="120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>
        <f t="shared" si="4"/>
        <v>0</v>
      </c>
      <c r="T118" s="20">
        <f t="shared" si="1"/>
        <v>0</v>
      </c>
    </row>
    <row r="119" spans="1:21" ht="15.75" customHeight="1" x14ac:dyDescent="0.3">
      <c r="A119" s="44">
        <v>113</v>
      </c>
      <c r="B119" s="47" t="s">
        <v>867</v>
      </c>
      <c r="C119" s="44"/>
      <c r="D119" s="47"/>
      <c r="E119" s="120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>
        <f t="shared" si="4"/>
        <v>0</v>
      </c>
      <c r="T119" s="20">
        <f t="shared" si="1"/>
        <v>0</v>
      </c>
    </row>
    <row r="120" spans="1:21" ht="15.75" customHeight="1" x14ac:dyDescent="0.3">
      <c r="A120" s="44">
        <v>114</v>
      </c>
      <c r="B120" s="47" t="s">
        <v>868</v>
      </c>
      <c r="C120" s="44"/>
      <c r="D120" s="47"/>
      <c r="E120" s="120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>
        <f t="shared" si="4"/>
        <v>0</v>
      </c>
      <c r="T120" s="20">
        <f t="shared" si="1"/>
        <v>0</v>
      </c>
    </row>
    <row r="121" spans="1:21" ht="15.75" customHeight="1" x14ac:dyDescent="0.3">
      <c r="A121" s="44">
        <v>115</v>
      </c>
      <c r="B121" s="47" t="s">
        <v>869</v>
      </c>
      <c r="C121" s="44"/>
      <c r="D121" s="47"/>
      <c r="E121" s="120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>
        <f t="shared" si="4"/>
        <v>0</v>
      </c>
      <c r="T121" s="20">
        <f t="shared" si="1"/>
        <v>0</v>
      </c>
    </row>
    <row r="122" spans="1:21" ht="15.75" customHeight="1" x14ac:dyDescent="0.3">
      <c r="A122" s="44">
        <v>116</v>
      </c>
      <c r="B122" s="47" t="s">
        <v>870</v>
      </c>
      <c r="C122" s="44"/>
      <c r="D122" s="47"/>
      <c r="E122" s="120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>
        <f t="shared" si="4"/>
        <v>0</v>
      </c>
      <c r="T122" s="20">
        <f t="shared" si="1"/>
        <v>0</v>
      </c>
    </row>
    <row r="123" spans="1:21" ht="15.75" customHeight="1" x14ac:dyDescent="0.3">
      <c r="A123" s="44">
        <v>117</v>
      </c>
      <c r="B123" s="47" t="s">
        <v>871</v>
      </c>
      <c r="C123" s="44"/>
      <c r="D123" s="47"/>
      <c r="E123" s="120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>
        <f t="shared" si="4"/>
        <v>0</v>
      </c>
      <c r="T123" s="20">
        <f t="shared" si="1"/>
        <v>0</v>
      </c>
    </row>
    <row r="124" spans="1:21" ht="15.75" customHeight="1" x14ac:dyDescent="0.3">
      <c r="A124" s="44">
        <v>118</v>
      </c>
      <c r="B124" s="47" t="s">
        <v>872</v>
      </c>
      <c r="C124" s="44"/>
      <c r="D124" s="47"/>
      <c r="E124" s="120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>
        <f t="shared" si="4"/>
        <v>0</v>
      </c>
      <c r="T124" s="20">
        <f t="shared" si="1"/>
        <v>0</v>
      </c>
    </row>
    <row r="125" spans="1:21" ht="15.75" customHeight="1" x14ac:dyDescent="0.3">
      <c r="A125" s="44">
        <v>119</v>
      </c>
      <c r="B125" s="47" t="s">
        <v>873</v>
      </c>
      <c r="C125" s="44"/>
      <c r="D125" s="47"/>
      <c r="E125" s="120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>
        <f t="shared" si="4"/>
        <v>0</v>
      </c>
      <c r="T125" s="20">
        <f t="shared" si="1"/>
        <v>0</v>
      </c>
    </row>
    <row r="126" spans="1:21" ht="15.75" customHeight="1" x14ac:dyDescent="0.3">
      <c r="A126" s="44">
        <v>120</v>
      </c>
      <c r="B126" s="47" t="s">
        <v>246</v>
      </c>
      <c r="C126" s="44"/>
      <c r="D126" s="47"/>
      <c r="E126" s="120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>
        <f t="shared" si="4"/>
        <v>0</v>
      </c>
      <c r="T126" s="20">
        <f t="shared" si="1"/>
        <v>0</v>
      </c>
    </row>
    <row r="127" spans="1:21" ht="15.75" customHeight="1" x14ac:dyDescent="0.3">
      <c r="A127" s="44">
        <v>121</v>
      </c>
      <c r="B127" s="47" t="s">
        <v>540</v>
      </c>
      <c r="C127" s="48" t="s">
        <v>874</v>
      </c>
      <c r="D127" s="47" t="s">
        <v>875</v>
      </c>
      <c r="E127" s="120">
        <v>20</v>
      </c>
      <c r="F127" s="44">
        <v>10</v>
      </c>
      <c r="G127" s="44">
        <v>10</v>
      </c>
      <c r="H127" s="44">
        <v>10</v>
      </c>
      <c r="I127" s="44">
        <v>10</v>
      </c>
      <c r="J127" s="44">
        <v>10</v>
      </c>
      <c r="K127" s="44">
        <v>10</v>
      </c>
      <c r="L127" s="44">
        <v>10</v>
      </c>
      <c r="M127" s="44">
        <v>10</v>
      </c>
      <c r="N127" s="44">
        <v>10</v>
      </c>
      <c r="O127" s="44">
        <v>10</v>
      </c>
      <c r="P127" s="44">
        <v>10</v>
      </c>
      <c r="Q127" s="44">
        <v>10</v>
      </c>
      <c r="R127" s="44">
        <f t="shared" si="4"/>
        <v>120</v>
      </c>
      <c r="T127" s="20">
        <f t="shared" si="1"/>
        <v>140</v>
      </c>
      <c r="U127" s="20" t="s">
        <v>707</v>
      </c>
    </row>
    <row r="128" spans="1:21" ht="15.75" customHeight="1" x14ac:dyDescent="0.3">
      <c r="A128" s="44">
        <v>122</v>
      </c>
      <c r="B128" s="47" t="s">
        <v>876</v>
      </c>
      <c r="C128" s="44"/>
      <c r="D128" s="47"/>
      <c r="E128" s="120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>
        <f t="shared" si="4"/>
        <v>0</v>
      </c>
      <c r="T128" s="20">
        <f t="shared" si="1"/>
        <v>0</v>
      </c>
    </row>
    <row r="129" spans="1:26" ht="15.75" customHeight="1" x14ac:dyDescent="0.3">
      <c r="A129" s="44">
        <v>123</v>
      </c>
      <c r="B129" s="47" t="s">
        <v>165</v>
      </c>
      <c r="C129" s="46" t="s">
        <v>167</v>
      </c>
      <c r="D129" s="47" t="s">
        <v>877</v>
      </c>
      <c r="E129" s="120">
        <v>20</v>
      </c>
      <c r="F129" s="44">
        <v>10</v>
      </c>
      <c r="G129" s="44">
        <v>10</v>
      </c>
      <c r="H129" s="44">
        <v>10</v>
      </c>
      <c r="I129" s="44">
        <v>10</v>
      </c>
      <c r="J129" s="44">
        <v>10</v>
      </c>
      <c r="K129" s="44">
        <v>10</v>
      </c>
      <c r="L129" s="44">
        <v>10</v>
      </c>
      <c r="M129" s="44">
        <v>10</v>
      </c>
      <c r="N129" s="44">
        <v>10</v>
      </c>
      <c r="O129" s="44">
        <v>10</v>
      </c>
      <c r="P129" s="44">
        <v>10</v>
      </c>
      <c r="Q129" s="44">
        <v>10</v>
      </c>
      <c r="R129" s="44">
        <f t="shared" si="4"/>
        <v>120</v>
      </c>
      <c r="T129" s="20">
        <f t="shared" si="1"/>
        <v>140</v>
      </c>
      <c r="U129" s="20" t="s">
        <v>707</v>
      </c>
    </row>
    <row r="130" spans="1:26" ht="15.75" customHeight="1" x14ac:dyDescent="0.3">
      <c r="A130" s="44">
        <v>124</v>
      </c>
      <c r="B130" s="47" t="s">
        <v>878</v>
      </c>
      <c r="C130" s="44"/>
      <c r="D130" s="47"/>
      <c r="E130" s="120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>
        <f t="shared" si="4"/>
        <v>0</v>
      </c>
      <c r="T130" s="20">
        <f t="shared" si="1"/>
        <v>0</v>
      </c>
    </row>
    <row r="131" spans="1:26" ht="15.75" customHeight="1" x14ac:dyDescent="0.3">
      <c r="A131" s="44">
        <v>125</v>
      </c>
      <c r="B131" s="47" t="s">
        <v>476</v>
      </c>
      <c r="C131" s="46" t="s">
        <v>478</v>
      </c>
      <c r="D131" s="47" t="s">
        <v>879</v>
      </c>
      <c r="E131" s="120">
        <v>20</v>
      </c>
      <c r="F131" s="44">
        <v>10</v>
      </c>
      <c r="G131" s="44">
        <v>10</v>
      </c>
      <c r="H131" s="44">
        <v>10</v>
      </c>
      <c r="I131" s="44">
        <v>10</v>
      </c>
      <c r="J131" s="44">
        <v>10</v>
      </c>
      <c r="K131" s="44">
        <v>10</v>
      </c>
      <c r="L131" s="44">
        <v>10</v>
      </c>
      <c r="M131" s="44">
        <v>10</v>
      </c>
      <c r="N131" s="44">
        <v>10</v>
      </c>
      <c r="O131" s="44">
        <v>10</v>
      </c>
      <c r="P131" s="44">
        <v>10</v>
      </c>
      <c r="Q131" s="44">
        <v>10</v>
      </c>
      <c r="R131" s="44">
        <f t="shared" si="4"/>
        <v>120</v>
      </c>
      <c r="T131" s="20">
        <f t="shared" si="1"/>
        <v>140</v>
      </c>
      <c r="U131" s="20" t="s">
        <v>710</v>
      </c>
    </row>
    <row r="132" spans="1:26" ht="15.75" customHeight="1" x14ac:dyDescent="0.3">
      <c r="A132" s="44"/>
      <c r="B132" s="47" t="s">
        <v>387</v>
      </c>
      <c r="C132" s="51" t="s">
        <v>880</v>
      </c>
      <c r="D132" s="47" t="s">
        <v>881</v>
      </c>
      <c r="E132" s="120">
        <v>20</v>
      </c>
      <c r="F132" s="44">
        <v>10</v>
      </c>
      <c r="G132" s="44">
        <v>10</v>
      </c>
      <c r="H132" s="44">
        <v>10</v>
      </c>
      <c r="I132" s="44">
        <v>10</v>
      </c>
      <c r="J132" s="44">
        <v>10</v>
      </c>
      <c r="K132" s="44">
        <v>10</v>
      </c>
      <c r="L132" s="44">
        <v>10</v>
      </c>
      <c r="M132" s="44">
        <v>10</v>
      </c>
      <c r="N132" s="44">
        <v>10</v>
      </c>
      <c r="O132" s="44">
        <v>10</v>
      </c>
      <c r="P132" s="44">
        <v>10</v>
      </c>
      <c r="Q132" s="44">
        <v>10</v>
      </c>
      <c r="R132" s="44">
        <f t="shared" si="4"/>
        <v>120</v>
      </c>
      <c r="T132" s="20">
        <f t="shared" si="1"/>
        <v>140</v>
      </c>
      <c r="U132" s="20" t="s">
        <v>719</v>
      </c>
    </row>
    <row r="133" spans="1:26" ht="15.75" customHeight="1" x14ac:dyDescent="0.3">
      <c r="A133" s="44"/>
      <c r="B133" s="47" t="s">
        <v>662</v>
      </c>
      <c r="C133" s="46" t="s">
        <v>665</v>
      </c>
      <c r="D133" s="47" t="s">
        <v>882</v>
      </c>
      <c r="E133" s="120">
        <v>20</v>
      </c>
      <c r="F133" s="44">
        <v>10</v>
      </c>
      <c r="G133" s="44">
        <v>10</v>
      </c>
      <c r="H133" s="44">
        <v>10</v>
      </c>
      <c r="I133" s="44"/>
      <c r="J133" s="44"/>
      <c r="K133" s="44"/>
      <c r="L133" s="44"/>
      <c r="M133" s="44"/>
      <c r="N133" s="44"/>
      <c r="O133" s="44"/>
      <c r="P133" s="44"/>
      <c r="Q133" s="44"/>
      <c r="R133" s="49">
        <f t="shared" si="4"/>
        <v>30</v>
      </c>
      <c r="T133" s="20">
        <f t="shared" si="1"/>
        <v>0</v>
      </c>
      <c r="U133" s="20" t="s">
        <v>707</v>
      </c>
      <c r="V133" s="20" t="s">
        <v>15</v>
      </c>
    </row>
    <row r="134" spans="1:26" ht="15.75" customHeight="1" x14ac:dyDescent="0.3">
      <c r="A134" s="44"/>
      <c r="B134" s="47" t="s">
        <v>496</v>
      </c>
      <c r="C134" s="51" t="s">
        <v>883</v>
      </c>
      <c r="D134" s="47" t="s">
        <v>884</v>
      </c>
      <c r="E134" s="120">
        <v>20</v>
      </c>
      <c r="F134" s="44">
        <v>10</v>
      </c>
      <c r="G134" s="44">
        <v>10</v>
      </c>
      <c r="H134" s="44">
        <v>10</v>
      </c>
      <c r="I134" s="44">
        <v>10</v>
      </c>
      <c r="J134" s="44">
        <v>10</v>
      </c>
      <c r="K134" s="44">
        <v>10</v>
      </c>
      <c r="L134" s="44">
        <v>10</v>
      </c>
      <c r="M134" s="44">
        <v>10</v>
      </c>
      <c r="N134" s="44">
        <v>10</v>
      </c>
      <c r="O134" s="44">
        <v>10</v>
      </c>
      <c r="P134" s="44">
        <v>10</v>
      </c>
      <c r="Q134" s="44">
        <v>10</v>
      </c>
      <c r="R134" s="44">
        <f t="shared" si="4"/>
        <v>120</v>
      </c>
      <c r="T134" s="20">
        <f t="shared" si="1"/>
        <v>140</v>
      </c>
      <c r="U134" s="20" t="s">
        <v>885</v>
      </c>
    </row>
    <row r="135" spans="1:26" ht="15.75" customHeight="1" x14ac:dyDescent="0.3">
      <c r="A135" s="44"/>
      <c r="B135" s="47" t="s">
        <v>13</v>
      </c>
      <c r="C135" s="50" t="s">
        <v>886</v>
      </c>
      <c r="D135" s="47" t="s">
        <v>887</v>
      </c>
      <c r="E135" s="120">
        <v>20</v>
      </c>
      <c r="F135" s="44">
        <v>10</v>
      </c>
      <c r="G135" s="44">
        <v>10</v>
      </c>
      <c r="H135" s="44">
        <v>10</v>
      </c>
      <c r="I135" s="44">
        <v>10</v>
      </c>
      <c r="J135" s="44">
        <v>10</v>
      </c>
      <c r="K135" s="44">
        <v>10</v>
      </c>
      <c r="L135" s="44">
        <v>10</v>
      </c>
      <c r="M135" s="44">
        <v>10</v>
      </c>
      <c r="N135" s="44">
        <v>10</v>
      </c>
      <c r="O135" s="44">
        <v>10</v>
      </c>
      <c r="P135" s="44">
        <v>10</v>
      </c>
      <c r="Q135" s="44">
        <v>10</v>
      </c>
      <c r="R135" s="44">
        <f t="shared" si="4"/>
        <v>120</v>
      </c>
      <c r="T135" s="20">
        <f t="shared" si="1"/>
        <v>140</v>
      </c>
    </row>
    <row r="136" spans="1:26" ht="15.75" customHeight="1" x14ac:dyDescent="0.3">
      <c r="A136" s="44"/>
      <c r="B136" s="47" t="s">
        <v>93</v>
      </c>
      <c r="C136" s="48" t="s">
        <v>95</v>
      </c>
      <c r="D136" s="47"/>
      <c r="E136" s="120">
        <v>20</v>
      </c>
      <c r="F136" s="44">
        <v>10</v>
      </c>
      <c r="G136" s="44">
        <v>10</v>
      </c>
      <c r="H136" s="44">
        <v>10</v>
      </c>
      <c r="I136" s="44">
        <v>10</v>
      </c>
      <c r="J136" s="44">
        <v>10</v>
      </c>
      <c r="K136" s="44">
        <v>10</v>
      </c>
      <c r="L136" s="44">
        <v>10</v>
      </c>
      <c r="M136" s="44">
        <v>10</v>
      </c>
      <c r="N136" s="44">
        <v>10</v>
      </c>
      <c r="O136" s="44">
        <v>10</v>
      </c>
      <c r="P136" s="44">
        <v>10</v>
      </c>
      <c r="Q136" s="44">
        <v>10</v>
      </c>
      <c r="R136" s="44">
        <f t="shared" si="4"/>
        <v>120</v>
      </c>
      <c r="T136" s="20">
        <f t="shared" si="1"/>
        <v>140</v>
      </c>
    </row>
    <row r="137" spans="1:26" ht="15.75" customHeight="1" x14ac:dyDescent="0.3">
      <c r="A137" s="44"/>
      <c r="B137" s="47" t="s">
        <v>409</v>
      </c>
      <c r="C137" s="54" t="s">
        <v>412</v>
      </c>
      <c r="D137" s="47" t="s">
        <v>888</v>
      </c>
      <c r="E137" s="120">
        <v>20</v>
      </c>
      <c r="F137" s="44">
        <v>10</v>
      </c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9">
        <f t="shared" si="4"/>
        <v>10</v>
      </c>
      <c r="T137" s="20">
        <f t="shared" si="1"/>
        <v>0</v>
      </c>
    </row>
    <row r="138" spans="1:26" ht="15.75" customHeight="1" x14ac:dyDescent="0.3">
      <c r="A138" s="57"/>
      <c r="B138" s="58" t="s">
        <v>602</v>
      </c>
      <c r="C138" s="59" t="s">
        <v>889</v>
      </c>
      <c r="D138" s="58" t="s">
        <v>736</v>
      </c>
      <c r="E138" s="370">
        <v>20</v>
      </c>
      <c r="F138" s="57">
        <v>10</v>
      </c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49">
        <f t="shared" si="4"/>
        <v>10</v>
      </c>
      <c r="S138" s="60">
        <f>R138+E138</f>
        <v>30</v>
      </c>
      <c r="T138" s="60">
        <f t="shared" si="1"/>
        <v>0</v>
      </c>
      <c r="U138" s="60"/>
      <c r="V138" s="60"/>
      <c r="W138" s="60"/>
      <c r="X138" s="60"/>
      <c r="Y138" s="60"/>
      <c r="Z138" s="60"/>
    </row>
    <row r="139" spans="1:26" ht="15.75" customHeight="1" x14ac:dyDescent="0.3">
      <c r="A139" s="44"/>
      <c r="B139" s="47" t="s">
        <v>890</v>
      </c>
      <c r="C139" s="55" t="s">
        <v>891</v>
      </c>
      <c r="D139" s="47" t="s">
        <v>892</v>
      </c>
      <c r="E139" s="120">
        <v>20</v>
      </c>
      <c r="F139" s="44">
        <v>10</v>
      </c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9">
        <f t="shared" si="4"/>
        <v>10</v>
      </c>
      <c r="S139" s="53"/>
      <c r="T139" s="53">
        <f t="shared" si="1"/>
        <v>0</v>
      </c>
      <c r="U139" s="53"/>
      <c r="V139" s="53"/>
      <c r="W139" s="53"/>
      <c r="X139" s="53"/>
      <c r="Y139" s="53"/>
      <c r="Z139" s="53"/>
    </row>
    <row r="140" spans="1:26" ht="15.75" customHeight="1" x14ac:dyDescent="0.3">
      <c r="A140" s="44"/>
      <c r="B140" s="47" t="s">
        <v>893</v>
      </c>
      <c r="C140" s="55" t="s">
        <v>894</v>
      </c>
      <c r="D140" s="47" t="s">
        <v>895</v>
      </c>
      <c r="E140" s="120">
        <v>20</v>
      </c>
      <c r="F140" s="44">
        <v>10</v>
      </c>
      <c r="G140" s="44">
        <v>10</v>
      </c>
      <c r="H140" s="44">
        <v>10</v>
      </c>
      <c r="I140" s="44">
        <v>10</v>
      </c>
      <c r="J140" s="44">
        <v>10</v>
      </c>
      <c r="K140" s="44">
        <v>10</v>
      </c>
      <c r="L140" s="44">
        <v>10</v>
      </c>
      <c r="M140" s="44">
        <v>10</v>
      </c>
      <c r="N140" s="44">
        <v>10</v>
      </c>
      <c r="O140" s="44">
        <v>10</v>
      </c>
      <c r="P140" s="44">
        <v>10</v>
      </c>
      <c r="Q140" s="44">
        <v>10</v>
      </c>
      <c r="R140" s="44">
        <f t="shared" si="4"/>
        <v>120</v>
      </c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 x14ac:dyDescent="0.3">
      <c r="A141" s="44"/>
      <c r="B141" s="47"/>
      <c r="C141" s="14"/>
      <c r="D141" s="47"/>
      <c r="E141" s="120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</row>
    <row r="142" spans="1:26" ht="15.75" customHeight="1" x14ac:dyDescent="0.3">
      <c r="A142" s="53"/>
      <c r="B142" s="39"/>
      <c r="C142" s="62"/>
      <c r="D142" s="39"/>
      <c r="E142" s="149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</row>
    <row r="143" spans="1:26" ht="15.75" customHeight="1" x14ac:dyDescent="0.3">
      <c r="B143" s="39"/>
      <c r="D143" s="39" t="s">
        <v>896</v>
      </c>
      <c r="E143" s="151">
        <f t="shared" ref="E143:T143" si="5">SUM(E7:E141)</f>
        <v>1920</v>
      </c>
      <c r="F143" s="20">
        <f t="shared" si="5"/>
        <v>960</v>
      </c>
      <c r="G143" s="20">
        <f t="shared" si="5"/>
        <v>900</v>
      </c>
      <c r="H143" s="20">
        <f t="shared" si="5"/>
        <v>900</v>
      </c>
      <c r="I143" s="20">
        <f t="shared" si="5"/>
        <v>880</v>
      </c>
      <c r="J143" s="20">
        <f t="shared" si="5"/>
        <v>880</v>
      </c>
      <c r="K143" s="20">
        <f t="shared" si="5"/>
        <v>880</v>
      </c>
      <c r="L143" s="20">
        <f t="shared" si="5"/>
        <v>880</v>
      </c>
      <c r="M143" s="20">
        <f t="shared" si="5"/>
        <v>880</v>
      </c>
      <c r="N143" s="20">
        <f t="shared" si="5"/>
        <v>880</v>
      </c>
      <c r="O143" s="20">
        <f t="shared" si="5"/>
        <v>880</v>
      </c>
      <c r="P143" s="20">
        <f t="shared" si="5"/>
        <v>860</v>
      </c>
      <c r="Q143" s="20">
        <f t="shared" si="5"/>
        <v>860</v>
      </c>
      <c r="R143" s="20">
        <f t="shared" si="5"/>
        <v>10640</v>
      </c>
      <c r="S143" s="20">
        <f t="shared" si="5"/>
        <v>1480</v>
      </c>
      <c r="T143" s="20">
        <f t="shared" si="5"/>
        <v>11900</v>
      </c>
      <c r="U143" s="20">
        <f>T143/140</f>
        <v>85</v>
      </c>
    </row>
    <row r="144" spans="1:26" ht="15.75" customHeight="1" x14ac:dyDescent="0.3">
      <c r="B144" s="39"/>
      <c r="D144" s="39"/>
      <c r="E144" s="151">
        <f>E143/20</f>
        <v>96</v>
      </c>
    </row>
    <row r="145" spans="2:19" ht="15.75" customHeight="1" x14ac:dyDescent="0.3">
      <c r="B145" s="39"/>
      <c r="D145" s="39"/>
      <c r="S145" s="42">
        <f>C3-S143-280</f>
        <v>10800</v>
      </c>
    </row>
    <row r="146" spans="2:19" ht="15.75" customHeight="1" x14ac:dyDescent="0.3">
      <c r="B146" s="39"/>
      <c r="D146" s="39"/>
    </row>
    <row r="147" spans="2:19" ht="15.75" customHeight="1" x14ac:dyDescent="0.3">
      <c r="B147" s="39"/>
      <c r="D147" s="39"/>
    </row>
    <row r="148" spans="2:19" ht="15.75" customHeight="1" x14ac:dyDescent="0.3">
      <c r="B148" s="39"/>
      <c r="D148" s="39"/>
    </row>
    <row r="149" spans="2:19" ht="15.75" customHeight="1" x14ac:dyDescent="0.3">
      <c r="B149" s="39"/>
      <c r="D149" s="39"/>
    </row>
    <row r="150" spans="2:19" ht="15.75" customHeight="1" x14ac:dyDescent="0.3">
      <c r="B150" s="39"/>
      <c r="D150" s="39"/>
    </row>
    <row r="151" spans="2:19" ht="15.75" customHeight="1" x14ac:dyDescent="0.3">
      <c r="B151" s="39"/>
      <c r="D151" s="39"/>
    </row>
    <row r="152" spans="2:19" ht="15.75" customHeight="1" x14ac:dyDescent="0.3">
      <c r="B152" s="39"/>
      <c r="D152" s="39"/>
    </row>
    <row r="153" spans="2:19" ht="15.75" customHeight="1" x14ac:dyDescent="0.3">
      <c r="B153" s="39"/>
      <c r="D153" s="39"/>
    </row>
    <row r="154" spans="2:19" ht="15.75" customHeight="1" x14ac:dyDescent="0.3">
      <c r="B154" s="39"/>
      <c r="D154" s="39"/>
    </row>
    <row r="155" spans="2:19" ht="15.75" customHeight="1" x14ac:dyDescent="0.3">
      <c r="B155" s="39"/>
      <c r="D155" s="39"/>
    </row>
    <row r="156" spans="2:19" ht="15.75" customHeight="1" x14ac:dyDescent="0.3">
      <c r="B156" s="39"/>
      <c r="D156" s="39"/>
    </row>
    <row r="157" spans="2:19" ht="15.75" customHeight="1" x14ac:dyDescent="0.3">
      <c r="B157" s="39"/>
      <c r="D157" s="39"/>
    </row>
    <row r="158" spans="2:19" ht="15.75" customHeight="1" x14ac:dyDescent="0.3">
      <c r="B158" s="39"/>
      <c r="D158" s="39"/>
    </row>
    <row r="159" spans="2:19" ht="15.75" customHeight="1" x14ac:dyDescent="0.3">
      <c r="B159" s="39"/>
      <c r="D159" s="39"/>
    </row>
    <row r="160" spans="2:19" ht="15.75" customHeight="1" x14ac:dyDescent="0.3">
      <c r="B160" s="39"/>
      <c r="D160" s="39"/>
    </row>
    <row r="161" spans="2:4" ht="15.75" customHeight="1" x14ac:dyDescent="0.3">
      <c r="B161" s="39"/>
      <c r="D161" s="39"/>
    </row>
    <row r="162" spans="2:4" ht="15.75" customHeight="1" x14ac:dyDescent="0.3">
      <c r="B162" s="39"/>
      <c r="D162" s="39"/>
    </row>
    <row r="163" spans="2:4" ht="15.75" customHeight="1" x14ac:dyDescent="0.3">
      <c r="B163" s="39"/>
      <c r="D163" s="39"/>
    </row>
    <row r="164" spans="2:4" ht="15.75" customHeight="1" x14ac:dyDescent="0.3">
      <c r="B164" s="39"/>
      <c r="D164" s="39"/>
    </row>
    <row r="165" spans="2:4" ht="15.75" customHeight="1" x14ac:dyDescent="0.3">
      <c r="B165" s="39"/>
      <c r="D165" s="39"/>
    </row>
    <row r="166" spans="2:4" ht="15.75" customHeight="1" x14ac:dyDescent="0.3">
      <c r="B166" s="39"/>
      <c r="D166" s="39"/>
    </row>
    <row r="167" spans="2:4" ht="15.75" customHeight="1" x14ac:dyDescent="0.3">
      <c r="B167" s="39"/>
      <c r="D167" s="39"/>
    </row>
    <row r="168" spans="2:4" ht="15.75" customHeight="1" x14ac:dyDescent="0.3">
      <c r="B168" s="39"/>
      <c r="D168" s="39"/>
    </row>
    <row r="169" spans="2:4" ht="15.75" customHeight="1" x14ac:dyDescent="0.3">
      <c r="B169" s="39"/>
      <c r="D169" s="39"/>
    </row>
    <row r="170" spans="2:4" ht="15.75" customHeight="1" x14ac:dyDescent="0.3">
      <c r="B170" s="39"/>
      <c r="D170" s="39"/>
    </row>
    <row r="171" spans="2:4" ht="15.75" customHeight="1" x14ac:dyDescent="0.3">
      <c r="B171" s="39"/>
      <c r="D171" s="39"/>
    </row>
    <row r="172" spans="2:4" ht="15.75" customHeight="1" x14ac:dyDescent="0.3">
      <c r="B172" s="39"/>
      <c r="D172" s="39"/>
    </row>
    <row r="173" spans="2:4" ht="15.75" customHeight="1" x14ac:dyDescent="0.3">
      <c r="B173" s="39"/>
      <c r="D173" s="39"/>
    </row>
    <row r="174" spans="2:4" ht="15.75" customHeight="1" x14ac:dyDescent="0.3">
      <c r="B174" s="39"/>
      <c r="D174" s="39"/>
    </row>
    <row r="175" spans="2:4" ht="15.75" customHeight="1" x14ac:dyDescent="0.3">
      <c r="B175" s="39"/>
      <c r="D175" s="39"/>
    </row>
    <row r="176" spans="2:4" ht="15.75" customHeight="1" x14ac:dyDescent="0.3">
      <c r="B176" s="39"/>
      <c r="D176" s="39"/>
    </row>
    <row r="177" spans="2:4" ht="15.75" customHeight="1" x14ac:dyDescent="0.3">
      <c r="B177" s="39"/>
      <c r="D177" s="39"/>
    </row>
    <row r="178" spans="2:4" ht="15.75" customHeight="1" x14ac:dyDescent="0.3">
      <c r="B178" s="39"/>
      <c r="D178" s="39"/>
    </row>
    <row r="179" spans="2:4" ht="15.75" customHeight="1" x14ac:dyDescent="0.3">
      <c r="B179" s="39"/>
      <c r="D179" s="39"/>
    </row>
    <row r="180" spans="2:4" ht="15.75" customHeight="1" x14ac:dyDescent="0.3">
      <c r="B180" s="39"/>
      <c r="D180" s="39"/>
    </row>
    <row r="181" spans="2:4" ht="15.75" customHeight="1" x14ac:dyDescent="0.3">
      <c r="B181" s="39"/>
      <c r="D181" s="39"/>
    </row>
    <row r="182" spans="2:4" ht="15.75" customHeight="1" x14ac:dyDescent="0.3">
      <c r="B182" s="39"/>
      <c r="D182" s="39"/>
    </row>
    <row r="183" spans="2:4" ht="15.75" customHeight="1" x14ac:dyDescent="0.3">
      <c r="B183" s="39"/>
      <c r="D183" s="39"/>
    </row>
    <row r="184" spans="2:4" ht="15.75" customHeight="1" x14ac:dyDescent="0.3">
      <c r="B184" s="39"/>
      <c r="D184" s="39"/>
    </row>
    <row r="185" spans="2:4" ht="15.75" customHeight="1" x14ac:dyDescent="0.3">
      <c r="B185" s="39"/>
      <c r="D185" s="39"/>
    </row>
    <row r="186" spans="2:4" ht="15.75" customHeight="1" x14ac:dyDescent="0.3">
      <c r="B186" s="39"/>
      <c r="D186" s="39"/>
    </row>
    <row r="187" spans="2:4" ht="15.75" customHeight="1" x14ac:dyDescent="0.3">
      <c r="B187" s="39"/>
      <c r="D187" s="39"/>
    </row>
    <row r="188" spans="2:4" ht="15.75" customHeight="1" x14ac:dyDescent="0.3">
      <c r="B188" s="39"/>
      <c r="D188" s="39"/>
    </row>
    <row r="189" spans="2:4" ht="15.75" customHeight="1" x14ac:dyDescent="0.3">
      <c r="B189" s="39"/>
      <c r="D189" s="39"/>
    </row>
    <row r="190" spans="2:4" ht="15.75" customHeight="1" x14ac:dyDescent="0.3">
      <c r="B190" s="39"/>
      <c r="D190" s="39"/>
    </row>
    <row r="191" spans="2:4" ht="15.75" customHeight="1" x14ac:dyDescent="0.3">
      <c r="B191" s="39"/>
      <c r="D191" s="39"/>
    </row>
    <row r="192" spans="2:4" ht="15.75" customHeight="1" x14ac:dyDescent="0.3">
      <c r="B192" s="39"/>
      <c r="D192" s="39"/>
    </row>
    <row r="193" spans="2:4" ht="15.75" customHeight="1" x14ac:dyDescent="0.3">
      <c r="B193" s="39"/>
      <c r="D193" s="39"/>
    </row>
    <row r="194" spans="2:4" ht="15.75" customHeight="1" x14ac:dyDescent="0.3">
      <c r="B194" s="39"/>
      <c r="D194" s="39"/>
    </row>
    <row r="195" spans="2:4" ht="15.75" customHeight="1" x14ac:dyDescent="0.3">
      <c r="B195" s="39"/>
      <c r="D195" s="39"/>
    </row>
    <row r="196" spans="2:4" ht="15.75" customHeight="1" x14ac:dyDescent="0.3">
      <c r="B196" s="39"/>
      <c r="D196" s="39"/>
    </row>
    <row r="197" spans="2:4" ht="15.75" customHeight="1" x14ac:dyDescent="0.3">
      <c r="B197" s="39"/>
      <c r="D197" s="39"/>
    </row>
    <row r="198" spans="2:4" ht="15.75" customHeight="1" x14ac:dyDescent="0.3">
      <c r="B198" s="39"/>
      <c r="D198" s="39"/>
    </row>
    <row r="199" spans="2:4" ht="15.75" customHeight="1" x14ac:dyDescent="0.3">
      <c r="B199" s="39"/>
      <c r="D199" s="39"/>
    </row>
    <row r="200" spans="2:4" ht="15.75" customHeight="1" x14ac:dyDescent="0.3">
      <c r="B200" s="39"/>
      <c r="D200" s="39"/>
    </row>
    <row r="201" spans="2:4" ht="15.75" customHeight="1" x14ac:dyDescent="0.3">
      <c r="B201" s="39"/>
      <c r="D201" s="39"/>
    </row>
    <row r="202" spans="2:4" ht="15.75" customHeight="1" x14ac:dyDescent="0.3">
      <c r="B202" s="39"/>
      <c r="D202" s="39"/>
    </row>
    <row r="203" spans="2:4" ht="15.75" customHeight="1" x14ac:dyDescent="0.3">
      <c r="B203" s="39"/>
      <c r="D203" s="39"/>
    </row>
    <row r="204" spans="2:4" ht="15.75" customHeight="1" x14ac:dyDescent="0.3">
      <c r="B204" s="39"/>
      <c r="D204" s="39"/>
    </row>
    <row r="205" spans="2:4" ht="15.75" customHeight="1" x14ac:dyDescent="0.3">
      <c r="B205" s="39"/>
      <c r="D205" s="39"/>
    </row>
    <row r="206" spans="2:4" ht="15.75" customHeight="1" x14ac:dyDescent="0.3">
      <c r="B206" s="39"/>
      <c r="D206" s="39"/>
    </row>
    <row r="207" spans="2:4" ht="15.75" customHeight="1" x14ac:dyDescent="0.3">
      <c r="B207" s="39"/>
      <c r="D207" s="39"/>
    </row>
    <row r="208" spans="2:4" ht="15.75" customHeight="1" x14ac:dyDescent="0.3">
      <c r="B208" s="39"/>
      <c r="D208" s="39"/>
    </row>
    <row r="209" spans="2:4" ht="15.75" customHeight="1" x14ac:dyDescent="0.3">
      <c r="B209" s="39"/>
      <c r="D209" s="39"/>
    </row>
    <row r="210" spans="2:4" ht="15.75" customHeight="1" x14ac:dyDescent="0.3">
      <c r="B210" s="39"/>
      <c r="D210" s="39"/>
    </row>
    <row r="211" spans="2:4" ht="15.75" customHeight="1" x14ac:dyDescent="0.3">
      <c r="B211" s="39"/>
      <c r="D211" s="39"/>
    </row>
    <row r="212" spans="2:4" ht="15.75" customHeight="1" x14ac:dyDescent="0.3">
      <c r="B212" s="39"/>
      <c r="D212" s="39"/>
    </row>
    <row r="213" spans="2:4" ht="15.75" customHeight="1" x14ac:dyDescent="0.3">
      <c r="B213" s="39"/>
      <c r="D213" s="39"/>
    </row>
    <row r="214" spans="2:4" ht="15.75" customHeight="1" x14ac:dyDescent="0.3">
      <c r="B214" s="39"/>
      <c r="D214" s="39"/>
    </row>
    <row r="215" spans="2:4" ht="15.75" customHeight="1" x14ac:dyDescent="0.3">
      <c r="B215" s="39"/>
      <c r="D215" s="39"/>
    </row>
    <row r="216" spans="2:4" ht="15.75" customHeight="1" x14ac:dyDescent="0.3">
      <c r="B216" s="39"/>
      <c r="D216" s="39"/>
    </row>
    <row r="217" spans="2:4" ht="15.75" customHeight="1" x14ac:dyDescent="0.3">
      <c r="B217" s="39"/>
      <c r="D217" s="39"/>
    </row>
    <row r="218" spans="2:4" ht="15.75" customHeight="1" x14ac:dyDescent="0.3">
      <c r="B218" s="39"/>
      <c r="D218" s="39"/>
    </row>
    <row r="219" spans="2:4" ht="15.75" customHeight="1" x14ac:dyDescent="0.3">
      <c r="B219" s="39"/>
      <c r="D219" s="39"/>
    </row>
    <row r="220" spans="2:4" ht="15.75" customHeight="1" x14ac:dyDescent="0.3">
      <c r="B220" s="39"/>
      <c r="D220" s="39"/>
    </row>
    <row r="221" spans="2:4" ht="15.75" customHeight="1" x14ac:dyDescent="0.3">
      <c r="B221" s="39"/>
      <c r="D221" s="39"/>
    </row>
    <row r="222" spans="2:4" ht="15.75" customHeight="1" x14ac:dyDescent="0.3">
      <c r="B222" s="39"/>
      <c r="D222" s="39"/>
    </row>
    <row r="223" spans="2:4" ht="15.75" customHeight="1" x14ac:dyDescent="0.3">
      <c r="B223" s="39"/>
      <c r="D223" s="39"/>
    </row>
    <row r="224" spans="2:4" ht="15.75" customHeight="1" x14ac:dyDescent="0.3">
      <c r="B224" s="39"/>
      <c r="D224" s="39"/>
    </row>
    <row r="225" spans="2:4" ht="15.75" customHeight="1" x14ac:dyDescent="0.3">
      <c r="B225" s="39"/>
      <c r="D225" s="39"/>
    </row>
    <row r="226" spans="2:4" ht="15.75" customHeight="1" x14ac:dyDescent="0.3">
      <c r="B226" s="39"/>
      <c r="D226" s="39"/>
    </row>
    <row r="227" spans="2:4" ht="15.75" customHeight="1" x14ac:dyDescent="0.3">
      <c r="B227" s="39"/>
      <c r="D227" s="39"/>
    </row>
    <row r="228" spans="2:4" ht="15.75" customHeight="1" x14ac:dyDescent="0.3">
      <c r="B228" s="39"/>
      <c r="D228" s="39"/>
    </row>
    <row r="229" spans="2:4" ht="15.75" customHeight="1" x14ac:dyDescent="0.3">
      <c r="B229" s="39"/>
      <c r="D229" s="39"/>
    </row>
    <row r="230" spans="2:4" ht="15.75" customHeight="1" x14ac:dyDescent="0.3">
      <c r="B230" s="39"/>
      <c r="D230" s="39"/>
    </row>
    <row r="231" spans="2:4" ht="15.75" customHeight="1" x14ac:dyDescent="0.3">
      <c r="B231" s="39"/>
      <c r="D231" s="39"/>
    </row>
    <row r="232" spans="2:4" ht="15.75" customHeight="1" x14ac:dyDescent="0.3">
      <c r="B232" s="39"/>
      <c r="D232" s="39"/>
    </row>
    <row r="233" spans="2:4" ht="15.75" customHeight="1" x14ac:dyDescent="0.3">
      <c r="B233" s="39"/>
      <c r="D233" s="39"/>
    </row>
    <row r="234" spans="2:4" ht="15.75" customHeight="1" x14ac:dyDescent="0.3">
      <c r="B234" s="39"/>
      <c r="D234" s="39"/>
    </row>
    <row r="235" spans="2:4" ht="15.75" customHeight="1" x14ac:dyDescent="0.3">
      <c r="B235" s="39"/>
      <c r="D235" s="39"/>
    </row>
    <row r="236" spans="2:4" ht="15.75" customHeight="1" x14ac:dyDescent="0.3">
      <c r="B236" s="39"/>
      <c r="D236" s="39"/>
    </row>
    <row r="237" spans="2:4" ht="15.75" customHeight="1" x14ac:dyDescent="0.3">
      <c r="B237" s="39"/>
      <c r="D237" s="39"/>
    </row>
    <row r="238" spans="2:4" ht="15.75" customHeight="1" x14ac:dyDescent="0.3">
      <c r="B238" s="39"/>
      <c r="D238" s="39"/>
    </row>
    <row r="239" spans="2:4" ht="15.75" customHeight="1" x14ac:dyDescent="0.3">
      <c r="B239" s="39"/>
      <c r="D239" s="39"/>
    </row>
    <row r="240" spans="2:4" ht="15.75" customHeight="1" x14ac:dyDescent="0.3">
      <c r="B240" s="39"/>
      <c r="D240" s="39"/>
    </row>
    <row r="241" spans="2:4" ht="15.75" customHeight="1" x14ac:dyDescent="0.3">
      <c r="B241" s="39"/>
      <c r="D241" s="39"/>
    </row>
    <row r="242" spans="2:4" ht="15.75" customHeight="1" x14ac:dyDescent="0.3">
      <c r="B242" s="39"/>
      <c r="D242" s="39"/>
    </row>
    <row r="243" spans="2:4" ht="15.75" customHeight="1" x14ac:dyDescent="0.3">
      <c r="B243" s="39"/>
      <c r="D243" s="39"/>
    </row>
    <row r="244" spans="2:4" ht="15.75" customHeight="1" x14ac:dyDescent="0.3">
      <c r="B244" s="39"/>
      <c r="D244" s="39"/>
    </row>
    <row r="245" spans="2:4" ht="15.75" customHeight="1" x14ac:dyDescent="0.3">
      <c r="B245" s="39"/>
      <c r="D245" s="39"/>
    </row>
    <row r="246" spans="2:4" ht="15.75" customHeight="1" x14ac:dyDescent="0.3">
      <c r="B246" s="39"/>
      <c r="D246" s="39"/>
    </row>
    <row r="247" spans="2:4" ht="15.75" customHeight="1" x14ac:dyDescent="0.3">
      <c r="B247" s="39"/>
      <c r="D247" s="39"/>
    </row>
    <row r="248" spans="2:4" ht="15.75" customHeight="1" x14ac:dyDescent="0.3">
      <c r="B248" s="39"/>
      <c r="D248" s="39"/>
    </row>
    <row r="249" spans="2:4" ht="15.75" customHeight="1" x14ac:dyDescent="0.3">
      <c r="B249" s="39"/>
      <c r="D249" s="39"/>
    </row>
    <row r="250" spans="2:4" ht="15.75" customHeight="1" x14ac:dyDescent="0.3">
      <c r="B250" s="39"/>
      <c r="D250" s="39"/>
    </row>
    <row r="251" spans="2:4" ht="15.75" customHeight="1" x14ac:dyDescent="0.3">
      <c r="B251" s="39"/>
      <c r="D251" s="39"/>
    </row>
    <row r="252" spans="2:4" ht="15.75" customHeight="1" x14ac:dyDescent="0.3">
      <c r="B252" s="39"/>
      <c r="D252" s="39"/>
    </row>
    <row r="253" spans="2:4" ht="15.75" customHeight="1" x14ac:dyDescent="0.3">
      <c r="B253" s="39"/>
      <c r="D253" s="39"/>
    </row>
    <row r="254" spans="2:4" ht="15.75" customHeight="1" x14ac:dyDescent="0.3">
      <c r="B254" s="39"/>
      <c r="D254" s="39"/>
    </row>
    <row r="255" spans="2:4" ht="15.75" customHeight="1" x14ac:dyDescent="0.3">
      <c r="B255" s="39"/>
      <c r="D255" s="39"/>
    </row>
    <row r="256" spans="2:4" ht="15.75" customHeight="1" x14ac:dyDescent="0.3">
      <c r="B256" s="39"/>
      <c r="D256" s="39"/>
    </row>
    <row r="257" spans="2:4" ht="15.75" customHeight="1" x14ac:dyDescent="0.3">
      <c r="B257" s="39"/>
      <c r="D257" s="39"/>
    </row>
    <row r="258" spans="2:4" ht="15.75" customHeight="1" x14ac:dyDescent="0.3">
      <c r="B258" s="39"/>
      <c r="D258" s="39"/>
    </row>
    <row r="259" spans="2:4" ht="15.75" customHeight="1" x14ac:dyDescent="0.3">
      <c r="B259" s="39"/>
      <c r="D259" s="39"/>
    </row>
    <row r="260" spans="2:4" ht="15.75" customHeight="1" x14ac:dyDescent="0.3">
      <c r="B260" s="39"/>
      <c r="D260" s="39"/>
    </row>
    <row r="261" spans="2:4" ht="15.75" customHeight="1" x14ac:dyDescent="0.3">
      <c r="B261" s="39"/>
      <c r="D261" s="39"/>
    </row>
    <row r="262" spans="2:4" ht="15.75" customHeight="1" x14ac:dyDescent="0.3">
      <c r="B262" s="39"/>
      <c r="D262" s="39"/>
    </row>
    <row r="263" spans="2:4" ht="15.75" customHeight="1" x14ac:dyDescent="0.3">
      <c r="B263" s="39"/>
      <c r="D263" s="39"/>
    </row>
    <row r="264" spans="2:4" ht="15.75" customHeight="1" x14ac:dyDescent="0.3">
      <c r="B264" s="39"/>
      <c r="D264" s="39"/>
    </row>
    <row r="265" spans="2:4" ht="15.75" customHeight="1" x14ac:dyDescent="0.3">
      <c r="B265" s="39"/>
      <c r="D265" s="39"/>
    </row>
    <row r="266" spans="2:4" ht="15.75" customHeight="1" x14ac:dyDescent="0.3">
      <c r="B266" s="39"/>
      <c r="D266" s="39"/>
    </row>
    <row r="267" spans="2:4" ht="15.75" customHeight="1" x14ac:dyDescent="0.3">
      <c r="B267" s="39"/>
      <c r="D267" s="39"/>
    </row>
    <row r="268" spans="2:4" ht="15.75" customHeight="1" x14ac:dyDescent="0.3">
      <c r="B268" s="39"/>
      <c r="D268" s="39"/>
    </row>
    <row r="269" spans="2:4" ht="15.75" customHeight="1" x14ac:dyDescent="0.3">
      <c r="B269" s="39"/>
      <c r="D269" s="39"/>
    </row>
    <row r="270" spans="2:4" ht="15.75" customHeight="1" x14ac:dyDescent="0.3">
      <c r="B270" s="39"/>
      <c r="D270" s="39"/>
    </row>
    <row r="271" spans="2:4" ht="15.75" customHeight="1" x14ac:dyDescent="0.3">
      <c r="B271" s="39"/>
      <c r="D271" s="39"/>
    </row>
    <row r="272" spans="2:4" ht="15.75" customHeight="1" x14ac:dyDescent="0.3">
      <c r="B272" s="39"/>
      <c r="D272" s="39"/>
    </row>
    <row r="273" spans="2:4" ht="15.75" customHeight="1" x14ac:dyDescent="0.3">
      <c r="B273" s="39"/>
      <c r="D273" s="39"/>
    </row>
    <row r="274" spans="2:4" ht="15.75" customHeight="1" x14ac:dyDescent="0.3">
      <c r="B274" s="39"/>
      <c r="D274" s="39"/>
    </row>
    <row r="275" spans="2:4" ht="15.75" customHeight="1" x14ac:dyDescent="0.3">
      <c r="B275" s="39"/>
      <c r="D275" s="39"/>
    </row>
    <row r="276" spans="2:4" ht="15.75" customHeight="1" x14ac:dyDescent="0.3">
      <c r="B276" s="39"/>
      <c r="D276" s="39"/>
    </row>
    <row r="277" spans="2:4" ht="15.75" customHeight="1" x14ac:dyDescent="0.3">
      <c r="B277" s="39"/>
      <c r="D277" s="39"/>
    </row>
    <row r="278" spans="2:4" ht="15.75" customHeight="1" x14ac:dyDescent="0.3">
      <c r="B278" s="39"/>
      <c r="D278" s="39"/>
    </row>
    <row r="279" spans="2:4" ht="15.75" customHeight="1" x14ac:dyDescent="0.3">
      <c r="B279" s="39"/>
      <c r="D279" s="39"/>
    </row>
    <row r="280" spans="2:4" ht="15.75" customHeight="1" x14ac:dyDescent="0.3">
      <c r="B280" s="39"/>
      <c r="D280" s="39"/>
    </row>
    <row r="281" spans="2:4" ht="15.75" customHeight="1" x14ac:dyDescent="0.3">
      <c r="B281" s="39"/>
      <c r="D281" s="39"/>
    </row>
    <row r="282" spans="2:4" ht="15.75" customHeight="1" x14ac:dyDescent="0.3">
      <c r="B282" s="39"/>
      <c r="D282" s="39"/>
    </row>
    <row r="283" spans="2:4" ht="15.75" customHeight="1" x14ac:dyDescent="0.3">
      <c r="B283" s="39"/>
      <c r="D283" s="39"/>
    </row>
    <row r="284" spans="2:4" ht="15.75" customHeight="1" x14ac:dyDescent="0.3">
      <c r="B284" s="39"/>
      <c r="D284" s="39"/>
    </row>
    <row r="285" spans="2:4" ht="15.75" customHeight="1" x14ac:dyDescent="0.3">
      <c r="B285" s="39"/>
      <c r="D285" s="39"/>
    </row>
    <row r="286" spans="2:4" ht="15.75" customHeight="1" x14ac:dyDescent="0.3">
      <c r="B286" s="39"/>
      <c r="D286" s="39"/>
    </row>
    <row r="287" spans="2:4" ht="15.75" customHeight="1" x14ac:dyDescent="0.3">
      <c r="B287" s="39"/>
      <c r="D287" s="39"/>
    </row>
    <row r="288" spans="2:4" ht="15.75" customHeight="1" x14ac:dyDescent="0.3">
      <c r="B288" s="39"/>
      <c r="D288" s="39"/>
    </row>
    <row r="289" spans="2:4" ht="15.75" customHeight="1" x14ac:dyDescent="0.3">
      <c r="B289" s="39"/>
      <c r="D289" s="39"/>
    </row>
    <row r="290" spans="2:4" ht="15.75" customHeight="1" x14ac:dyDescent="0.3">
      <c r="B290" s="39"/>
      <c r="D290" s="39"/>
    </row>
    <row r="291" spans="2:4" ht="15.75" customHeight="1" x14ac:dyDescent="0.3">
      <c r="B291" s="39"/>
      <c r="D291" s="39"/>
    </row>
    <row r="292" spans="2:4" ht="15.75" customHeight="1" x14ac:dyDescent="0.3">
      <c r="B292" s="39"/>
      <c r="D292" s="39"/>
    </row>
    <row r="293" spans="2:4" ht="15.75" customHeight="1" x14ac:dyDescent="0.3">
      <c r="B293" s="39"/>
      <c r="D293" s="39"/>
    </row>
    <row r="294" spans="2:4" ht="15.75" customHeight="1" x14ac:dyDescent="0.3">
      <c r="B294" s="39"/>
      <c r="D294" s="39"/>
    </row>
    <row r="295" spans="2:4" ht="15.75" customHeight="1" x14ac:dyDescent="0.3">
      <c r="B295" s="39"/>
      <c r="D295" s="39"/>
    </row>
    <row r="296" spans="2:4" ht="15.75" customHeight="1" x14ac:dyDescent="0.3">
      <c r="B296" s="39"/>
      <c r="D296" s="39"/>
    </row>
    <row r="297" spans="2:4" ht="15.75" customHeight="1" x14ac:dyDescent="0.3">
      <c r="B297" s="39"/>
      <c r="D297" s="39"/>
    </row>
    <row r="298" spans="2:4" ht="15.75" customHeight="1" x14ac:dyDescent="0.3">
      <c r="B298" s="39"/>
      <c r="D298" s="39"/>
    </row>
    <row r="299" spans="2:4" ht="15.75" customHeight="1" x14ac:dyDescent="0.3">
      <c r="B299" s="39"/>
      <c r="D299" s="39"/>
    </row>
    <row r="300" spans="2:4" ht="15.75" customHeight="1" x14ac:dyDescent="0.3">
      <c r="B300" s="39"/>
      <c r="D300" s="39"/>
    </row>
    <row r="301" spans="2:4" ht="15.75" customHeight="1" x14ac:dyDescent="0.3">
      <c r="B301" s="39"/>
      <c r="D301" s="39"/>
    </row>
    <row r="302" spans="2:4" ht="15.75" customHeight="1" x14ac:dyDescent="0.3">
      <c r="B302" s="39"/>
      <c r="D302" s="39"/>
    </row>
    <row r="303" spans="2:4" ht="15.75" customHeight="1" x14ac:dyDescent="0.3">
      <c r="B303" s="39"/>
      <c r="D303" s="39"/>
    </row>
    <row r="304" spans="2:4" ht="15.75" customHeight="1" x14ac:dyDescent="0.3">
      <c r="B304" s="39"/>
      <c r="D304" s="39"/>
    </row>
    <row r="305" spans="2:4" ht="15.75" customHeight="1" x14ac:dyDescent="0.3">
      <c r="B305" s="39"/>
      <c r="D305" s="39"/>
    </row>
    <row r="306" spans="2:4" ht="15.75" customHeight="1" x14ac:dyDescent="0.3">
      <c r="B306" s="39"/>
      <c r="D306" s="39"/>
    </row>
    <row r="307" spans="2:4" ht="15.75" customHeight="1" x14ac:dyDescent="0.3">
      <c r="B307" s="39"/>
      <c r="D307" s="39"/>
    </row>
    <row r="308" spans="2:4" ht="15.75" customHeight="1" x14ac:dyDescent="0.3">
      <c r="B308" s="39"/>
      <c r="D308" s="39"/>
    </row>
    <row r="309" spans="2:4" ht="15.75" customHeight="1" x14ac:dyDescent="0.3">
      <c r="B309" s="39"/>
      <c r="D309" s="39"/>
    </row>
    <row r="310" spans="2:4" ht="15.75" customHeight="1" x14ac:dyDescent="0.3">
      <c r="B310" s="39"/>
      <c r="D310" s="39"/>
    </row>
    <row r="311" spans="2:4" ht="15.75" customHeight="1" x14ac:dyDescent="0.3">
      <c r="B311" s="39"/>
      <c r="D311" s="39"/>
    </row>
    <row r="312" spans="2:4" ht="15.75" customHeight="1" x14ac:dyDescent="0.3">
      <c r="B312" s="39"/>
      <c r="D312" s="39"/>
    </row>
    <row r="313" spans="2:4" ht="15.75" customHeight="1" x14ac:dyDescent="0.3">
      <c r="B313" s="39"/>
      <c r="D313" s="39"/>
    </row>
    <row r="314" spans="2:4" ht="15.75" customHeight="1" x14ac:dyDescent="0.3">
      <c r="B314" s="39"/>
      <c r="D314" s="39"/>
    </row>
    <row r="315" spans="2:4" ht="15.75" customHeight="1" x14ac:dyDescent="0.3">
      <c r="B315" s="39"/>
      <c r="D315" s="39"/>
    </row>
    <row r="316" spans="2:4" ht="15.75" customHeight="1" x14ac:dyDescent="0.3">
      <c r="B316" s="39"/>
      <c r="D316" s="39"/>
    </row>
    <row r="317" spans="2:4" ht="15.75" customHeight="1" x14ac:dyDescent="0.3">
      <c r="B317" s="39"/>
      <c r="D317" s="39"/>
    </row>
    <row r="318" spans="2:4" ht="15.75" customHeight="1" x14ac:dyDescent="0.3">
      <c r="B318" s="39"/>
      <c r="D318" s="39"/>
    </row>
    <row r="319" spans="2:4" ht="15.75" customHeight="1" x14ac:dyDescent="0.3">
      <c r="B319" s="39"/>
      <c r="D319" s="39"/>
    </row>
    <row r="320" spans="2:4" ht="15.75" customHeight="1" x14ac:dyDescent="0.3">
      <c r="B320" s="39"/>
      <c r="D320" s="39"/>
    </row>
    <row r="321" spans="2:4" ht="15.75" customHeight="1" x14ac:dyDescent="0.3">
      <c r="B321" s="39"/>
      <c r="D321" s="39"/>
    </row>
    <row r="322" spans="2:4" ht="15.75" customHeight="1" x14ac:dyDescent="0.3">
      <c r="B322" s="39"/>
      <c r="D322" s="39"/>
    </row>
    <row r="323" spans="2:4" ht="15.75" customHeight="1" x14ac:dyDescent="0.3">
      <c r="B323" s="39"/>
      <c r="D323" s="39"/>
    </row>
    <row r="324" spans="2:4" ht="15.75" customHeight="1" x14ac:dyDescent="0.3">
      <c r="B324" s="39"/>
      <c r="D324" s="39"/>
    </row>
    <row r="325" spans="2:4" ht="15.75" customHeight="1" x14ac:dyDescent="0.3">
      <c r="B325" s="39"/>
      <c r="D325" s="39"/>
    </row>
    <row r="326" spans="2:4" ht="15.75" customHeight="1" x14ac:dyDescent="0.3">
      <c r="B326" s="39"/>
      <c r="D326" s="39"/>
    </row>
    <row r="327" spans="2:4" ht="15.75" customHeight="1" x14ac:dyDescent="0.3">
      <c r="B327" s="39"/>
      <c r="D327" s="39"/>
    </row>
    <row r="328" spans="2:4" ht="15.75" customHeight="1" x14ac:dyDescent="0.3">
      <c r="B328" s="39"/>
      <c r="D328" s="39"/>
    </row>
    <row r="329" spans="2:4" ht="15.75" customHeight="1" x14ac:dyDescent="0.3">
      <c r="B329" s="39"/>
      <c r="D329" s="39"/>
    </row>
    <row r="330" spans="2:4" ht="15.75" customHeight="1" x14ac:dyDescent="0.3">
      <c r="B330" s="39"/>
      <c r="D330" s="39"/>
    </row>
    <row r="331" spans="2:4" ht="15.75" customHeight="1" x14ac:dyDescent="0.3">
      <c r="B331" s="39"/>
      <c r="D331" s="39"/>
    </row>
    <row r="332" spans="2:4" ht="15.75" customHeight="1" x14ac:dyDescent="0.3">
      <c r="B332" s="39"/>
      <c r="D332" s="39"/>
    </row>
    <row r="333" spans="2:4" ht="15.75" customHeight="1" x14ac:dyDescent="0.3">
      <c r="B333" s="39"/>
      <c r="D333" s="39"/>
    </row>
    <row r="334" spans="2:4" ht="15.75" customHeight="1" x14ac:dyDescent="0.3">
      <c r="B334" s="39"/>
      <c r="D334" s="39"/>
    </row>
    <row r="335" spans="2:4" ht="15.75" customHeight="1" x14ac:dyDescent="0.3">
      <c r="B335" s="39"/>
      <c r="D335" s="39"/>
    </row>
    <row r="336" spans="2:4" ht="15.75" customHeight="1" x14ac:dyDescent="0.3">
      <c r="B336" s="39"/>
      <c r="D336" s="39"/>
    </row>
    <row r="337" spans="2:4" ht="15.75" customHeight="1" x14ac:dyDescent="0.3">
      <c r="B337" s="39"/>
      <c r="D337" s="39"/>
    </row>
    <row r="338" spans="2:4" ht="15.75" customHeight="1" x14ac:dyDescent="0.3">
      <c r="B338" s="39"/>
      <c r="D338" s="39"/>
    </row>
    <row r="339" spans="2:4" ht="15.75" customHeight="1" x14ac:dyDescent="0.3">
      <c r="B339" s="39"/>
      <c r="D339" s="39"/>
    </row>
    <row r="340" spans="2:4" ht="15.75" customHeight="1" x14ac:dyDescent="0.3">
      <c r="B340" s="39"/>
      <c r="D340" s="39"/>
    </row>
    <row r="341" spans="2:4" ht="15.75" customHeight="1" x14ac:dyDescent="0.3">
      <c r="B341" s="39"/>
      <c r="D341" s="39"/>
    </row>
    <row r="342" spans="2:4" ht="15.75" customHeight="1" x14ac:dyDescent="0.3">
      <c r="B342" s="39"/>
      <c r="D342" s="39"/>
    </row>
    <row r="343" spans="2:4" ht="15.75" customHeight="1" x14ac:dyDescent="0.3">
      <c r="B343" s="39"/>
      <c r="D343" s="39"/>
    </row>
    <row r="344" spans="2:4" ht="15.75" customHeight="1" x14ac:dyDescent="0.3">
      <c r="B344" s="39"/>
      <c r="D344" s="39"/>
    </row>
    <row r="345" spans="2:4" ht="15.75" customHeight="1" x14ac:dyDescent="0.3">
      <c r="B345" s="39"/>
      <c r="D345" s="39"/>
    </row>
    <row r="346" spans="2:4" ht="15.75" customHeight="1" x14ac:dyDescent="0.3">
      <c r="B346" s="39"/>
      <c r="D346" s="39"/>
    </row>
    <row r="347" spans="2:4" ht="15.75" customHeight="1" x14ac:dyDescent="0.3">
      <c r="B347" s="39"/>
      <c r="D347" s="39"/>
    </row>
    <row r="348" spans="2:4" ht="15.75" customHeight="1" x14ac:dyDescent="0.3">
      <c r="B348" s="39"/>
      <c r="D348" s="39"/>
    </row>
    <row r="349" spans="2:4" ht="15.75" customHeight="1" x14ac:dyDescent="0.3">
      <c r="B349" s="39"/>
      <c r="D349" s="39"/>
    </row>
    <row r="350" spans="2:4" ht="15.75" customHeight="1" x14ac:dyDescent="0.3">
      <c r="B350" s="39"/>
      <c r="D350" s="39"/>
    </row>
    <row r="351" spans="2:4" ht="15.75" customHeight="1" x14ac:dyDescent="0.3">
      <c r="B351" s="39"/>
      <c r="D351" s="39"/>
    </row>
    <row r="352" spans="2:4" ht="15.75" customHeight="1" x14ac:dyDescent="0.3">
      <c r="B352" s="39"/>
      <c r="D352" s="39"/>
    </row>
    <row r="353" spans="2:4" ht="15.75" customHeight="1" x14ac:dyDescent="0.3">
      <c r="B353" s="39"/>
      <c r="D353" s="39"/>
    </row>
    <row r="354" spans="2:4" ht="15.75" customHeight="1" x14ac:dyDescent="0.3">
      <c r="B354" s="39"/>
      <c r="D354" s="39"/>
    </row>
    <row r="355" spans="2:4" ht="15.75" customHeight="1" x14ac:dyDescent="0.3">
      <c r="B355" s="39"/>
      <c r="D355" s="39"/>
    </row>
    <row r="356" spans="2:4" ht="15.75" customHeight="1" x14ac:dyDescent="0.3">
      <c r="B356" s="39"/>
      <c r="D356" s="39"/>
    </row>
    <row r="357" spans="2:4" ht="15.75" customHeight="1" x14ac:dyDescent="0.3">
      <c r="B357" s="39"/>
      <c r="D357" s="39"/>
    </row>
    <row r="358" spans="2:4" ht="15.75" customHeight="1" x14ac:dyDescent="0.3">
      <c r="B358" s="39"/>
      <c r="D358" s="39"/>
    </row>
    <row r="359" spans="2:4" ht="15.75" customHeight="1" x14ac:dyDescent="0.3">
      <c r="B359" s="39"/>
      <c r="D359" s="39"/>
    </row>
    <row r="360" spans="2:4" ht="15.75" customHeight="1" x14ac:dyDescent="0.3">
      <c r="B360" s="39"/>
      <c r="D360" s="39"/>
    </row>
    <row r="361" spans="2:4" ht="15.75" customHeight="1" x14ac:dyDescent="0.3">
      <c r="B361" s="39"/>
      <c r="D361" s="39"/>
    </row>
    <row r="362" spans="2:4" ht="15.75" customHeight="1" x14ac:dyDescent="0.3">
      <c r="B362" s="39"/>
      <c r="D362" s="39"/>
    </row>
    <row r="363" spans="2:4" ht="15.75" customHeight="1" x14ac:dyDescent="0.3">
      <c r="B363" s="39"/>
      <c r="D363" s="39"/>
    </row>
    <row r="364" spans="2:4" ht="15.75" customHeight="1" x14ac:dyDescent="0.3">
      <c r="B364" s="39"/>
      <c r="D364" s="39"/>
    </row>
    <row r="365" spans="2:4" ht="15.75" customHeight="1" x14ac:dyDescent="0.3">
      <c r="B365" s="39"/>
      <c r="D365" s="39"/>
    </row>
    <row r="366" spans="2:4" ht="15.75" customHeight="1" x14ac:dyDescent="0.3">
      <c r="B366" s="39"/>
      <c r="D366" s="39"/>
    </row>
    <row r="367" spans="2:4" ht="15.75" customHeight="1" x14ac:dyDescent="0.3">
      <c r="B367" s="39"/>
      <c r="D367" s="39"/>
    </row>
    <row r="368" spans="2:4" ht="15.75" customHeight="1" x14ac:dyDescent="0.3">
      <c r="B368" s="39"/>
      <c r="D368" s="39"/>
    </row>
    <row r="369" spans="2:4" ht="15.75" customHeight="1" x14ac:dyDescent="0.3">
      <c r="B369" s="39"/>
      <c r="D369" s="39"/>
    </row>
    <row r="370" spans="2:4" ht="15.75" customHeight="1" x14ac:dyDescent="0.3">
      <c r="B370" s="39"/>
      <c r="D370" s="39"/>
    </row>
    <row r="371" spans="2:4" ht="15.75" customHeight="1" x14ac:dyDescent="0.3">
      <c r="B371" s="39"/>
      <c r="D371" s="39"/>
    </row>
    <row r="372" spans="2:4" ht="15.75" customHeight="1" x14ac:dyDescent="0.3">
      <c r="B372" s="39"/>
      <c r="D372" s="39"/>
    </row>
    <row r="373" spans="2:4" ht="15.75" customHeight="1" x14ac:dyDescent="0.3">
      <c r="B373" s="39"/>
      <c r="D373" s="39"/>
    </row>
    <row r="374" spans="2:4" ht="15.75" customHeight="1" x14ac:dyDescent="0.3">
      <c r="B374" s="39"/>
      <c r="D374" s="39"/>
    </row>
    <row r="375" spans="2:4" ht="15.75" customHeight="1" x14ac:dyDescent="0.3">
      <c r="B375" s="39"/>
      <c r="D375" s="39"/>
    </row>
    <row r="376" spans="2:4" ht="15.75" customHeight="1" x14ac:dyDescent="0.3">
      <c r="B376" s="39"/>
      <c r="D376" s="39"/>
    </row>
    <row r="377" spans="2:4" ht="15.75" customHeight="1" x14ac:dyDescent="0.3">
      <c r="B377" s="39"/>
      <c r="D377" s="39"/>
    </row>
    <row r="378" spans="2:4" ht="15.75" customHeight="1" x14ac:dyDescent="0.3">
      <c r="B378" s="39"/>
      <c r="D378" s="39"/>
    </row>
    <row r="379" spans="2:4" ht="15.75" customHeight="1" x14ac:dyDescent="0.3">
      <c r="B379" s="39"/>
      <c r="D379" s="39"/>
    </row>
    <row r="380" spans="2:4" ht="15.75" customHeight="1" x14ac:dyDescent="0.3">
      <c r="B380" s="39"/>
      <c r="D380" s="39"/>
    </row>
    <row r="381" spans="2:4" ht="15.75" customHeight="1" x14ac:dyDescent="0.3">
      <c r="B381" s="39"/>
      <c r="D381" s="39"/>
    </row>
    <row r="382" spans="2:4" ht="15.75" customHeight="1" x14ac:dyDescent="0.3">
      <c r="B382" s="39"/>
      <c r="D382" s="39"/>
    </row>
    <row r="383" spans="2:4" ht="15.75" customHeight="1" x14ac:dyDescent="0.3">
      <c r="B383" s="39"/>
      <c r="D383" s="39"/>
    </row>
    <row r="384" spans="2:4" ht="15.75" customHeight="1" x14ac:dyDescent="0.3">
      <c r="B384" s="39"/>
      <c r="D384" s="39"/>
    </row>
    <row r="385" spans="2:4" ht="15.75" customHeight="1" x14ac:dyDescent="0.3">
      <c r="B385" s="39"/>
      <c r="D385" s="39"/>
    </row>
    <row r="386" spans="2:4" ht="15.75" customHeight="1" x14ac:dyDescent="0.3">
      <c r="B386" s="39"/>
      <c r="D386" s="39"/>
    </row>
    <row r="387" spans="2:4" ht="15.75" customHeight="1" x14ac:dyDescent="0.3">
      <c r="B387" s="39"/>
      <c r="D387" s="39"/>
    </row>
    <row r="388" spans="2:4" ht="15.75" customHeight="1" x14ac:dyDescent="0.3">
      <c r="B388" s="39"/>
      <c r="D388" s="39"/>
    </row>
    <row r="389" spans="2:4" ht="15.75" customHeight="1" x14ac:dyDescent="0.3">
      <c r="B389" s="39"/>
      <c r="D389" s="39"/>
    </row>
    <row r="390" spans="2:4" ht="15.75" customHeight="1" x14ac:dyDescent="0.3">
      <c r="B390" s="39"/>
      <c r="D390" s="39"/>
    </row>
    <row r="391" spans="2:4" ht="15.75" customHeight="1" x14ac:dyDescent="0.3">
      <c r="B391" s="39"/>
      <c r="D391" s="39"/>
    </row>
    <row r="392" spans="2:4" ht="15.75" customHeight="1" x14ac:dyDescent="0.3">
      <c r="B392" s="39"/>
      <c r="D392" s="39"/>
    </row>
    <row r="393" spans="2:4" ht="15.75" customHeight="1" x14ac:dyDescent="0.3">
      <c r="B393" s="39"/>
      <c r="D393" s="39"/>
    </row>
    <row r="394" spans="2:4" ht="15.75" customHeight="1" x14ac:dyDescent="0.3">
      <c r="B394" s="39"/>
      <c r="D394" s="39"/>
    </row>
    <row r="395" spans="2:4" ht="15.75" customHeight="1" x14ac:dyDescent="0.3">
      <c r="B395" s="39"/>
      <c r="D395" s="39"/>
    </row>
    <row r="396" spans="2:4" ht="15.75" customHeight="1" x14ac:dyDescent="0.3">
      <c r="B396" s="39"/>
      <c r="D396" s="39"/>
    </row>
    <row r="397" spans="2:4" ht="15.75" customHeight="1" x14ac:dyDescent="0.3">
      <c r="B397" s="39"/>
      <c r="D397" s="39"/>
    </row>
    <row r="398" spans="2:4" ht="15.75" customHeight="1" x14ac:dyDescent="0.3">
      <c r="B398" s="39"/>
      <c r="D398" s="39"/>
    </row>
    <row r="399" spans="2:4" ht="15.75" customHeight="1" x14ac:dyDescent="0.3">
      <c r="B399" s="39"/>
      <c r="D399" s="39"/>
    </row>
    <row r="400" spans="2:4" ht="15.75" customHeight="1" x14ac:dyDescent="0.3">
      <c r="B400" s="39"/>
      <c r="D400" s="39"/>
    </row>
    <row r="401" spans="2:4" ht="15.75" customHeight="1" x14ac:dyDescent="0.3">
      <c r="B401" s="39"/>
      <c r="D401" s="39"/>
    </row>
    <row r="402" spans="2:4" ht="15.75" customHeight="1" x14ac:dyDescent="0.3">
      <c r="B402" s="39"/>
      <c r="D402" s="39"/>
    </row>
    <row r="403" spans="2:4" ht="15.75" customHeight="1" x14ac:dyDescent="0.3">
      <c r="B403" s="39"/>
      <c r="D403" s="39"/>
    </row>
    <row r="404" spans="2:4" ht="15.75" customHeight="1" x14ac:dyDescent="0.3">
      <c r="B404" s="39"/>
      <c r="D404" s="39"/>
    </row>
    <row r="405" spans="2:4" ht="15.75" customHeight="1" x14ac:dyDescent="0.3">
      <c r="B405" s="39"/>
      <c r="D405" s="39"/>
    </row>
    <row r="406" spans="2:4" ht="15.75" customHeight="1" x14ac:dyDescent="0.3">
      <c r="B406" s="39"/>
      <c r="D406" s="39"/>
    </row>
    <row r="407" spans="2:4" ht="15.75" customHeight="1" x14ac:dyDescent="0.3">
      <c r="B407" s="39"/>
      <c r="D407" s="39"/>
    </row>
    <row r="408" spans="2:4" ht="15.75" customHeight="1" x14ac:dyDescent="0.3">
      <c r="B408" s="39"/>
      <c r="D408" s="39"/>
    </row>
    <row r="409" spans="2:4" ht="15.75" customHeight="1" x14ac:dyDescent="0.3">
      <c r="B409" s="39"/>
      <c r="D409" s="39"/>
    </row>
    <row r="410" spans="2:4" ht="15.75" customHeight="1" x14ac:dyDescent="0.3">
      <c r="B410" s="39"/>
      <c r="D410" s="39"/>
    </row>
    <row r="411" spans="2:4" ht="15.75" customHeight="1" x14ac:dyDescent="0.3">
      <c r="B411" s="39"/>
      <c r="D411" s="39"/>
    </row>
    <row r="412" spans="2:4" ht="15.75" customHeight="1" x14ac:dyDescent="0.3">
      <c r="B412" s="39"/>
      <c r="D412" s="39"/>
    </row>
    <row r="413" spans="2:4" ht="15.75" customHeight="1" x14ac:dyDescent="0.3">
      <c r="B413" s="39"/>
      <c r="D413" s="39"/>
    </row>
    <row r="414" spans="2:4" ht="15.75" customHeight="1" x14ac:dyDescent="0.3">
      <c r="B414" s="39"/>
      <c r="D414" s="39"/>
    </row>
    <row r="415" spans="2:4" ht="15.75" customHeight="1" x14ac:dyDescent="0.3">
      <c r="B415" s="39"/>
      <c r="D415" s="39"/>
    </row>
    <row r="416" spans="2:4" ht="15.75" customHeight="1" x14ac:dyDescent="0.3">
      <c r="B416" s="39"/>
      <c r="D416" s="39"/>
    </row>
    <row r="417" spans="2:4" ht="15.75" customHeight="1" x14ac:dyDescent="0.3">
      <c r="B417" s="39"/>
      <c r="D417" s="39"/>
    </row>
    <row r="418" spans="2:4" ht="15.75" customHeight="1" x14ac:dyDescent="0.3">
      <c r="B418" s="39"/>
      <c r="D418" s="39"/>
    </row>
    <row r="419" spans="2:4" ht="15.75" customHeight="1" x14ac:dyDescent="0.3">
      <c r="B419" s="39"/>
      <c r="D419" s="39"/>
    </row>
    <row r="420" spans="2:4" ht="15.75" customHeight="1" x14ac:dyDescent="0.3">
      <c r="B420" s="39"/>
      <c r="D420" s="39"/>
    </row>
    <row r="421" spans="2:4" ht="15.75" customHeight="1" x14ac:dyDescent="0.3">
      <c r="B421" s="39"/>
      <c r="D421" s="39"/>
    </row>
    <row r="422" spans="2:4" ht="15.75" customHeight="1" x14ac:dyDescent="0.3">
      <c r="B422" s="39"/>
      <c r="D422" s="39"/>
    </row>
    <row r="423" spans="2:4" ht="15.75" customHeight="1" x14ac:dyDescent="0.3">
      <c r="B423" s="39"/>
      <c r="D423" s="39"/>
    </row>
    <row r="424" spans="2:4" ht="15.75" customHeight="1" x14ac:dyDescent="0.3">
      <c r="B424" s="39"/>
      <c r="D424" s="39"/>
    </row>
    <row r="425" spans="2:4" ht="15.75" customHeight="1" x14ac:dyDescent="0.3">
      <c r="B425" s="39"/>
      <c r="D425" s="39"/>
    </row>
    <row r="426" spans="2:4" ht="15.75" customHeight="1" x14ac:dyDescent="0.3">
      <c r="B426" s="39"/>
      <c r="D426" s="39"/>
    </row>
    <row r="427" spans="2:4" ht="15.75" customHeight="1" x14ac:dyDescent="0.3">
      <c r="B427" s="39"/>
      <c r="D427" s="39"/>
    </row>
    <row r="428" spans="2:4" ht="15.75" customHeight="1" x14ac:dyDescent="0.3">
      <c r="B428" s="39"/>
      <c r="D428" s="39"/>
    </row>
    <row r="429" spans="2:4" ht="15.75" customHeight="1" x14ac:dyDescent="0.3">
      <c r="B429" s="39"/>
      <c r="D429" s="39"/>
    </row>
    <row r="430" spans="2:4" ht="15.75" customHeight="1" x14ac:dyDescent="0.3">
      <c r="B430" s="39"/>
      <c r="D430" s="39"/>
    </row>
    <row r="431" spans="2:4" ht="15.75" customHeight="1" x14ac:dyDescent="0.3">
      <c r="B431" s="39"/>
      <c r="D431" s="39"/>
    </row>
    <row r="432" spans="2:4" ht="15.75" customHeight="1" x14ac:dyDescent="0.3">
      <c r="B432" s="39"/>
      <c r="D432" s="39"/>
    </row>
    <row r="433" spans="2:4" ht="15.75" customHeight="1" x14ac:dyDescent="0.3">
      <c r="B433" s="39"/>
      <c r="D433" s="39"/>
    </row>
    <row r="434" spans="2:4" ht="15.75" customHeight="1" x14ac:dyDescent="0.3">
      <c r="B434" s="39"/>
      <c r="D434" s="39"/>
    </row>
    <row r="435" spans="2:4" ht="15.75" customHeight="1" x14ac:dyDescent="0.3">
      <c r="B435" s="39"/>
      <c r="D435" s="39"/>
    </row>
    <row r="436" spans="2:4" ht="15.75" customHeight="1" x14ac:dyDescent="0.3">
      <c r="B436" s="39"/>
      <c r="D436" s="39"/>
    </row>
    <row r="437" spans="2:4" ht="15.75" customHeight="1" x14ac:dyDescent="0.3">
      <c r="B437" s="39"/>
      <c r="D437" s="39"/>
    </row>
    <row r="438" spans="2:4" ht="15.75" customHeight="1" x14ac:dyDescent="0.3">
      <c r="B438" s="39"/>
      <c r="D438" s="39"/>
    </row>
    <row r="439" spans="2:4" ht="15.75" customHeight="1" x14ac:dyDescent="0.3">
      <c r="B439" s="39"/>
      <c r="D439" s="39"/>
    </row>
    <row r="440" spans="2:4" ht="15.75" customHeight="1" x14ac:dyDescent="0.3">
      <c r="B440" s="39"/>
      <c r="D440" s="39"/>
    </row>
    <row r="441" spans="2:4" ht="15.75" customHeight="1" x14ac:dyDescent="0.3">
      <c r="B441" s="39"/>
      <c r="D441" s="39"/>
    </row>
    <row r="442" spans="2:4" ht="15.75" customHeight="1" x14ac:dyDescent="0.3">
      <c r="B442" s="39"/>
      <c r="D442" s="39"/>
    </row>
    <row r="443" spans="2:4" ht="15.75" customHeight="1" x14ac:dyDescent="0.3">
      <c r="B443" s="39"/>
      <c r="D443" s="39"/>
    </row>
    <row r="444" spans="2:4" ht="15.75" customHeight="1" x14ac:dyDescent="0.3">
      <c r="B444" s="39"/>
      <c r="D444" s="39"/>
    </row>
    <row r="445" spans="2:4" ht="15.75" customHeight="1" x14ac:dyDescent="0.3">
      <c r="B445" s="39"/>
      <c r="D445" s="39"/>
    </row>
    <row r="446" spans="2:4" ht="15.75" customHeight="1" x14ac:dyDescent="0.3">
      <c r="B446" s="39"/>
      <c r="D446" s="39"/>
    </row>
    <row r="447" spans="2:4" ht="15.75" customHeight="1" x14ac:dyDescent="0.3">
      <c r="B447" s="39"/>
      <c r="D447" s="39"/>
    </row>
    <row r="448" spans="2:4" ht="15.75" customHeight="1" x14ac:dyDescent="0.3">
      <c r="B448" s="39"/>
      <c r="D448" s="39"/>
    </row>
    <row r="449" spans="2:4" ht="15.75" customHeight="1" x14ac:dyDescent="0.3">
      <c r="B449" s="39"/>
      <c r="D449" s="39"/>
    </row>
    <row r="450" spans="2:4" ht="15.75" customHeight="1" x14ac:dyDescent="0.3">
      <c r="B450" s="39"/>
      <c r="D450" s="39"/>
    </row>
    <row r="451" spans="2:4" ht="15.75" customHeight="1" x14ac:dyDescent="0.3">
      <c r="B451" s="39"/>
      <c r="D451" s="39"/>
    </row>
    <row r="452" spans="2:4" ht="15.75" customHeight="1" x14ac:dyDescent="0.3">
      <c r="B452" s="39"/>
      <c r="D452" s="39"/>
    </row>
    <row r="453" spans="2:4" ht="15.75" customHeight="1" x14ac:dyDescent="0.3">
      <c r="B453" s="39"/>
      <c r="D453" s="39"/>
    </row>
    <row r="454" spans="2:4" ht="15.75" customHeight="1" x14ac:dyDescent="0.3">
      <c r="B454" s="39"/>
      <c r="D454" s="39"/>
    </row>
    <row r="455" spans="2:4" ht="15.75" customHeight="1" x14ac:dyDescent="0.3">
      <c r="B455" s="39"/>
      <c r="D455" s="39"/>
    </row>
    <row r="456" spans="2:4" ht="15.75" customHeight="1" x14ac:dyDescent="0.3">
      <c r="B456" s="39"/>
      <c r="D456" s="39"/>
    </row>
    <row r="457" spans="2:4" ht="15.75" customHeight="1" x14ac:dyDescent="0.3">
      <c r="B457" s="39"/>
      <c r="D457" s="39"/>
    </row>
    <row r="458" spans="2:4" ht="15.75" customHeight="1" x14ac:dyDescent="0.3">
      <c r="B458" s="39"/>
      <c r="D458" s="39"/>
    </row>
    <row r="459" spans="2:4" ht="15.75" customHeight="1" x14ac:dyDescent="0.3">
      <c r="B459" s="39"/>
      <c r="D459" s="39"/>
    </row>
    <row r="460" spans="2:4" ht="15.75" customHeight="1" x14ac:dyDescent="0.3">
      <c r="B460" s="39"/>
      <c r="D460" s="39"/>
    </row>
    <row r="461" spans="2:4" ht="15.75" customHeight="1" x14ac:dyDescent="0.3">
      <c r="B461" s="39"/>
      <c r="D461" s="39"/>
    </row>
    <row r="462" spans="2:4" ht="15.75" customHeight="1" x14ac:dyDescent="0.3">
      <c r="B462" s="39"/>
      <c r="D462" s="39"/>
    </row>
    <row r="463" spans="2:4" ht="15.75" customHeight="1" x14ac:dyDescent="0.3">
      <c r="B463" s="39"/>
      <c r="D463" s="39"/>
    </row>
    <row r="464" spans="2:4" ht="15.75" customHeight="1" x14ac:dyDescent="0.3">
      <c r="B464" s="39"/>
      <c r="D464" s="39"/>
    </row>
    <row r="465" spans="2:4" ht="15.75" customHeight="1" x14ac:dyDescent="0.3">
      <c r="B465" s="39"/>
      <c r="D465" s="39"/>
    </row>
    <row r="466" spans="2:4" ht="15.75" customHeight="1" x14ac:dyDescent="0.3">
      <c r="B466" s="39"/>
      <c r="D466" s="39"/>
    </row>
    <row r="467" spans="2:4" ht="15.75" customHeight="1" x14ac:dyDescent="0.3">
      <c r="B467" s="39"/>
      <c r="D467" s="39"/>
    </row>
    <row r="468" spans="2:4" ht="15.75" customHeight="1" x14ac:dyDescent="0.3">
      <c r="B468" s="39"/>
      <c r="D468" s="39"/>
    </row>
    <row r="469" spans="2:4" ht="15.75" customHeight="1" x14ac:dyDescent="0.3">
      <c r="B469" s="39"/>
      <c r="D469" s="39"/>
    </row>
    <row r="470" spans="2:4" ht="15.75" customHeight="1" x14ac:dyDescent="0.3">
      <c r="B470" s="39"/>
      <c r="D470" s="39"/>
    </row>
    <row r="471" spans="2:4" ht="15.75" customHeight="1" x14ac:dyDescent="0.3">
      <c r="B471" s="39"/>
      <c r="D471" s="39"/>
    </row>
    <row r="472" spans="2:4" ht="15.75" customHeight="1" x14ac:dyDescent="0.3">
      <c r="B472" s="39"/>
      <c r="D472" s="39"/>
    </row>
    <row r="473" spans="2:4" ht="15.75" customHeight="1" x14ac:dyDescent="0.3">
      <c r="B473" s="39"/>
      <c r="D473" s="39"/>
    </row>
    <row r="474" spans="2:4" ht="15.75" customHeight="1" x14ac:dyDescent="0.3">
      <c r="B474" s="39"/>
      <c r="D474" s="39"/>
    </row>
    <row r="475" spans="2:4" ht="15.75" customHeight="1" x14ac:dyDescent="0.3">
      <c r="B475" s="39"/>
      <c r="D475" s="39"/>
    </row>
    <row r="476" spans="2:4" ht="15.75" customHeight="1" x14ac:dyDescent="0.3">
      <c r="B476" s="39"/>
      <c r="D476" s="39"/>
    </row>
    <row r="477" spans="2:4" ht="15.75" customHeight="1" x14ac:dyDescent="0.3">
      <c r="B477" s="39"/>
      <c r="D477" s="39"/>
    </row>
    <row r="478" spans="2:4" ht="15.75" customHeight="1" x14ac:dyDescent="0.3">
      <c r="B478" s="39"/>
      <c r="D478" s="39"/>
    </row>
    <row r="479" spans="2:4" ht="15.75" customHeight="1" x14ac:dyDescent="0.3">
      <c r="B479" s="39"/>
      <c r="D479" s="39"/>
    </row>
    <row r="480" spans="2:4" ht="15.75" customHeight="1" x14ac:dyDescent="0.3">
      <c r="B480" s="39"/>
      <c r="D480" s="39"/>
    </row>
    <row r="481" spans="2:4" ht="15.75" customHeight="1" x14ac:dyDescent="0.3">
      <c r="B481" s="39"/>
      <c r="D481" s="39"/>
    </row>
    <row r="482" spans="2:4" ht="15.75" customHeight="1" x14ac:dyDescent="0.3">
      <c r="B482" s="39"/>
      <c r="D482" s="39"/>
    </row>
    <row r="483" spans="2:4" ht="15.75" customHeight="1" x14ac:dyDescent="0.3">
      <c r="B483" s="39"/>
      <c r="D483" s="39"/>
    </row>
    <row r="484" spans="2:4" ht="15.75" customHeight="1" x14ac:dyDescent="0.3">
      <c r="B484" s="39"/>
      <c r="D484" s="39"/>
    </row>
    <row r="485" spans="2:4" ht="15.75" customHeight="1" x14ac:dyDescent="0.3">
      <c r="B485" s="39"/>
      <c r="D485" s="39"/>
    </row>
    <row r="486" spans="2:4" ht="15.75" customHeight="1" x14ac:dyDescent="0.3">
      <c r="B486" s="39"/>
      <c r="D486" s="39"/>
    </row>
    <row r="487" spans="2:4" ht="15.75" customHeight="1" x14ac:dyDescent="0.3">
      <c r="B487" s="39"/>
      <c r="D487" s="39"/>
    </row>
    <row r="488" spans="2:4" ht="15.75" customHeight="1" x14ac:dyDescent="0.3">
      <c r="B488" s="39"/>
      <c r="D488" s="39"/>
    </row>
    <row r="489" spans="2:4" ht="15.75" customHeight="1" x14ac:dyDescent="0.3">
      <c r="B489" s="39"/>
      <c r="D489" s="39"/>
    </row>
    <row r="490" spans="2:4" ht="15.75" customHeight="1" x14ac:dyDescent="0.3">
      <c r="B490" s="39"/>
      <c r="D490" s="39"/>
    </row>
    <row r="491" spans="2:4" ht="15.75" customHeight="1" x14ac:dyDescent="0.3">
      <c r="B491" s="39"/>
      <c r="D491" s="39"/>
    </row>
    <row r="492" spans="2:4" ht="15.75" customHeight="1" x14ac:dyDescent="0.3">
      <c r="B492" s="39"/>
      <c r="D492" s="39"/>
    </row>
    <row r="493" spans="2:4" ht="15.75" customHeight="1" x14ac:dyDescent="0.3">
      <c r="B493" s="39"/>
      <c r="D493" s="39"/>
    </row>
    <row r="494" spans="2:4" ht="15.75" customHeight="1" x14ac:dyDescent="0.3">
      <c r="B494" s="39"/>
      <c r="D494" s="39"/>
    </row>
    <row r="495" spans="2:4" ht="15.75" customHeight="1" x14ac:dyDescent="0.3">
      <c r="B495" s="39"/>
      <c r="D495" s="39"/>
    </row>
    <row r="496" spans="2:4" ht="15.75" customHeight="1" x14ac:dyDescent="0.3">
      <c r="B496" s="39"/>
      <c r="D496" s="39"/>
    </row>
    <row r="497" spans="2:4" ht="15.75" customHeight="1" x14ac:dyDescent="0.3">
      <c r="B497" s="39"/>
      <c r="D497" s="39"/>
    </row>
    <row r="498" spans="2:4" ht="15.75" customHeight="1" x14ac:dyDescent="0.3">
      <c r="B498" s="39"/>
      <c r="D498" s="39"/>
    </row>
    <row r="499" spans="2:4" ht="15.75" customHeight="1" x14ac:dyDescent="0.3">
      <c r="B499" s="39"/>
      <c r="D499" s="39"/>
    </row>
    <row r="500" spans="2:4" ht="15.75" customHeight="1" x14ac:dyDescent="0.3">
      <c r="B500" s="39"/>
      <c r="D500" s="39"/>
    </row>
    <row r="501" spans="2:4" ht="15.75" customHeight="1" x14ac:dyDescent="0.3">
      <c r="B501" s="39"/>
      <c r="D501" s="39"/>
    </row>
    <row r="502" spans="2:4" ht="15.75" customHeight="1" x14ac:dyDescent="0.3">
      <c r="B502" s="39"/>
      <c r="D502" s="39"/>
    </row>
    <row r="503" spans="2:4" ht="15.75" customHeight="1" x14ac:dyDescent="0.3">
      <c r="B503" s="39"/>
      <c r="D503" s="39"/>
    </row>
    <row r="504" spans="2:4" ht="15.75" customHeight="1" x14ac:dyDescent="0.3">
      <c r="B504" s="39"/>
      <c r="D504" s="39"/>
    </row>
    <row r="505" spans="2:4" ht="15.75" customHeight="1" x14ac:dyDescent="0.3">
      <c r="B505" s="39"/>
      <c r="D505" s="39"/>
    </row>
    <row r="506" spans="2:4" ht="15.75" customHeight="1" x14ac:dyDescent="0.3">
      <c r="B506" s="39"/>
      <c r="D506" s="39"/>
    </row>
    <row r="507" spans="2:4" ht="15.75" customHeight="1" x14ac:dyDescent="0.3">
      <c r="B507" s="39"/>
      <c r="D507" s="39"/>
    </row>
    <row r="508" spans="2:4" ht="15.75" customHeight="1" x14ac:dyDescent="0.3">
      <c r="B508" s="39"/>
      <c r="D508" s="39"/>
    </row>
    <row r="509" spans="2:4" ht="15.75" customHeight="1" x14ac:dyDescent="0.3">
      <c r="B509" s="39"/>
      <c r="D509" s="39"/>
    </row>
    <row r="510" spans="2:4" ht="15.75" customHeight="1" x14ac:dyDescent="0.3">
      <c r="B510" s="39"/>
      <c r="D510" s="39"/>
    </row>
    <row r="511" spans="2:4" ht="15.75" customHeight="1" x14ac:dyDescent="0.3">
      <c r="B511" s="39"/>
      <c r="D511" s="39"/>
    </row>
    <row r="512" spans="2:4" ht="15.75" customHeight="1" x14ac:dyDescent="0.3">
      <c r="B512" s="39"/>
      <c r="D512" s="39"/>
    </row>
    <row r="513" spans="2:4" ht="15.75" customHeight="1" x14ac:dyDescent="0.3">
      <c r="B513" s="39"/>
      <c r="D513" s="39"/>
    </row>
    <row r="514" spans="2:4" ht="15.75" customHeight="1" x14ac:dyDescent="0.3">
      <c r="B514" s="39"/>
      <c r="D514" s="39"/>
    </row>
    <row r="515" spans="2:4" ht="15.75" customHeight="1" x14ac:dyDescent="0.3">
      <c r="B515" s="39"/>
      <c r="D515" s="39"/>
    </row>
    <row r="516" spans="2:4" ht="15.75" customHeight="1" x14ac:dyDescent="0.3">
      <c r="B516" s="39"/>
      <c r="D516" s="39"/>
    </row>
    <row r="517" spans="2:4" ht="15.75" customHeight="1" x14ac:dyDescent="0.3">
      <c r="B517" s="39"/>
      <c r="D517" s="39"/>
    </row>
    <row r="518" spans="2:4" ht="15.75" customHeight="1" x14ac:dyDescent="0.3">
      <c r="B518" s="39"/>
      <c r="D518" s="39"/>
    </row>
    <row r="519" spans="2:4" ht="15.75" customHeight="1" x14ac:dyDescent="0.3">
      <c r="B519" s="39"/>
      <c r="D519" s="39"/>
    </row>
    <row r="520" spans="2:4" ht="15.75" customHeight="1" x14ac:dyDescent="0.3">
      <c r="B520" s="39"/>
      <c r="D520" s="39"/>
    </row>
    <row r="521" spans="2:4" ht="15.75" customHeight="1" x14ac:dyDescent="0.3">
      <c r="B521" s="39"/>
      <c r="D521" s="39"/>
    </row>
    <row r="522" spans="2:4" ht="15.75" customHeight="1" x14ac:dyDescent="0.3">
      <c r="B522" s="39"/>
      <c r="D522" s="39"/>
    </row>
    <row r="523" spans="2:4" ht="15.75" customHeight="1" x14ac:dyDescent="0.3">
      <c r="B523" s="39"/>
      <c r="D523" s="39"/>
    </row>
    <row r="524" spans="2:4" ht="15.75" customHeight="1" x14ac:dyDescent="0.3">
      <c r="B524" s="39"/>
      <c r="D524" s="39"/>
    </row>
    <row r="525" spans="2:4" ht="15.75" customHeight="1" x14ac:dyDescent="0.3">
      <c r="B525" s="39"/>
      <c r="D525" s="39"/>
    </row>
    <row r="526" spans="2:4" ht="15.75" customHeight="1" x14ac:dyDescent="0.3">
      <c r="B526" s="39"/>
      <c r="D526" s="39"/>
    </row>
    <row r="527" spans="2:4" ht="15.75" customHeight="1" x14ac:dyDescent="0.3">
      <c r="B527" s="39"/>
      <c r="D527" s="39"/>
    </row>
    <row r="528" spans="2:4" ht="15.75" customHeight="1" x14ac:dyDescent="0.3">
      <c r="B528" s="39"/>
      <c r="D528" s="39"/>
    </row>
    <row r="529" spans="2:4" ht="15.75" customHeight="1" x14ac:dyDescent="0.3">
      <c r="B529" s="39"/>
      <c r="D529" s="39"/>
    </row>
    <row r="530" spans="2:4" ht="15.75" customHeight="1" x14ac:dyDescent="0.3">
      <c r="B530" s="39"/>
      <c r="D530" s="39"/>
    </row>
    <row r="531" spans="2:4" ht="15.75" customHeight="1" x14ac:dyDescent="0.3">
      <c r="B531" s="39"/>
      <c r="D531" s="39"/>
    </row>
    <row r="532" spans="2:4" ht="15.75" customHeight="1" x14ac:dyDescent="0.3">
      <c r="B532" s="39"/>
      <c r="D532" s="39"/>
    </row>
    <row r="533" spans="2:4" ht="15.75" customHeight="1" x14ac:dyDescent="0.3">
      <c r="B533" s="39"/>
      <c r="D533" s="39"/>
    </row>
    <row r="534" spans="2:4" ht="15.75" customHeight="1" x14ac:dyDescent="0.3">
      <c r="B534" s="39"/>
      <c r="D534" s="39"/>
    </row>
    <row r="535" spans="2:4" ht="15.75" customHeight="1" x14ac:dyDescent="0.3">
      <c r="B535" s="39"/>
      <c r="D535" s="39"/>
    </row>
    <row r="536" spans="2:4" ht="15.75" customHeight="1" x14ac:dyDescent="0.3">
      <c r="B536" s="39"/>
      <c r="D536" s="39"/>
    </row>
    <row r="537" spans="2:4" ht="15.75" customHeight="1" x14ac:dyDescent="0.3">
      <c r="B537" s="39"/>
      <c r="D537" s="39"/>
    </row>
    <row r="538" spans="2:4" ht="15.75" customHeight="1" x14ac:dyDescent="0.3">
      <c r="B538" s="39"/>
      <c r="D538" s="39"/>
    </row>
    <row r="539" spans="2:4" ht="15.75" customHeight="1" x14ac:dyDescent="0.3">
      <c r="B539" s="39"/>
      <c r="D539" s="39"/>
    </row>
    <row r="540" spans="2:4" ht="15.75" customHeight="1" x14ac:dyDescent="0.3">
      <c r="B540" s="39"/>
      <c r="D540" s="39"/>
    </row>
    <row r="541" spans="2:4" ht="15.75" customHeight="1" x14ac:dyDescent="0.3">
      <c r="B541" s="39"/>
      <c r="D541" s="39"/>
    </row>
    <row r="542" spans="2:4" ht="15.75" customHeight="1" x14ac:dyDescent="0.3">
      <c r="B542" s="39"/>
      <c r="D542" s="39"/>
    </row>
    <row r="543" spans="2:4" ht="15.75" customHeight="1" x14ac:dyDescent="0.3">
      <c r="B543" s="39"/>
      <c r="D543" s="39"/>
    </row>
    <row r="544" spans="2:4" ht="15.75" customHeight="1" x14ac:dyDescent="0.3">
      <c r="B544" s="39"/>
      <c r="D544" s="39"/>
    </row>
    <row r="545" spans="2:4" ht="15.75" customHeight="1" x14ac:dyDescent="0.3">
      <c r="B545" s="39"/>
      <c r="D545" s="39"/>
    </row>
    <row r="546" spans="2:4" ht="15.75" customHeight="1" x14ac:dyDescent="0.3">
      <c r="B546" s="39"/>
      <c r="D546" s="39"/>
    </row>
    <row r="547" spans="2:4" ht="15.75" customHeight="1" x14ac:dyDescent="0.3">
      <c r="B547" s="39"/>
      <c r="D547" s="39"/>
    </row>
    <row r="548" spans="2:4" ht="15.75" customHeight="1" x14ac:dyDescent="0.3">
      <c r="B548" s="39"/>
      <c r="D548" s="39"/>
    </row>
    <row r="549" spans="2:4" ht="15.75" customHeight="1" x14ac:dyDescent="0.3">
      <c r="B549" s="39"/>
      <c r="D549" s="39"/>
    </row>
    <row r="550" spans="2:4" ht="15.75" customHeight="1" x14ac:dyDescent="0.3">
      <c r="B550" s="39"/>
      <c r="D550" s="39"/>
    </row>
    <row r="551" spans="2:4" ht="15.75" customHeight="1" x14ac:dyDescent="0.3">
      <c r="B551" s="39"/>
      <c r="D551" s="39"/>
    </row>
    <row r="552" spans="2:4" ht="15.75" customHeight="1" x14ac:dyDescent="0.3">
      <c r="B552" s="39"/>
      <c r="D552" s="39"/>
    </row>
    <row r="553" spans="2:4" ht="15.75" customHeight="1" x14ac:dyDescent="0.3">
      <c r="B553" s="39"/>
      <c r="D553" s="39"/>
    </row>
    <row r="554" spans="2:4" ht="15.75" customHeight="1" x14ac:dyDescent="0.3">
      <c r="B554" s="39"/>
      <c r="D554" s="39"/>
    </row>
    <row r="555" spans="2:4" ht="15.75" customHeight="1" x14ac:dyDescent="0.3">
      <c r="B555" s="39"/>
      <c r="D555" s="39"/>
    </row>
    <row r="556" spans="2:4" ht="15.75" customHeight="1" x14ac:dyDescent="0.3">
      <c r="B556" s="39"/>
      <c r="D556" s="39"/>
    </row>
    <row r="557" spans="2:4" ht="15.75" customHeight="1" x14ac:dyDescent="0.3">
      <c r="B557" s="39"/>
      <c r="D557" s="39"/>
    </row>
    <row r="558" spans="2:4" ht="15.75" customHeight="1" x14ac:dyDescent="0.3">
      <c r="B558" s="39"/>
      <c r="D558" s="39"/>
    </row>
    <row r="559" spans="2:4" ht="15.75" customHeight="1" x14ac:dyDescent="0.3">
      <c r="B559" s="39"/>
      <c r="D559" s="39"/>
    </row>
    <row r="560" spans="2:4" ht="15.75" customHeight="1" x14ac:dyDescent="0.3">
      <c r="B560" s="39"/>
      <c r="D560" s="39"/>
    </row>
    <row r="561" spans="2:4" ht="15.75" customHeight="1" x14ac:dyDescent="0.3">
      <c r="B561" s="39"/>
      <c r="D561" s="39"/>
    </row>
    <row r="562" spans="2:4" ht="15.75" customHeight="1" x14ac:dyDescent="0.3">
      <c r="B562" s="39"/>
      <c r="D562" s="39"/>
    </row>
    <row r="563" spans="2:4" ht="15.75" customHeight="1" x14ac:dyDescent="0.3">
      <c r="B563" s="39"/>
      <c r="D563" s="39"/>
    </row>
    <row r="564" spans="2:4" ht="15.75" customHeight="1" x14ac:dyDescent="0.3">
      <c r="B564" s="39"/>
      <c r="D564" s="39"/>
    </row>
    <row r="565" spans="2:4" ht="15.75" customHeight="1" x14ac:dyDescent="0.3">
      <c r="B565" s="39"/>
      <c r="D565" s="39"/>
    </row>
    <row r="566" spans="2:4" ht="15.75" customHeight="1" x14ac:dyDescent="0.3">
      <c r="B566" s="39"/>
      <c r="D566" s="39"/>
    </row>
    <row r="567" spans="2:4" ht="15.75" customHeight="1" x14ac:dyDescent="0.3">
      <c r="B567" s="39"/>
      <c r="D567" s="39"/>
    </row>
    <row r="568" spans="2:4" ht="15.75" customHeight="1" x14ac:dyDescent="0.3">
      <c r="B568" s="39"/>
      <c r="D568" s="39"/>
    </row>
    <row r="569" spans="2:4" ht="15.75" customHeight="1" x14ac:dyDescent="0.3">
      <c r="B569" s="39"/>
      <c r="D569" s="39"/>
    </row>
    <row r="570" spans="2:4" ht="15.75" customHeight="1" x14ac:dyDescent="0.3">
      <c r="B570" s="39"/>
      <c r="D570" s="39"/>
    </row>
    <row r="571" spans="2:4" ht="15.75" customHeight="1" x14ac:dyDescent="0.3">
      <c r="B571" s="39"/>
      <c r="D571" s="39"/>
    </row>
    <row r="572" spans="2:4" ht="15.75" customHeight="1" x14ac:dyDescent="0.3">
      <c r="B572" s="39"/>
      <c r="D572" s="39"/>
    </row>
    <row r="573" spans="2:4" ht="15.75" customHeight="1" x14ac:dyDescent="0.3">
      <c r="B573" s="39"/>
      <c r="D573" s="39"/>
    </row>
    <row r="574" spans="2:4" ht="15.75" customHeight="1" x14ac:dyDescent="0.3">
      <c r="B574" s="39"/>
      <c r="D574" s="39"/>
    </row>
    <row r="575" spans="2:4" ht="15.75" customHeight="1" x14ac:dyDescent="0.3">
      <c r="B575" s="39"/>
      <c r="D575" s="39"/>
    </row>
    <row r="576" spans="2:4" ht="15.75" customHeight="1" x14ac:dyDescent="0.3">
      <c r="B576" s="39"/>
      <c r="D576" s="39"/>
    </row>
    <row r="577" spans="2:4" ht="15.75" customHeight="1" x14ac:dyDescent="0.3">
      <c r="B577" s="39"/>
      <c r="D577" s="39"/>
    </row>
    <row r="578" spans="2:4" ht="15.75" customHeight="1" x14ac:dyDescent="0.3">
      <c r="B578" s="39"/>
      <c r="D578" s="39"/>
    </row>
    <row r="579" spans="2:4" ht="15.75" customHeight="1" x14ac:dyDescent="0.3">
      <c r="B579" s="39"/>
      <c r="D579" s="39"/>
    </row>
    <row r="580" spans="2:4" ht="15.75" customHeight="1" x14ac:dyDescent="0.3">
      <c r="B580" s="39"/>
      <c r="D580" s="39"/>
    </row>
    <row r="581" spans="2:4" ht="15.75" customHeight="1" x14ac:dyDescent="0.3">
      <c r="B581" s="39"/>
      <c r="D581" s="39"/>
    </row>
    <row r="582" spans="2:4" ht="15.75" customHeight="1" x14ac:dyDescent="0.3">
      <c r="B582" s="39"/>
      <c r="D582" s="39"/>
    </row>
    <row r="583" spans="2:4" ht="15.75" customHeight="1" x14ac:dyDescent="0.3">
      <c r="B583" s="39"/>
      <c r="D583" s="39"/>
    </row>
    <row r="584" spans="2:4" ht="15.75" customHeight="1" x14ac:dyDescent="0.3">
      <c r="B584" s="39"/>
      <c r="D584" s="39"/>
    </row>
    <row r="585" spans="2:4" ht="15.75" customHeight="1" x14ac:dyDescent="0.3">
      <c r="B585" s="39"/>
      <c r="D585" s="39"/>
    </row>
    <row r="586" spans="2:4" ht="15.75" customHeight="1" x14ac:dyDescent="0.3">
      <c r="B586" s="39"/>
      <c r="D586" s="39"/>
    </row>
    <row r="587" spans="2:4" ht="15.75" customHeight="1" x14ac:dyDescent="0.3">
      <c r="B587" s="39"/>
      <c r="D587" s="39"/>
    </row>
    <row r="588" spans="2:4" ht="15.75" customHeight="1" x14ac:dyDescent="0.3">
      <c r="B588" s="39"/>
      <c r="D588" s="39"/>
    </row>
    <row r="589" spans="2:4" ht="15.75" customHeight="1" x14ac:dyDescent="0.3">
      <c r="B589" s="39"/>
      <c r="D589" s="39"/>
    </row>
    <row r="590" spans="2:4" ht="15.75" customHeight="1" x14ac:dyDescent="0.3">
      <c r="B590" s="39"/>
      <c r="D590" s="39"/>
    </row>
    <row r="591" spans="2:4" ht="15.75" customHeight="1" x14ac:dyDescent="0.3">
      <c r="B591" s="39"/>
      <c r="D591" s="39"/>
    </row>
    <row r="592" spans="2:4" ht="15.75" customHeight="1" x14ac:dyDescent="0.3">
      <c r="B592" s="39"/>
      <c r="D592" s="39"/>
    </row>
    <row r="593" spans="2:4" ht="15.75" customHeight="1" x14ac:dyDescent="0.3">
      <c r="B593" s="39"/>
      <c r="D593" s="39"/>
    </row>
    <row r="594" spans="2:4" ht="15.75" customHeight="1" x14ac:dyDescent="0.3">
      <c r="B594" s="39"/>
      <c r="D594" s="39"/>
    </row>
    <row r="595" spans="2:4" ht="15.75" customHeight="1" x14ac:dyDescent="0.3">
      <c r="B595" s="39"/>
      <c r="D595" s="39"/>
    </row>
    <row r="596" spans="2:4" ht="15.75" customHeight="1" x14ac:dyDescent="0.3">
      <c r="B596" s="39"/>
      <c r="D596" s="39"/>
    </row>
    <row r="597" spans="2:4" ht="15.75" customHeight="1" x14ac:dyDescent="0.3">
      <c r="B597" s="39"/>
      <c r="D597" s="39"/>
    </row>
    <row r="598" spans="2:4" ht="15.75" customHeight="1" x14ac:dyDescent="0.3">
      <c r="B598" s="39"/>
      <c r="D598" s="39"/>
    </row>
    <row r="599" spans="2:4" ht="15.75" customHeight="1" x14ac:dyDescent="0.3">
      <c r="B599" s="39"/>
      <c r="D599" s="39"/>
    </row>
    <row r="600" spans="2:4" ht="15.75" customHeight="1" x14ac:dyDescent="0.3">
      <c r="B600" s="39"/>
      <c r="D600" s="39"/>
    </row>
    <row r="601" spans="2:4" ht="15.75" customHeight="1" x14ac:dyDescent="0.3">
      <c r="B601" s="39"/>
      <c r="D601" s="39"/>
    </row>
    <row r="602" spans="2:4" ht="15.75" customHeight="1" x14ac:dyDescent="0.3">
      <c r="B602" s="39"/>
      <c r="D602" s="39"/>
    </row>
    <row r="603" spans="2:4" ht="15.75" customHeight="1" x14ac:dyDescent="0.3">
      <c r="B603" s="39"/>
      <c r="D603" s="39"/>
    </row>
    <row r="604" spans="2:4" ht="15.75" customHeight="1" x14ac:dyDescent="0.3">
      <c r="B604" s="39"/>
      <c r="D604" s="39"/>
    </row>
    <row r="605" spans="2:4" ht="15.75" customHeight="1" x14ac:dyDescent="0.3">
      <c r="B605" s="39"/>
      <c r="D605" s="39"/>
    </row>
    <row r="606" spans="2:4" ht="15.75" customHeight="1" x14ac:dyDescent="0.3">
      <c r="B606" s="39"/>
      <c r="D606" s="39"/>
    </row>
    <row r="607" spans="2:4" ht="15.75" customHeight="1" x14ac:dyDescent="0.3">
      <c r="B607" s="39"/>
      <c r="D607" s="39"/>
    </row>
    <row r="608" spans="2:4" ht="15.75" customHeight="1" x14ac:dyDescent="0.3">
      <c r="B608" s="39"/>
      <c r="D608" s="39"/>
    </row>
    <row r="609" spans="2:4" ht="15.75" customHeight="1" x14ac:dyDescent="0.3">
      <c r="B609" s="39"/>
      <c r="D609" s="39"/>
    </row>
    <row r="610" spans="2:4" ht="15.75" customHeight="1" x14ac:dyDescent="0.3">
      <c r="B610" s="39"/>
      <c r="D610" s="39"/>
    </row>
    <row r="611" spans="2:4" ht="15.75" customHeight="1" x14ac:dyDescent="0.3">
      <c r="B611" s="39"/>
      <c r="D611" s="39"/>
    </row>
    <row r="612" spans="2:4" ht="15.75" customHeight="1" x14ac:dyDescent="0.3">
      <c r="B612" s="39"/>
      <c r="D612" s="39"/>
    </row>
    <row r="613" spans="2:4" ht="15.75" customHeight="1" x14ac:dyDescent="0.3">
      <c r="B613" s="39"/>
      <c r="D613" s="39"/>
    </row>
    <row r="614" spans="2:4" ht="15.75" customHeight="1" x14ac:dyDescent="0.3">
      <c r="B614" s="39"/>
      <c r="D614" s="39"/>
    </row>
    <row r="615" spans="2:4" ht="15.75" customHeight="1" x14ac:dyDescent="0.3">
      <c r="B615" s="39"/>
      <c r="D615" s="39"/>
    </row>
    <row r="616" spans="2:4" ht="15.75" customHeight="1" x14ac:dyDescent="0.3">
      <c r="B616" s="39"/>
      <c r="D616" s="39"/>
    </row>
    <row r="617" spans="2:4" ht="15.75" customHeight="1" x14ac:dyDescent="0.3">
      <c r="B617" s="39"/>
      <c r="D617" s="39"/>
    </row>
    <row r="618" spans="2:4" ht="15.75" customHeight="1" x14ac:dyDescent="0.3">
      <c r="B618" s="39"/>
      <c r="D618" s="39"/>
    </row>
    <row r="619" spans="2:4" ht="15.75" customHeight="1" x14ac:dyDescent="0.3">
      <c r="B619" s="39"/>
      <c r="D619" s="39"/>
    </row>
    <row r="620" spans="2:4" ht="15.75" customHeight="1" x14ac:dyDescent="0.3">
      <c r="B620" s="39"/>
      <c r="D620" s="39"/>
    </row>
    <row r="621" spans="2:4" ht="15.75" customHeight="1" x14ac:dyDescent="0.3">
      <c r="B621" s="39"/>
      <c r="D621" s="39"/>
    </row>
    <row r="622" spans="2:4" ht="15.75" customHeight="1" x14ac:dyDescent="0.3">
      <c r="B622" s="39"/>
      <c r="D622" s="39"/>
    </row>
    <row r="623" spans="2:4" ht="15.75" customHeight="1" x14ac:dyDescent="0.3">
      <c r="B623" s="39"/>
      <c r="D623" s="39"/>
    </row>
    <row r="624" spans="2:4" ht="15.75" customHeight="1" x14ac:dyDescent="0.3">
      <c r="B624" s="39"/>
      <c r="D624" s="39"/>
    </row>
    <row r="625" spans="2:4" ht="15.75" customHeight="1" x14ac:dyDescent="0.3">
      <c r="B625" s="39"/>
      <c r="D625" s="39"/>
    </row>
    <row r="626" spans="2:4" ht="15.75" customHeight="1" x14ac:dyDescent="0.3">
      <c r="B626" s="39"/>
      <c r="D626" s="39"/>
    </row>
    <row r="627" spans="2:4" ht="15.75" customHeight="1" x14ac:dyDescent="0.3">
      <c r="B627" s="39"/>
      <c r="D627" s="39"/>
    </row>
    <row r="628" spans="2:4" ht="15.75" customHeight="1" x14ac:dyDescent="0.3">
      <c r="B628" s="39"/>
      <c r="D628" s="39"/>
    </row>
    <row r="629" spans="2:4" ht="15.75" customHeight="1" x14ac:dyDescent="0.3">
      <c r="B629" s="39"/>
      <c r="D629" s="39"/>
    </row>
    <row r="630" spans="2:4" ht="15.75" customHeight="1" x14ac:dyDescent="0.3">
      <c r="B630" s="39"/>
      <c r="D630" s="39"/>
    </row>
    <row r="631" spans="2:4" ht="15.75" customHeight="1" x14ac:dyDescent="0.3">
      <c r="B631" s="39"/>
      <c r="D631" s="39"/>
    </row>
    <row r="632" spans="2:4" ht="15.75" customHeight="1" x14ac:dyDescent="0.3">
      <c r="B632" s="39"/>
      <c r="D632" s="39"/>
    </row>
    <row r="633" spans="2:4" ht="15.75" customHeight="1" x14ac:dyDescent="0.3">
      <c r="B633" s="39"/>
      <c r="D633" s="39"/>
    </row>
    <row r="634" spans="2:4" ht="15.75" customHeight="1" x14ac:dyDescent="0.3">
      <c r="B634" s="39"/>
      <c r="D634" s="39"/>
    </row>
    <row r="635" spans="2:4" ht="15.75" customHeight="1" x14ac:dyDescent="0.3">
      <c r="B635" s="39"/>
      <c r="D635" s="39"/>
    </row>
    <row r="636" spans="2:4" ht="15.75" customHeight="1" x14ac:dyDescent="0.3">
      <c r="B636" s="39"/>
      <c r="D636" s="39"/>
    </row>
    <row r="637" spans="2:4" ht="15.75" customHeight="1" x14ac:dyDescent="0.3">
      <c r="B637" s="39"/>
      <c r="D637" s="39"/>
    </row>
    <row r="638" spans="2:4" ht="15.75" customHeight="1" x14ac:dyDescent="0.3">
      <c r="B638" s="39"/>
      <c r="D638" s="39"/>
    </row>
    <row r="639" spans="2:4" ht="15.75" customHeight="1" x14ac:dyDescent="0.3">
      <c r="B639" s="39"/>
      <c r="D639" s="39"/>
    </row>
    <row r="640" spans="2:4" ht="15.75" customHeight="1" x14ac:dyDescent="0.3">
      <c r="B640" s="39"/>
      <c r="D640" s="39"/>
    </row>
    <row r="641" spans="2:4" ht="15.75" customHeight="1" x14ac:dyDescent="0.3">
      <c r="B641" s="39"/>
      <c r="D641" s="39"/>
    </row>
    <row r="642" spans="2:4" ht="15.75" customHeight="1" x14ac:dyDescent="0.3">
      <c r="B642" s="39"/>
      <c r="D642" s="39"/>
    </row>
    <row r="643" spans="2:4" ht="15.75" customHeight="1" x14ac:dyDescent="0.3">
      <c r="B643" s="39"/>
      <c r="D643" s="39"/>
    </row>
    <row r="644" spans="2:4" ht="15.75" customHeight="1" x14ac:dyDescent="0.3">
      <c r="B644" s="39"/>
      <c r="D644" s="39"/>
    </row>
    <row r="645" spans="2:4" ht="15.75" customHeight="1" x14ac:dyDescent="0.3">
      <c r="B645" s="39"/>
      <c r="D645" s="39"/>
    </row>
    <row r="646" spans="2:4" ht="15.75" customHeight="1" x14ac:dyDescent="0.3">
      <c r="B646" s="39"/>
      <c r="D646" s="39"/>
    </row>
    <row r="647" spans="2:4" ht="15.75" customHeight="1" x14ac:dyDescent="0.3">
      <c r="B647" s="39"/>
      <c r="D647" s="39"/>
    </row>
    <row r="648" spans="2:4" ht="15.75" customHeight="1" x14ac:dyDescent="0.3">
      <c r="B648" s="39"/>
      <c r="D648" s="39"/>
    </row>
    <row r="649" spans="2:4" ht="15.75" customHeight="1" x14ac:dyDescent="0.3">
      <c r="B649" s="39"/>
      <c r="D649" s="39"/>
    </row>
    <row r="650" spans="2:4" ht="15.75" customHeight="1" x14ac:dyDescent="0.3">
      <c r="B650" s="39"/>
      <c r="D650" s="39"/>
    </row>
    <row r="651" spans="2:4" ht="15.75" customHeight="1" x14ac:dyDescent="0.3">
      <c r="B651" s="39"/>
      <c r="D651" s="39"/>
    </row>
    <row r="652" spans="2:4" ht="15.75" customHeight="1" x14ac:dyDescent="0.3">
      <c r="B652" s="39"/>
      <c r="D652" s="39"/>
    </row>
    <row r="653" spans="2:4" ht="15.75" customHeight="1" x14ac:dyDescent="0.3">
      <c r="B653" s="39"/>
      <c r="D653" s="39"/>
    </row>
    <row r="654" spans="2:4" ht="15.75" customHeight="1" x14ac:dyDescent="0.3">
      <c r="B654" s="39"/>
      <c r="D654" s="39"/>
    </row>
    <row r="655" spans="2:4" ht="15.75" customHeight="1" x14ac:dyDescent="0.3">
      <c r="B655" s="39"/>
      <c r="D655" s="39"/>
    </row>
    <row r="656" spans="2:4" ht="15.75" customHeight="1" x14ac:dyDescent="0.3">
      <c r="B656" s="39"/>
      <c r="D656" s="39"/>
    </row>
    <row r="657" spans="2:4" ht="15.75" customHeight="1" x14ac:dyDescent="0.3">
      <c r="B657" s="39"/>
      <c r="D657" s="39"/>
    </row>
    <row r="658" spans="2:4" ht="15.75" customHeight="1" x14ac:dyDescent="0.3">
      <c r="B658" s="39"/>
      <c r="D658" s="39"/>
    </row>
    <row r="659" spans="2:4" ht="15.75" customHeight="1" x14ac:dyDescent="0.3">
      <c r="B659" s="39"/>
      <c r="D659" s="39"/>
    </row>
    <row r="660" spans="2:4" ht="15.75" customHeight="1" x14ac:dyDescent="0.3">
      <c r="B660" s="39"/>
      <c r="D660" s="39"/>
    </row>
    <row r="661" spans="2:4" ht="15.75" customHeight="1" x14ac:dyDescent="0.3">
      <c r="B661" s="39"/>
      <c r="D661" s="39"/>
    </row>
    <row r="662" spans="2:4" ht="15.75" customHeight="1" x14ac:dyDescent="0.3">
      <c r="B662" s="39"/>
      <c r="D662" s="39"/>
    </row>
    <row r="663" spans="2:4" ht="15.75" customHeight="1" x14ac:dyDescent="0.3">
      <c r="B663" s="39"/>
      <c r="D663" s="39"/>
    </row>
    <row r="664" spans="2:4" ht="15.75" customHeight="1" x14ac:dyDescent="0.3">
      <c r="B664" s="39"/>
      <c r="D664" s="39"/>
    </row>
    <row r="665" spans="2:4" ht="15.75" customHeight="1" x14ac:dyDescent="0.3">
      <c r="B665" s="39"/>
      <c r="D665" s="39"/>
    </row>
    <row r="666" spans="2:4" ht="15.75" customHeight="1" x14ac:dyDescent="0.3">
      <c r="B666" s="39"/>
      <c r="D666" s="39"/>
    </row>
    <row r="667" spans="2:4" ht="15.75" customHeight="1" x14ac:dyDescent="0.3">
      <c r="B667" s="39"/>
      <c r="D667" s="39"/>
    </row>
    <row r="668" spans="2:4" ht="15.75" customHeight="1" x14ac:dyDescent="0.3">
      <c r="B668" s="39"/>
      <c r="D668" s="39"/>
    </row>
    <row r="669" spans="2:4" ht="15.75" customHeight="1" x14ac:dyDescent="0.3">
      <c r="B669" s="39"/>
      <c r="D669" s="39"/>
    </row>
    <row r="670" spans="2:4" ht="15.75" customHeight="1" x14ac:dyDescent="0.3">
      <c r="B670" s="39"/>
      <c r="D670" s="39"/>
    </row>
    <row r="671" spans="2:4" ht="15.75" customHeight="1" x14ac:dyDescent="0.3">
      <c r="B671" s="39"/>
      <c r="D671" s="39"/>
    </row>
    <row r="672" spans="2:4" ht="15.75" customHeight="1" x14ac:dyDescent="0.3">
      <c r="B672" s="39"/>
      <c r="D672" s="39"/>
    </row>
    <row r="673" spans="2:4" ht="15.75" customHeight="1" x14ac:dyDescent="0.3">
      <c r="B673" s="39"/>
      <c r="D673" s="39"/>
    </row>
    <row r="674" spans="2:4" ht="15.75" customHeight="1" x14ac:dyDescent="0.3">
      <c r="B674" s="39"/>
      <c r="D674" s="39"/>
    </row>
    <row r="675" spans="2:4" ht="15.75" customHeight="1" x14ac:dyDescent="0.3">
      <c r="B675" s="39"/>
      <c r="D675" s="39"/>
    </row>
    <row r="676" spans="2:4" ht="15.75" customHeight="1" x14ac:dyDescent="0.3">
      <c r="B676" s="39"/>
      <c r="D676" s="39"/>
    </row>
    <row r="677" spans="2:4" ht="15.75" customHeight="1" x14ac:dyDescent="0.3">
      <c r="B677" s="39"/>
      <c r="D677" s="39"/>
    </row>
    <row r="678" spans="2:4" ht="15.75" customHeight="1" x14ac:dyDescent="0.3">
      <c r="B678" s="39"/>
      <c r="D678" s="39"/>
    </row>
    <row r="679" spans="2:4" ht="15.75" customHeight="1" x14ac:dyDescent="0.3">
      <c r="B679" s="39"/>
      <c r="D679" s="39"/>
    </row>
    <row r="680" spans="2:4" ht="15.75" customHeight="1" x14ac:dyDescent="0.3">
      <c r="B680" s="39"/>
      <c r="D680" s="39"/>
    </row>
    <row r="681" spans="2:4" ht="15.75" customHeight="1" x14ac:dyDescent="0.3">
      <c r="B681" s="39"/>
      <c r="D681" s="39"/>
    </row>
    <row r="682" spans="2:4" ht="15.75" customHeight="1" x14ac:dyDescent="0.3">
      <c r="B682" s="39"/>
      <c r="D682" s="39"/>
    </row>
    <row r="683" spans="2:4" ht="15.75" customHeight="1" x14ac:dyDescent="0.3">
      <c r="B683" s="39"/>
      <c r="D683" s="39"/>
    </row>
    <row r="684" spans="2:4" ht="15.75" customHeight="1" x14ac:dyDescent="0.3">
      <c r="B684" s="39"/>
      <c r="D684" s="39"/>
    </row>
    <row r="685" spans="2:4" ht="15.75" customHeight="1" x14ac:dyDescent="0.3">
      <c r="B685" s="39"/>
      <c r="D685" s="39"/>
    </row>
    <row r="686" spans="2:4" ht="15.75" customHeight="1" x14ac:dyDescent="0.3">
      <c r="B686" s="39"/>
      <c r="D686" s="39"/>
    </row>
    <row r="687" spans="2:4" ht="15.75" customHeight="1" x14ac:dyDescent="0.3">
      <c r="B687" s="39"/>
      <c r="D687" s="39"/>
    </row>
    <row r="688" spans="2:4" ht="15.75" customHeight="1" x14ac:dyDescent="0.3">
      <c r="B688" s="39"/>
      <c r="D688" s="39"/>
    </row>
    <row r="689" spans="2:4" ht="15.75" customHeight="1" x14ac:dyDescent="0.3">
      <c r="B689" s="39"/>
      <c r="D689" s="39"/>
    </row>
    <row r="690" spans="2:4" ht="15.75" customHeight="1" x14ac:dyDescent="0.3">
      <c r="B690" s="39"/>
      <c r="D690" s="39"/>
    </row>
    <row r="691" spans="2:4" ht="15.75" customHeight="1" x14ac:dyDescent="0.3">
      <c r="B691" s="39"/>
      <c r="D691" s="39"/>
    </row>
    <row r="692" spans="2:4" ht="15.75" customHeight="1" x14ac:dyDescent="0.3">
      <c r="B692" s="39"/>
      <c r="D692" s="39"/>
    </row>
    <row r="693" spans="2:4" ht="15.75" customHeight="1" x14ac:dyDescent="0.3">
      <c r="B693" s="39"/>
      <c r="D693" s="39"/>
    </row>
    <row r="694" spans="2:4" ht="15.75" customHeight="1" x14ac:dyDescent="0.3">
      <c r="B694" s="39"/>
      <c r="D694" s="39"/>
    </row>
    <row r="695" spans="2:4" ht="15.75" customHeight="1" x14ac:dyDescent="0.3">
      <c r="B695" s="39"/>
      <c r="D695" s="39"/>
    </row>
    <row r="696" spans="2:4" ht="15.75" customHeight="1" x14ac:dyDescent="0.3">
      <c r="B696" s="39"/>
      <c r="D696" s="39"/>
    </row>
    <row r="697" spans="2:4" ht="15.75" customHeight="1" x14ac:dyDescent="0.3">
      <c r="B697" s="39"/>
      <c r="D697" s="39"/>
    </row>
    <row r="698" spans="2:4" ht="15.75" customHeight="1" x14ac:dyDescent="0.3">
      <c r="B698" s="39"/>
      <c r="D698" s="39"/>
    </row>
    <row r="699" spans="2:4" ht="15.75" customHeight="1" x14ac:dyDescent="0.3">
      <c r="B699" s="39"/>
      <c r="D699" s="39"/>
    </row>
    <row r="700" spans="2:4" ht="15.75" customHeight="1" x14ac:dyDescent="0.3">
      <c r="B700" s="39"/>
      <c r="D700" s="39"/>
    </row>
    <row r="701" spans="2:4" ht="15.75" customHeight="1" x14ac:dyDescent="0.3">
      <c r="B701" s="39"/>
      <c r="D701" s="39"/>
    </row>
    <row r="702" spans="2:4" ht="15.75" customHeight="1" x14ac:dyDescent="0.3">
      <c r="B702" s="39"/>
      <c r="D702" s="39"/>
    </row>
    <row r="703" spans="2:4" ht="15.75" customHeight="1" x14ac:dyDescent="0.3">
      <c r="B703" s="39"/>
      <c r="D703" s="39"/>
    </row>
    <row r="704" spans="2:4" ht="15.75" customHeight="1" x14ac:dyDescent="0.3">
      <c r="B704" s="39"/>
      <c r="D704" s="39"/>
    </row>
    <row r="705" spans="2:4" ht="15.75" customHeight="1" x14ac:dyDescent="0.3">
      <c r="B705" s="39"/>
      <c r="D705" s="39"/>
    </row>
    <row r="706" spans="2:4" ht="15.75" customHeight="1" x14ac:dyDescent="0.3">
      <c r="B706" s="39"/>
      <c r="D706" s="39"/>
    </row>
    <row r="707" spans="2:4" ht="15.75" customHeight="1" x14ac:dyDescent="0.3">
      <c r="B707" s="39"/>
      <c r="D707" s="39"/>
    </row>
    <row r="708" spans="2:4" ht="15.75" customHeight="1" x14ac:dyDescent="0.3">
      <c r="B708" s="39"/>
      <c r="D708" s="39"/>
    </row>
    <row r="709" spans="2:4" ht="15.75" customHeight="1" x14ac:dyDescent="0.3">
      <c r="B709" s="39"/>
      <c r="D709" s="39"/>
    </row>
    <row r="710" spans="2:4" ht="15.75" customHeight="1" x14ac:dyDescent="0.3">
      <c r="B710" s="39"/>
      <c r="D710" s="39"/>
    </row>
    <row r="711" spans="2:4" ht="15.75" customHeight="1" x14ac:dyDescent="0.3">
      <c r="B711" s="39"/>
      <c r="D711" s="39"/>
    </row>
    <row r="712" spans="2:4" ht="15.75" customHeight="1" x14ac:dyDescent="0.3">
      <c r="B712" s="39"/>
      <c r="D712" s="39"/>
    </row>
    <row r="713" spans="2:4" ht="15.75" customHeight="1" x14ac:dyDescent="0.3">
      <c r="B713" s="39"/>
      <c r="D713" s="39"/>
    </row>
    <row r="714" spans="2:4" ht="15.75" customHeight="1" x14ac:dyDescent="0.3">
      <c r="B714" s="39"/>
      <c r="D714" s="39"/>
    </row>
    <row r="715" spans="2:4" ht="15.75" customHeight="1" x14ac:dyDescent="0.3">
      <c r="B715" s="39"/>
      <c r="D715" s="39"/>
    </row>
    <row r="716" spans="2:4" ht="15.75" customHeight="1" x14ac:dyDescent="0.3">
      <c r="B716" s="39"/>
      <c r="D716" s="39"/>
    </row>
    <row r="717" spans="2:4" ht="15.75" customHeight="1" x14ac:dyDescent="0.3">
      <c r="B717" s="39"/>
      <c r="D717" s="39"/>
    </row>
    <row r="718" spans="2:4" ht="15.75" customHeight="1" x14ac:dyDescent="0.3">
      <c r="B718" s="39"/>
      <c r="D718" s="39"/>
    </row>
    <row r="719" spans="2:4" ht="15.75" customHeight="1" x14ac:dyDescent="0.3">
      <c r="B719" s="39"/>
      <c r="D719" s="39"/>
    </row>
    <row r="720" spans="2:4" ht="15.75" customHeight="1" x14ac:dyDescent="0.3">
      <c r="B720" s="39"/>
      <c r="D720" s="39"/>
    </row>
    <row r="721" spans="2:4" ht="15.75" customHeight="1" x14ac:dyDescent="0.3">
      <c r="B721" s="39"/>
      <c r="D721" s="39"/>
    </row>
    <row r="722" spans="2:4" ht="15.75" customHeight="1" x14ac:dyDescent="0.3">
      <c r="B722" s="39"/>
      <c r="D722" s="39"/>
    </row>
    <row r="723" spans="2:4" ht="15.75" customHeight="1" x14ac:dyDescent="0.3">
      <c r="B723" s="39"/>
      <c r="D723" s="39"/>
    </row>
    <row r="724" spans="2:4" ht="15.75" customHeight="1" x14ac:dyDescent="0.3">
      <c r="B724" s="39"/>
      <c r="D724" s="39"/>
    </row>
    <row r="725" spans="2:4" ht="15.75" customHeight="1" x14ac:dyDescent="0.3">
      <c r="B725" s="39"/>
      <c r="D725" s="39"/>
    </row>
    <row r="726" spans="2:4" ht="15.75" customHeight="1" x14ac:dyDescent="0.3">
      <c r="B726" s="39"/>
      <c r="D726" s="39"/>
    </row>
    <row r="727" spans="2:4" ht="15.75" customHeight="1" x14ac:dyDescent="0.3">
      <c r="B727" s="39"/>
      <c r="D727" s="39"/>
    </row>
    <row r="728" spans="2:4" ht="15.75" customHeight="1" x14ac:dyDescent="0.3">
      <c r="B728" s="39"/>
      <c r="D728" s="39"/>
    </row>
    <row r="729" spans="2:4" ht="15.75" customHeight="1" x14ac:dyDescent="0.3">
      <c r="B729" s="39"/>
      <c r="D729" s="39"/>
    </row>
    <row r="730" spans="2:4" ht="15.75" customHeight="1" x14ac:dyDescent="0.3">
      <c r="B730" s="39"/>
      <c r="D730" s="39"/>
    </row>
    <row r="731" spans="2:4" ht="15.75" customHeight="1" x14ac:dyDescent="0.3">
      <c r="B731" s="39"/>
      <c r="D731" s="39"/>
    </row>
    <row r="732" spans="2:4" ht="15.75" customHeight="1" x14ac:dyDescent="0.3">
      <c r="B732" s="39"/>
      <c r="D732" s="39"/>
    </row>
    <row r="733" spans="2:4" ht="15.75" customHeight="1" x14ac:dyDescent="0.3">
      <c r="B733" s="39"/>
      <c r="D733" s="39"/>
    </row>
    <row r="734" spans="2:4" ht="15.75" customHeight="1" x14ac:dyDescent="0.3">
      <c r="B734" s="39"/>
      <c r="D734" s="39"/>
    </row>
    <row r="735" spans="2:4" ht="15.75" customHeight="1" x14ac:dyDescent="0.3">
      <c r="B735" s="39"/>
      <c r="D735" s="39"/>
    </row>
    <row r="736" spans="2:4" ht="15.75" customHeight="1" x14ac:dyDescent="0.3">
      <c r="B736" s="39"/>
      <c r="D736" s="39"/>
    </row>
    <row r="737" spans="2:4" ht="15.75" customHeight="1" x14ac:dyDescent="0.3">
      <c r="B737" s="39"/>
      <c r="D737" s="39"/>
    </row>
    <row r="738" spans="2:4" ht="15.75" customHeight="1" x14ac:dyDescent="0.3">
      <c r="B738" s="39"/>
      <c r="D738" s="39"/>
    </row>
    <row r="739" spans="2:4" ht="15.75" customHeight="1" x14ac:dyDescent="0.3">
      <c r="B739" s="39"/>
      <c r="D739" s="39"/>
    </row>
    <row r="740" spans="2:4" ht="15.75" customHeight="1" x14ac:dyDescent="0.3">
      <c r="B740" s="39"/>
      <c r="D740" s="39"/>
    </row>
    <row r="741" spans="2:4" ht="15.75" customHeight="1" x14ac:dyDescent="0.3">
      <c r="B741" s="39"/>
      <c r="D741" s="39"/>
    </row>
    <row r="742" spans="2:4" ht="15.75" customHeight="1" x14ac:dyDescent="0.3">
      <c r="B742" s="39"/>
      <c r="D742" s="39"/>
    </row>
    <row r="743" spans="2:4" ht="15.75" customHeight="1" x14ac:dyDescent="0.3">
      <c r="B743" s="39"/>
      <c r="D743" s="39"/>
    </row>
    <row r="744" spans="2:4" ht="15.75" customHeight="1" x14ac:dyDescent="0.3">
      <c r="B744" s="39"/>
      <c r="D744" s="39"/>
    </row>
    <row r="745" spans="2:4" ht="15.75" customHeight="1" x14ac:dyDescent="0.3">
      <c r="B745" s="39"/>
      <c r="D745" s="39"/>
    </row>
    <row r="746" spans="2:4" ht="15.75" customHeight="1" x14ac:dyDescent="0.3">
      <c r="B746" s="39"/>
      <c r="D746" s="39"/>
    </row>
    <row r="747" spans="2:4" ht="15.75" customHeight="1" x14ac:dyDescent="0.3">
      <c r="B747" s="39"/>
      <c r="D747" s="39"/>
    </row>
    <row r="748" spans="2:4" ht="15.75" customHeight="1" x14ac:dyDescent="0.3">
      <c r="B748" s="39"/>
      <c r="D748" s="39"/>
    </row>
    <row r="749" spans="2:4" ht="15.75" customHeight="1" x14ac:dyDescent="0.3">
      <c r="B749" s="39"/>
      <c r="D749" s="39"/>
    </row>
    <row r="750" spans="2:4" ht="15.75" customHeight="1" x14ac:dyDescent="0.3">
      <c r="B750" s="39"/>
      <c r="D750" s="39"/>
    </row>
    <row r="751" spans="2:4" ht="15.75" customHeight="1" x14ac:dyDescent="0.3">
      <c r="B751" s="39"/>
      <c r="D751" s="39"/>
    </row>
    <row r="752" spans="2:4" ht="15.75" customHeight="1" x14ac:dyDescent="0.3">
      <c r="B752" s="39"/>
      <c r="D752" s="39"/>
    </row>
    <row r="753" spans="2:4" ht="15.75" customHeight="1" x14ac:dyDescent="0.3">
      <c r="B753" s="39"/>
      <c r="D753" s="39"/>
    </row>
    <row r="754" spans="2:4" ht="15.75" customHeight="1" x14ac:dyDescent="0.3">
      <c r="B754" s="39"/>
      <c r="D754" s="39"/>
    </row>
    <row r="755" spans="2:4" ht="15.75" customHeight="1" x14ac:dyDescent="0.3">
      <c r="B755" s="39"/>
      <c r="D755" s="39"/>
    </row>
    <row r="756" spans="2:4" ht="15.75" customHeight="1" x14ac:dyDescent="0.3">
      <c r="B756" s="39"/>
      <c r="D756" s="39"/>
    </row>
    <row r="757" spans="2:4" ht="15.75" customHeight="1" x14ac:dyDescent="0.3">
      <c r="B757" s="39"/>
      <c r="D757" s="39"/>
    </row>
    <row r="758" spans="2:4" ht="15.75" customHeight="1" x14ac:dyDescent="0.3">
      <c r="B758" s="39"/>
      <c r="D758" s="39"/>
    </row>
    <row r="759" spans="2:4" ht="15.75" customHeight="1" x14ac:dyDescent="0.3">
      <c r="B759" s="39"/>
      <c r="D759" s="39"/>
    </row>
    <row r="760" spans="2:4" ht="15.75" customHeight="1" x14ac:dyDescent="0.3">
      <c r="B760" s="39"/>
      <c r="D760" s="39"/>
    </row>
    <row r="761" spans="2:4" ht="15.75" customHeight="1" x14ac:dyDescent="0.3">
      <c r="B761" s="39"/>
      <c r="D761" s="39"/>
    </row>
    <row r="762" spans="2:4" ht="15.75" customHeight="1" x14ac:dyDescent="0.3">
      <c r="B762" s="39"/>
      <c r="D762" s="39"/>
    </row>
    <row r="763" spans="2:4" ht="15.75" customHeight="1" x14ac:dyDescent="0.3">
      <c r="B763" s="39"/>
      <c r="D763" s="39"/>
    </row>
    <row r="764" spans="2:4" ht="15.75" customHeight="1" x14ac:dyDescent="0.3">
      <c r="B764" s="39"/>
      <c r="D764" s="39"/>
    </row>
    <row r="765" spans="2:4" ht="15.75" customHeight="1" x14ac:dyDescent="0.3">
      <c r="B765" s="39"/>
      <c r="D765" s="39"/>
    </row>
    <row r="766" spans="2:4" ht="15.75" customHeight="1" x14ac:dyDescent="0.3">
      <c r="B766" s="39"/>
      <c r="D766" s="39"/>
    </row>
    <row r="767" spans="2:4" ht="15.75" customHeight="1" x14ac:dyDescent="0.3">
      <c r="B767" s="39"/>
      <c r="D767" s="39"/>
    </row>
    <row r="768" spans="2:4" ht="15.75" customHeight="1" x14ac:dyDescent="0.3">
      <c r="B768" s="39"/>
      <c r="D768" s="39"/>
    </row>
    <row r="769" spans="2:4" ht="15.75" customHeight="1" x14ac:dyDescent="0.3">
      <c r="B769" s="39"/>
      <c r="D769" s="39"/>
    </row>
    <row r="770" spans="2:4" ht="15.75" customHeight="1" x14ac:dyDescent="0.3">
      <c r="B770" s="39"/>
      <c r="D770" s="39"/>
    </row>
    <row r="771" spans="2:4" ht="15.75" customHeight="1" x14ac:dyDescent="0.3">
      <c r="B771" s="39"/>
      <c r="D771" s="39"/>
    </row>
    <row r="772" spans="2:4" ht="15.75" customHeight="1" x14ac:dyDescent="0.3">
      <c r="B772" s="39"/>
      <c r="D772" s="39"/>
    </row>
    <row r="773" spans="2:4" ht="15.75" customHeight="1" x14ac:dyDescent="0.3">
      <c r="B773" s="39"/>
      <c r="D773" s="39"/>
    </row>
    <row r="774" spans="2:4" ht="15.75" customHeight="1" x14ac:dyDescent="0.3">
      <c r="B774" s="39"/>
      <c r="D774" s="39"/>
    </row>
    <row r="775" spans="2:4" ht="15.75" customHeight="1" x14ac:dyDescent="0.3">
      <c r="B775" s="39"/>
      <c r="D775" s="39"/>
    </row>
    <row r="776" spans="2:4" ht="15.75" customHeight="1" x14ac:dyDescent="0.3">
      <c r="B776" s="39"/>
      <c r="D776" s="39"/>
    </row>
    <row r="777" spans="2:4" ht="15.75" customHeight="1" x14ac:dyDescent="0.3">
      <c r="B777" s="39"/>
      <c r="D777" s="39"/>
    </row>
    <row r="778" spans="2:4" ht="15.75" customHeight="1" x14ac:dyDescent="0.3">
      <c r="B778" s="39"/>
      <c r="D778" s="39"/>
    </row>
    <row r="779" spans="2:4" ht="15.75" customHeight="1" x14ac:dyDescent="0.3">
      <c r="B779" s="39"/>
      <c r="D779" s="39"/>
    </row>
    <row r="780" spans="2:4" ht="15.75" customHeight="1" x14ac:dyDescent="0.3">
      <c r="B780" s="39"/>
      <c r="D780" s="39"/>
    </row>
    <row r="781" spans="2:4" ht="15.75" customHeight="1" x14ac:dyDescent="0.3">
      <c r="B781" s="39"/>
      <c r="D781" s="39"/>
    </row>
    <row r="782" spans="2:4" ht="15.75" customHeight="1" x14ac:dyDescent="0.3">
      <c r="B782" s="39"/>
      <c r="D782" s="39"/>
    </row>
    <row r="783" spans="2:4" ht="15.75" customHeight="1" x14ac:dyDescent="0.3">
      <c r="B783" s="39"/>
      <c r="D783" s="39"/>
    </row>
    <row r="784" spans="2:4" ht="15.75" customHeight="1" x14ac:dyDescent="0.3">
      <c r="B784" s="39"/>
      <c r="D784" s="39"/>
    </row>
    <row r="785" spans="2:4" ht="15.75" customHeight="1" x14ac:dyDescent="0.3">
      <c r="B785" s="39"/>
      <c r="D785" s="39"/>
    </row>
    <row r="786" spans="2:4" ht="15.75" customHeight="1" x14ac:dyDescent="0.3">
      <c r="B786" s="39"/>
      <c r="D786" s="39"/>
    </row>
    <row r="787" spans="2:4" ht="15.75" customHeight="1" x14ac:dyDescent="0.3">
      <c r="B787" s="39"/>
      <c r="D787" s="39"/>
    </row>
    <row r="788" spans="2:4" ht="15.75" customHeight="1" x14ac:dyDescent="0.3">
      <c r="B788" s="39"/>
      <c r="D788" s="39"/>
    </row>
    <row r="789" spans="2:4" ht="15.75" customHeight="1" x14ac:dyDescent="0.3">
      <c r="B789" s="39"/>
      <c r="D789" s="39"/>
    </row>
    <row r="790" spans="2:4" ht="15.75" customHeight="1" x14ac:dyDescent="0.3">
      <c r="B790" s="39"/>
      <c r="D790" s="39"/>
    </row>
    <row r="791" spans="2:4" ht="15.75" customHeight="1" x14ac:dyDescent="0.3">
      <c r="B791" s="39"/>
      <c r="D791" s="39"/>
    </row>
    <row r="792" spans="2:4" ht="15.75" customHeight="1" x14ac:dyDescent="0.3">
      <c r="B792" s="39"/>
      <c r="D792" s="39"/>
    </row>
    <row r="793" spans="2:4" ht="15.75" customHeight="1" x14ac:dyDescent="0.3">
      <c r="B793" s="39"/>
      <c r="D793" s="39"/>
    </row>
    <row r="794" spans="2:4" ht="15.75" customHeight="1" x14ac:dyDescent="0.3">
      <c r="B794" s="39"/>
      <c r="D794" s="39"/>
    </row>
    <row r="795" spans="2:4" ht="15.75" customHeight="1" x14ac:dyDescent="0.3">
      <c r="B795" s="39"/>
      <c r="D795" s="39"/>
    </row>
    <row r="796" spans="2:4" ht="15.75" customHeight="1" x14ac:dyDescent="0.3">
      <c r="B796" s="39"/>
      <c r="D796" s="39"/>
    </row>
    <row r="797" spans="2:4" ht="15.75" customHeight="1" x14ac:dyDescent="0.3">
      <c r="B797" s="39"/>
      <c r="D797" s="39"/>
    </row>
    <row r="798" spans="2:4" ht="15.75" customHeight="1" x14ac:dyDescent="0.3">
      <c r="B798" s="39"/>
      <c r="D798" s="39"/>
    </row>
    <row r="799" spans="2:4" ht="15.75" customHeight="1" x14ac:dyDescent="0.3">
      <c r="B799" s="39"/>
      <c r="D799" s="39"/>
    </row>
    <row r="800" spans="2:4" ht="15.75" customHeight="1" x14ac:dyDescent="0.3">
      <c r="B800" s="39"/>
      <c r="D800" s="39"/>
    </row>
    <row r="801" spans="2:4" ht="15.75" customHeight="1" x14ac:dyDescent="0.3">
      <c r="B801" s="39"/>
      <c r="D801" s="39"/>
    </row>
    <row r="802" spans="2:4" ht="15.75" customHeight="1" x14ac:dyDescent="0.3">
      <c r="B802" s="39"/>
      <c r="D802" s="39"/>
    </row>
    <row r="803" spans="2:4" ht="15.75" customHeight="1" x14ac:dyDescent="0.3">
      <c r="B803" s="39"/>
      <c r="D803" s="39"/>
    </row>
    <row r="804" spans="2:4" ht="15.75" customHeight="1" x14ac:dyDescent="0.3">
      <c r="B804" s="39"/>
      <c r="D804" s="39"/>
    </row>
    <row r="805" spans="2:4" ht="15.75" customHeight="1" x14ac:dyDescent="0.3">
      <c r="B805" s="39"/>
      <c r="D805" s="39"/>
    </row>
    <row r="806" spans="2:4" ht="15.75" customHeight="1" x14ac:dyDescent="0.3">
      <c r="B806" s="39"/>
      <c r="D806" s="39"/>
    </row>
    <row r="807" spans="2:4" ht="15.75" customHeight="1" x14ac:dyDescent="0.3">
      <c r="B807" s="39"/>
      <c r="D807" s="39"/>
    </row>
    <row r="808" spans="2:4" ht="15.75" customHeight="1" x14ac:dyDescent="0.3">
      <c r="B808" s="39"/>
      <c r="D808" s="39"/>
    </row>
    <row r="809" spans="2:4" ht="15.75" customHeight="1" x14ac:dyDescent="0.3">
      <c r="B809" s="39"/>
      <c r="D809" s="39"/>
    </row>
    <row r="810" spans="2:4" ht="15.75" customHeight="1" x14ac:dyDescent="0.3">
      <c r="B810" s="39"/>
      <c r="D810" s="39"/>
    </row>
    <row r="811" spans="2:4" ht="15.75" customHeight="1" x14ac:dyDescent="0.3">
      <c r="B811" s="39"/>
      <c r="D811" s="39"/>
    </row>
    <row r="812" spans="2:4" ht="15.75" customHeight="1" x14ac:dyDescent="0.3">
      <c r="B812" s="39"/>
      <c r="D812" s="39"/>
    </row>
    <row r="813" spans="2:4" ht="15.75" customHeight="1" x14ac:dyDescent="0.3">
      <c r="B813" s="39"/>
      <c r="D813" s="39"/>
    </row>
    <row r="814" spans="2:4" ht="15.75" customHeight="1" x14ac:dyDescent="0.3">
      <c r="B814" s="39"/>
      <c r="D814" s="39"/>
    </row>
    <row r="815" spans="2:4" ht="15.75" customHeight="1" x14ac:dyDescent="0.3">
      <c r="B815" s="39"/>
      <c r="D815" s="39"/>
    </row>
    <row r="816" spans="2:4" ht="15.75" customHeight="1" x14ac:dyDescent="0.3">
      <c r="B816" s="39"/>
      <c r="D816" s="39"/>
    </row>
    <row r="817" spans="2:4" ht="15.75" customHeight="1" x14ac:dyDescent="0.3">
      <c r="B817" s="39"/>
      <c r="D817" s="39"/>
    </row>
    <row r="818" spans="2:4" ht="15.75" customHeight="1" x14ac:dyDescent="0.3">
      <c r="B818" s="39"/>
      <c r="D818" s="39"/>
    </row>
    <row r="819" spans="2:4" ht="15.75" customHeight="1" x14ac:dyDescent="0.3">
      <c r="B819" s="39"/>
      <c r="D819" s="39"/>
    </row>
    <row r="820" spans="2:4" ht="15.75" customHeight="1" x14ac:dyDescent="0.3">
      <c r="B820" s="39"/>
      <c r="D820" s="39"/>
    </row>
    <row r="821" spans="2:4" ht="15.75" customHeight="1" x14ac:dyDescent="0.3">
      <c r="B821" s="39"/>
      <c r="D821" s="39"/>
    </row>
    <row r="822" spans="2:4" ht="15.75" customHeight="1" x14ac:dyDescent="0.3">
      <c r="B822" s="39"/>
      <c r="D822" s="39"/>
    </row>
    <row r="823" spans="2:4" ht="15.75" customHeight="1" x14ac:dyDescent="0.3">
      <c r="B823" s="39"/>
      <c r="D823" s="39"/>
    </row>
    <row r="824" spans="2:4" ht="15.75" customHeight="1" x14ac:dyDescent="0.3">
      <c r="B824" s="39"/>
      <c r="D824" s="39"/>
    </row>
    <row r="825" spans="2:4" ht="15.75" customHeight="1" x14ac:dyDescent="0.3">
      <c r="B825" s="39"/>
      <c r="D825" s="39"/>
    </row>
    <row r="826" spans="2:4" ht="15.75" customHeight="1" x14ac:dyDescent="0.3">
      <c r="B826" s="39"/>
      <c r="D826" s="39"/>
    </row>
    <row r="827" spans="2:4" ht="15.75" customHeight="1" x14ac:dyDescent="0.3">
      <c r="B827" s="39"/>
      <c r="D827" s="39"/>
    </row>
    <row r="828" spans="2:4" ht="15.75" customHeight="1" x14ac:dyDescent="0.3">
      <c r="B828" s="39"/>
      <c r="D828" s="39"/>
    </row>
    <row r="829" spans="2:4" ht="15.75" customHeight="1" x14ac:dyDescent="0.3">
      <c r="B829" s="39"/>
      <c r="D829" s="39"/>
    </row>
    <row r="830" spans="2:4" ht="15.75" customHeight="1" x14ac:dyDescent="0.3">
      <c r="B830" s="39"/>
      <c r="D830" s="39"/>
    </row>
    <row r="831" spans="2:4" ht="15.75" customHeight="1" x14ac:dyDescent="0.3">
      <c r="B831" s="39"/>
      <c r="D831" s="39"/>
    </row>
    <row r="832" spans="2:4" ht="15.75" customHeight="1" x14ac:dyDescent="0.3">
      <c r="B832" s="39"/>
      <c r="D832" s="39"/>
    </row>
    <row r="833" spans="2:4" ht="15.75" customHeight="1" x14ac:dyDescent="0.3">
      <c r="B833" s="39"/>
      <c r="D833" s="39"/>
    </row>
    <row r="834" spans="2:4" ht="15.75" customHeight="1" x14ac:dyDescent="0.3">
      <c r="B834" s="39"/>
      <c r="D834" s="39"/>
    </row>
    <row r="835" spans="2:4" ht="15.75" customHeight="1" x14ac:dyDescent="0.3">
      <c r="B835" s="39"/>
      <c r="D835" s="39"/>
    </row>
    <row r="836" spans="2:4" ht="15.75" customHeight="1" x14ac:dyDescent="0.3">
      <c r="B836" s="39"/>
      <c r="D836" s="39"/>
    </row>
    <row r="837" spans="2:4" ht="15.75" customHeight="1" x14ac:dyDescent="0.3">
      <c r="B837" s="39"/>
      <c r="D837" s="39"/>
    </row>
    <row r="838" spans="2:4" ht="15.75" customHeight="1" x14ac:dyDescent="0.3">
      <c r="B838" s="39"/>
      <c r="D838" s="39"/>
    </row>
    <row r="839" spans="2:4" ht="15.75" customHeight="1" x14ac:dyDescent="0.3">
      <c r="B839" s="39"/>
      <c r="D839" s="39"/>
    </row>
    <row r="840" spans="2:4" ht="15.75" customHeight="1" x14ac:dyDescent="0.3">
      <c r="B840" s="39"/>
      <c r="D840" s="39"/>
    </row>
    <row r="841" spans="2:4" ht="15.75" customHeight="1" x14ac:dyDescent="0.3">
      <c r="B841" s="39"/>
      <c r="D841" s="39"/>
    </row>
    <row r="842" spans="2:4" ht="15.75" customHeight="1" x14ac:dyDescent="0.3">
      <c r="B842" s="39"/>
      <c r="D842" s="39"/>
    </row>
    <row r="843" spans="2:4" ht="15.75" customHeight="1" x14ac:dyDescent="0.3">
      <c r="B843" s="39"/>
      <c r="D843" s="39"/>
    </row>
    <row r="844" spans="2:4" ht="15.75" customHeight="1" x14ac:dyDescent="0.3">
      <c r="B844" s="39"/>
      <c r="D844" s="39"/>
    </row>
    <row r="845" spans="2:4" ht="15.75" customHeight="1" x14ac:dyDescent="0.3">
      <c r="B845" s="39"/>
      <c r="D845" s="39"/>
    </row>
    <row r="846" spans="2:4" ht="15.75" customHeight="1" x14ac:dyDescent="0.3">
      <c r="B846" s="39"/>
      <c r="D846" s="39"/>
    </row>
    <row r="847" spans="2:4" ht="15.75" customHeight="1" x14ac:dyDescent="0.3">
      <c r="B847" s="39"/>
      <c r="D847" s="39"/>
    </row>
    <row r="848" spans="2:4" ht="15.75" customHeight="1" x14ac:dyDescent="0.3">
      <c r="B848" s="39"/>
      <c r="D848" s="39"/>
    </row>
    <row r="849" spans="2:4" ht="15.75" customHeight="1" x14ac:dyDescent="0.3">
      <c r="B849" s="39"/>
      <c r="D849" s="39"/>
    </row>
    <row r="850" spans="2:4" ht="15.75" customHeight="1" x14ac:dyDescent="0.3">
      <c r="B850" s="39"/>
      <c r="D850" s="39"/>
    </row>
    <row r="851" spans="2:4" ht="15.75" customHeight="1" x14ac:dyDescent="0.3">
      <c r="B851" s="39"/>
      <c r="D851" s="39"/>
    </row>
    <row r="852" spans="2:4" ht="15.75" customHeight="1" x14ac:dyDescent="0.3">
      <c r="B852" s="39"/>
      <c r="D852" s="39"/>
    </row>
    <row r="853" spans="2:4" ht="15.75" customHeight="1" x14ac:dyDescent="0.3">
      <c r="B853" s="39"/>
      <c r="D853" s="39"/>
    </row>
    <row r="854" spans="2:4" ht="15.75" customHeight="1" x14ac:dyDescent="0.3">
      <c r="B854" s="39"/>
      <c r="D854" s="39"/>
    </row>
    <row r="855" spans="2:4" ht="15.75" customHeight="1" x14ac:dyDescent="0.3">
      <c r="B855" s="39"/>
      <c r="D855" s="39"/>
    </row>
    <row r="856" spans="2:4" ht="15.75" customHeight="1" x14ac:dyDescent="0.3">
      <c r="B856" s="39"/>
      <c r="D856" s="39"/>
    </row>
    <row r="857" spans="2:4" ht="15.75" customHeight="1" x14ac:dyDescent="0.3">
      <c r="B857" s="39"/>
      <c r="D857" s="39"/>
    </row>
    <row r="858" spans="2:4" ht="15.75" customHeight="1" x14ac:dyDescent="0.3">
      <c r="B858" s="39"/>
      <c r="D858" s="39"/>
    </row>
    <row r="859" spans="2:4" ht="15.75" customHeight="1" x14ac:dyDescent="0.3">
      <c r="B859" s="39"/>
      <c r="D859" s="39"/>
    </row>
    <row r="860" spans="2:4" ht="15.75" customHeight="1" x14ac:dyDescent="0.3">
      <c r="B860" s="39"/>
      <c r="D860" s="39"/>
    </row>
    <row r="861" spans="2:4" ht="15.75" customHeight="1" x14ac:dyDescent="0.3">
      <c r="B861" s="39"/>
      <c r="D861" s="39"/>
    </row>
    <row r="862" spans="2:4" ht="15.75" customHeight="1" x14ac:dyDescent="0.3">
      <c r="B862" s="39"/>
      <c r="D862" s="39"/>
    </row>
    <row r="863" spans="2:4" ht="15.75" customHeight="1" x14ac:dyDescent="0.3">
      <c r="B863" s="39"/>
      <c r="D863" s="39"/>
    </row>
    <row r="864" spans="2:4" ht="15.75" customHeight="1" x14ac:dyDescent="0.3">
      <c r="B864" s="39"/>
      <c r="D864" s="39"/>
    </row>
    <row r="865" spans="2:4" ht="15.75" customHeight="1" x14ac:dyDescent="0.3">
      <c r="B865" s="39"/>
      <c r="D865" s="39"/>
    </row>
    <row r="866" spans="2:4" ht="15.75" customHeight="1" x14ac:dyDescent="0.3">
      <c r="B866" s="39"/>
      <c r="D866" s="39"/>
    </row>
    <row r="867" spans="2:4" ht="15.75" customHeight="1" x14ac:dyDescent="0.3">
      <c r="B867" s="39"/>
      <c r="D867" s="39"/>
    </row>
    <row r="868" spans="2:4" ht="15.75" customHeight="1" x14ac:dyDescent="0.3">
      <c r="B868" s="39"/>
      <c r="D868" s="39"/>
    </row>
    <row r="869" spans="2:4" ht="15.75" customHeight="1" x14ac:dyDescent="0.3">
      <c r="B869" s="39"/>
      <c r="D869" s="39"/>
    </row>
    <row r="870" spans="2:4" ht="15.75" customHeight="1" x14ac:dyDescent="0.3">
      <c r="B870" s="39"/>
      <c r="D870" s="39"/>
    </row>
    <row r="871" spans="2:4" ht="15.75" customHeight="1" x14ac:dyDescent="0.3">
      <c r="B871" s="39"/>
      <c r="D871" s="39"/>
    </row>
    <row r="872" spans="2:4" ht="15.75" customHeight="1" x14ac:dyDescent="0.3">
      <c r="B872" s="39"/>
      <c r="D872" s="39"/>
    </row>
    <row r="873" spans="2:4" ht="15.75" customHeight="1" x14ac:dyDescent="0.3">
      <c r="B873" s="39"/>
      <c r="D873" s="39"/>
    </row>
    <row r="874" spans="2:4" ht="15.75" customHeight="1" x14ac:dyDescent="0.3">
      <c r="B874" s="39"/>
      <c r="D874" s="39"/>
    </row>
    <row r="875" spans="2:4" ht="15.75" customHeight="1" x14ac:dyDescent="0.3">
      <c r="B875" s="39"/>
      <c r="D875" s="39"/>
    </row>
    <row r="876" spans="2:4" ht="15.75" customHeight="1" x14ac:dyDescent="0.3">
      <c r="B876" s="39"/>
      <c r="D876" s="39"/>
    </row>
    <row r="877" spans="2:4" ht="15.75" customHeight="1" x14ac:dyDescent="0.3">
      <c r="B877" s="39"/>
      <c r="D877" s="39"/>
    </row>
    <row r="878" spans="2:4" ht="15.75" customHeight="1" x14ac:dyDescent="0.3">
      <c r="B878" s="39"/>
      <c r="D878" s="39"/>
    </row>
    <row r="879" spans="2:4" ht="15.75" customHeight="1" x14ac:dyDescent="0.3">
      <c r="B879" s="39"/>
      <c r="D879" s="39"/>
    </row>
    <row r="880" spans="2:4" ht="15.75" customHeight="1" x14ac:dyDescent="0.3">
      <c r="B880" s="39"/>
      <c r="D880" s="39"/>
    </row>
    <row r="881" spans="2:4" ht="15.75" customHeight="1" x14ac:dyDescent="0.3">
      <c r="B881" s="39"/>
      <c r="D881" s="39"/>
    </row>
    <row r="882" spans="2:4" ht="15.75" customHeight="1" x14ac:dyDescent="0.3">
      <c r="B882" s="39"/>
      <c r="D882" s="39"/>
    </row>
    <row r="883" spans="2:4" ht="15.75" customHeight="1" x14ac:dyDescent="0.3">
      <c r="B883" s="39"/>
      <c r="D883" s="39"/>
    </row>
    <row r="884" spans="2:4" ht="15.75" customHeight="1" x14ac:dyDescent="0.3">
      <c r="B884" s="39"/>
      <c r="D884" s="39"/>
    </row>
    <row r="885" spans="2:4" ht="15.75" customHeight="1" x14ac:dyDescent="0.3">
      <c r="B885" s="39"/>
      <c r="D885" s="39"/>
    </row>
    <row r="886" spans="2:4" ht="15.75" customHeight="1" x14ac:dyDescent="0.3">
      <c r="B886" s="39"/>
      <c r="D886" s="39"/>
    </row>
    <row r="887" spans="2:4" ht="15.75" customHeight="1" x14ac:dyDescent="0.3">
      <c r="B887" s="39"/>
      <c r="D887" s="39"/>
    </row>
    <row r="888" spans="2:4" ht="15.75" customHeight="1" x14ac:dyDescent="0.3">
      <c r="B888" s="39"/>
      <c r="D888" s="39"/>
    </row>
    <row r="889" spans="2:4" ht="15.75" customHeight="1" x14ac:dyDescent="0.3">
      <c r="B889" s="39"/>
      <c r="D889" s="39"/>
    </row>
    <row r="890" spans="2:4" ht="15.75" customHeight="1" x14ac:dyDescent="0.3">
      <c r="B890" s="39"/>
      <c r="D890" s="39"/>
    </row>
    <row r="891" spans="2:4" ht="15.75" customHeight="1" x14ac:dyDescent="0.3">
      <c r="B891" s="39"/>
      <c r="D891" s="39"/>
    </row>
    <row r="892" spans="2:4" ht="15.75" customHeight="1" x14ac:dyDescent="0.3">
      <c r="B892" s="39"/>
      <c r="D892" s="39"/>
    </row>
    <row r="893" spans="2:4" ht="15.75" customHeight="1" x14ac:dyDescent="0.3">
      <c r="B893" s="39"/>
      <c r="D893" s="39"/>
    </row>
    <row r="894" spans="2:4" ht="15.75" customHeight="1" x14ac:dyDescent="0.3">
      <c r="B894" s="39"/>
      <c r="D894" s="39"/>
    </row>
    <row r="895" spans="2:4" ht="15.75" customHeight="1" x14ac:dyDescent="0.3">
      <c r="B895" s="39"/>
      <c r="D895" s="39"/>
    </row>
    <row r="896" spans="2:4" ht="15.75" customHeight="1" x14ac:dyDescent="0.3">
      <c r="B896" s="39"/>
      <c r="D896" s="39"/>
    </row>
    <row r="897" spans="2:4" ht="15.75" customHeight="1" x14ac:dyDescent="0.3">
      <c r="B897" s="39"/>
      <c r="D897" s="39"/>
    </row>
    <row r="898" spans="2:4" ht="15.75" customHeight="1" x14ac:dyDescent="0.3">
      <c r="B898" s="39"/>
      <c r="D898" s="39"/>
    </row>
    <row r="899" spans="2:4" ht="15.75" customHeight="1" x14ac:dyDescent="0.3">
      <c r="B899" s="39"/>
      <c r="D899" s="39"/>
    </row>
    <row r="900" spans="2:4" ht="15.75" customHeight="1" x14ac:dyDescent="0.3">
      <c r="B900" s="39"/>
      <c r="D900" s="39"/>
    </row>
    <row r="901" spans="2:4" ht="15.75" customHeight="1" x14ac:dyDescent="0.3">
      <c r="B901" s="39"/>
      <c r="D901" s="39"/>
    </row>
    <row r="902" spans="2:4" ht="15.75" customHeight="1" x14ac:dyDescent="0.3">
      <c r="B902" s="39"/>
      <c r="D902" s="39"/>
    </row>
    <row r="903" spans="2:4" ht="15.75" customHeight="1" x14ac:dyDescent="0.3">
      <c r="B903" s="39"/>
      <c r="D903" s="39"/>
    </row>
    <row r="904" spans="2:4" ht="15.75" customHeight="1" x14ac:dyDescent="0.3">
      <c r="B904" s="39"/>
      <c r="D904" s="39"/>
    </row>
    <row r="905" spans="2:4" ht="15.75" customHeight="1" x14ac:dyDescent="0.3">
      <c r="B905" s="39"/>
      <c r="D905" s="39"/>
    </row>
    <row r="906" spans="2:4" ht="15.75" customHeight="1" x14ac:dyDescent="0.3">
      <c r="B906" s="39"/>
      <c r="D906" s="39"/>
    </row>
    <row r="907" spans="2:4" ht="15.75" customHeight="1" x14ac:dyDescent="0.3">
      <c r="B907" s="39"/>
      <c r="D907" s="39"/>
    </row>
    <row r="908" spans="2:4" ht="15.75" customHeight="1" x14ac:dyDescent="0.3">
      <c r="B908" s="39"/>
      <c r="D908" s="39"/>
    </row>
    <row r="909" spans="2:4" ht="15.75" customHeight="1" x14ac:dyDescent="0.3">
      <c r="B909" s="39"/>
      <c r="D909" s="39"/>
    </row>
    <row r="910" spans="2:4" ht="15.75" customHeight="1" x14ac:dyDescent="0.3">
      <c r="B910" s="39"/>
      <c r="D910" s="39"/>
    </row>
    <row r="911" spans="2:4" ht="15.75" customHeight="1" x14ac:dyDescent="0.3">
      <c r="B911" s="39"/>
      <c r="D911" s="39"/>
    </row>
    <row r="912" spans="2:4" ht="15.75" customHeight="1" x14ac:dyDescent="0.3">
      <c r="B912" s="39"/>
      <c r="D912" s="39"/>
    </row>
    <row r="913" spans="2:4" ht="15.75" customHeight="1" x14ac:dyDescent="0.3">
      <c r="B913" s="39"/>
      <c r="D913" s="39"/>
    </row>
    <row r="914" spans="2:4" ht="15.75" customHeight="1" x14ac:dyDescent="0.3">
      <c r="B914" s="39"/>
      <c r="D914" s="39"/>
    </row>
    <row r="915" spans="2:4" ht="15.75" customHeight="1" x14ac:dyDescent="0.3">
      <c r="B915" s="39"/>
      <c r="D915" s="39"/>
    </row>
    <row r="916" spans="2:4" ht="15.75" customHeight="1" x14ac:dyDescent="0.3">
      <c r="B916" s="39"/>
      <c r="D916" s="39"/>
    </row>
    <row r="917" spans="2:4" ht="15.75" customHeight="1" x14ac:dyDescent="0.3">
      <c r="B917" s="39"/>
      <c r="D917" s="39"/>
    </row>
    <row r="918" spans="2:4" ht="15.75" customHeight="1" x14ac:dyDescent="0.3">
      <c r="B918" s="39"/>
      <c r="D918" s="39"/>
    </row>
    <row r="919" spans="2:4" ht="15.75" customHeight="1" x14ac:dyDescent="0.3">
      <c r="B919" s="39"/>
      <c r="D919" s="39"/>
    </row>
    <row r="920" spans="2:4" ht="15.75" customHeight="1" x14ac:dyDescent="0.3">
      <c r="B920" s="39"/>
      <c r="D920" s="39"/>
    </row>
    <row r="921" spans="2:4" ht="15.75" customHeight="1" x14ac:dyDescent="0.3">
      <c r="B921" s="39"/>
      <c r="D921" s="39"/>
    </row>
    <row r="922" spans="2:4" ht="15.75" customHeight="1" x14ac:dyDescent="0.3">
      <c r="B922" s="39"/>
      <c r="D922" s="39"/>
    </row>
    <row r="923" spans="2:4" ht="15.75" customHeight="1" x14ac:dyDescent="0.3">
      <c r="B923" s="39"/>
      <c r="D923" s="39"/>
    </row>
    <row r="924" spans="2:4" ht="15.75" customHeight="1" x14ac:dyDescent="0.3">
      <c r="B924" s="39"/>
      <c r="D924" s="39"/>
    </row>
    <row r="925" spans="2:4" ht="15.75" customHeight="1" x14ac:dyDescent="0.3">
      <c r="B925" s="39"/>
      <c r="D925" s="39"/>
    </row>
    <row r="926" spans="2:4" ht="15.75" customHeight="1" x14ac:dyDescent="0.3">
      <c r="B926" s="39"/>
      <c r="D926" s="39"/>
    </row>
    <row r="927" spans="2:4" ht="15.75" customHeight="1" x14ac:dyDescent="0.3">
      <c r="B927" s="39"/>
      <c r="D927" s="39"/>
    </row>
    <row r="928" spans="2:4" ht="15.75" customHeight="1" x14ac:dyDescent="0.3">
      <c r="B928" s="39"/>
      <c r="D928" s="39"/>
    </row>
    <row r="929" spans="2:4" ht="15.75" customHeight="1" x14ac:dyDescent="0.3">
      <c r="B929" s="39"/>
      <c r="D929" s="39"/>
    </row>
    <row r="930" spans="2:4" ht="15.75" customHeight="1" x14ac:dyDescent="0.3">
      <c r="B930" s="39"/>
      <c r="D930" s="39"/>
    </row>
    <row r="931" spans="2:4" ht="15.75" customHeight="1" x14ac:dyDescent="0.3">
      <c r="B931" s="39"/>
      <c r="D931" s="39"/>
    </row>
    <row r="932" spans="2:4" ht="15.75" customHeight="1" x14ac:dyDescent="0.3">
      <c r="B932" s="39"/>
      <c r="D932" s="39"/>
    </row>
    <row r="933" spans="2:4" ht="15.75" customHeight="1" x14ac:dyDescent="0.3">
      <c r="B933" s="39"/>
      <c r="D933" s="39"/>
    </row>
    <row r="934" spans="2:4" ht="15.75" customHeight="1" x14ac:dyDescent="0.3">
      <c r="B934" s="39"/>
      <c r="D934" s="39"/>
    </row>
    <row r="935" spans="2:4" ht="15.75" customHeight="1" x14ac:dyDescent="0.3">
      <c r="B935" s="39"/>
      <c r="D935" s="39"/>
    </row>
    <row r="936" spans="2:4" ht="15.75" customHeight="1" x14ac:dyDescent="0.3">
      <c r="B936" s="39"/>
      <c r="D936" s="39"/>
    </row>
    <row r="937" spans="2:4" ht="15.75" customHeight="1" x14ac:dyDescent="0.3">
      <c r="B937" s="39"/>
      <c r="D937" s="39"/>
    </row>
    <row r="938" spans="2:4" ht="15.75" customHeight="1" x14ac:dyDescent="0.3">
      <c r="B938" s="39"/>
      <c r="D938" s="39"/>
    </row>
    <row r="939" spans="2:4" ht="15.75" customHeight="1" x14ac:dyDescent="0.3">
      <c r="B939" s="39"/>
      <c r="D939" s="39"/>
    </row>
    <row r="940" spans="2:4" ht="15.75" customHeight="1" x14ac:dyDescent="0.3">
      <c r="B940" s="39"/>
      <c r="D940" s="39"/>
    </row>
    <row r="941" spans="2:4" ht="15.75" customHeight="1" x14ac:dyDescent="0.3">
      <c r="B941" s="39"/>
      <c r="D941" s="39"/>
    </row>
    <row r="942" spans="2:4" ht="15.75" customHeight="1" x14ac:dyDescent="0.3">
      <c r="B942" s="39"/>
      <c r="D942" s="39"/>
    </row>
    <row r="943" spans="2:4" ht="15.75" customHeight="1" x14ac:dyDescent="0.3">
      <c r="B943" s="39"/>
      <c r="D943" s="39"/>
    </row>
    <row r="944" spans="2:4" ht="15.75" customHeight="1" x14ac:dyDescent="0.3">
      <c r="B944" s="39"/>
      <c r="D944" s="39"/>
    </row>
    <row r="945" spans="2:4" ht="15.75" customHeight="1" x14ac:dyDescent="0.3">
      <c r="B945" s="39"/>
      <c r="D945" s="39"/>
    </row>
    <row r="946" spans="2:4" ht="15.75" customHeight="1" x14ac:dyDescent="0.3">
      <c r="B946" s="39"/>
      <c r="D946" s="39"/>
    </row>
    <row r="947" spans="2:4" ht="15.75" customHeight="1" x14ac:dyDescent="0.3">
      <c r="B947" s="39"/>
      <c r="D947" s="39"/>
    </row>
    <row r="948" spans="2:4" ht="15.75" customHeight="1" x14ac:dyDescent="0.3">
      <c r="B948" s="39"/>
      <c r="D948" s="39"/>
    </row>
    <row r="949" spans="2:4" ht="15.75" customHeight="1" x14ac:dyDescent="0.3">
      <c r="B949" s="39"/>
      <c r="D949" s="39"/>
    </row>
    <row r="950" spans="2:4" ht="15.75" customHeight="1" x14ac:dyDescent="0.3">
      <c r="B950" s="39"/>
      <c r="D950" s="39"/>
    </row>
    <row r="951" spans="2:4" ht="15.75" customHeight="1" x14ac:dyDescent="0.3">
      <c r="B951" s="39"/>
      <c r="D951" s="39"/>
    </row>
    <row r="952" spans="2:4" ht="15.75" customHeight="1" x14ac:dyDescent="0.3">
      <c r="B952" s="39"/>
      <c r="D952" s="39"/>
    </row>
    <row r="953" spans="2:4" ht="15.75" customHeight="1" x14ac:dyDescent="0.3">
      <c r="B953" s="39"/>
      <c r="D953" s="39"/>
    </row>
    <row r="954" spans="2:4" ht="15.75" customHeight="1" x14ac:dyDescent="0.3">
      <c r="B954" s="39"/>
      <c r="D954" s="39"/>
    </row>
    <row r="955" spans="2:4" ht="15.75" customHeight="1" x14ac:dyDescent="0.3">
      <c r="B955" s="39"/>
      <c r="D955" s="39"/>
    </row>
    <row r="956" spans="2:4" ht="15.75" customHeight="1" x14ac:dyDescent="0.3">
      <c r="B956" s="39"/>
      <c r="D956" s="39"/>
    </row>
    <row r="957" spans="2:4" ht="15.75" customHeight="1" x14ac:dyDescent="0.3">
      <c r="B957" s="39"/>
      <c r="D957" s="39"/>
    </row>
    <row r="958" spans="2:4" ht="15.75" customHeight="1" x14ac:dyDescent="0.3">
      <c r="B958" s="39"/>
      <c r="D958" s="39"/>
    </row>
    <row r="959" spans="2:4" ht="15.75" customHeight="1" x14ac:dyDescent="0.3">
      <c r="B959" s="39"/>
      <c r="D959" s="39"/>
    </row>
    <row r="960" spans="2:4" ht="15.75" customHeight="1" x14ac:dyDescent="0.3">
      <c r="B960" s="39"/>
      <c r="D960" s="39"/>
    </row>
    <row r="961" spans="2:4" ht="15.75" customHeight="1" x14ac:dyDescent="0.3">
      <c r="B961" s="39"/>
      <c r="D961" s="39"/>
    </row>
    <row r="962" spans="2:4" ht="15.75" customHeight="1" x14ac:dyDescent="0.3">
      <c r="B962" s="39"/>
      <c r="D962" s="39"/>
    </row>
    <row r="963" spans="2:4" ht="15.75" customHeight="1" x14ac:dyDescent="0.3">
      <c r="B963" s="39"/>
      <c r="D963" s="39"/>
    </row>
    <row r="964" spans="2:4" ht="15.75" customHeight="1" x14ac:dyDescent="0.3">
      <c r="B964" s="39"/>
      <c r="D964" s="39"/>
    </row>
    <row r="965" spans="2:4" ht="15.75" customHeight="1" x14ac:dyDescent="0.3">
      <c r="B965" s="39"/>
      <c r="D965" s="39"/>
    </row>
    <row r="966" spans="2:4" ht="15.75" customHeight="1" x14ac:dyDescent="0.3">
      <c r="B966" s="39"/>
      <c r="D966" s="39"/>
    </row>
    <row r="967" spans="2:4" ht="15.75" customHeight="1" x14ac:dyDescent="0.3">
      <c r="B967" s="39"/>
      <c r="D967" s="39"/>
    </row>
    <row r="968" spans="2:4" ht="15.75" customHeight="1" x14ac:dyDescent="0.3">
      <c r="B968" s="39"/>
      <c r="D968" s="39"/>
    </row>
    <row r="969" spans="2:4" ht="15.75" customHeight="1" x14ac:dyDescent="0.3">
      <c r="B969" s="39"/>
      <c r="D969" s="39"/>
    </row>
    <row r="970" spans="2:4" ht="15.75" customHeight="1" x14ac:dyDescent="0.3">
      <c r="B970" s="39"/>
      <c r="D970" s="39"/>
    </row>
    <row r="971" spans="2:4" ht="15.75" customHeight="1" x14ac:dyDescent="0.3">
      <c r="B971" s="39"/>
      <c r="D971" s="39"/>
    </row>
    <row r="972" spans="2:4" ht="15.75" customHeight="1" x14ac:dyDescent="0.3">
      <c r="B972" s="39"/>
      <c r="D972" s="39"/>
    </row>
    <row r="973" spans="2:4" ht="15.75" customHeight="1" x14ac:dyDescent="0.3">
      <c r="B973" s="39"/>
      <c r="D973" s="39"/>
    </row>
    <row r="974" spans="2:4" ht="15.75" customHeight="1" x14ac:dyDescent="0.3">
      <c r="B974" s="39"/>
      <c r="D974" s="39"/>
    </row>
    <row r="975" spans="2:4" ht="15.75" customHeight="1" x14ac:dyDescent="0.3">
      <c r="B975" s="39"/>
      <c r="D975" s="39"/>
    </row>
    <row r="976" spans="2:4" ht="15.75" customHeight="1" x14ac:dyDescent="0.3">
      <c r="B976" s="39"/>
      <c r="D976" s="39"/>
    </row>
    <row r="977" spans="2:4" ht="15.75" customHeight="1" x14ac:dyDescent="0.3">
      <c r="B977" s="39"/>
      <c r="D977" s="39"/>
    </row>
    <row r="978" spans="2:4" ht="15.75" customHeight="1" x14ac:dyDescent="0.3">
      <c r="B978" s="39"/>
      <c r="D978" s="39"/>
    </row>
    <row r="979" spans="2:4" ht="15.75" customHeight="1" x14ac:dyDescent="0.3">
      <c r="B979" s="39"/>
      <c r="D979" s="39"/>
    </row>
    <row r="980" spans="2:4" ht="15.75" customHeight="1" x14ac:dyDescent="0.3">
      <c r="B980" s="39"/>
      <c r="D980" s="39"/>
    </row>
    <row r="981" spans="2:4" ht="15.75" customHeight="1" x14ac:dyDescent="0.3">
      <c r="B981" s="39"/>
      <c r="D981" s="39"/>
    </row>
    <row r="982" spans="2:4" ht="15.75" customHeight="1" x14ac:dyDescent="0.3">
      <c r="B982" s="39"/>
      <c r="D982" s="39"/>
    </row>
    <row r="983" spans="2:4" ht="15.75" customHeight="1" x14ac:dyDescent="0.3">
      <c r="B983" s="39"/>
      <c r="D983" s="39"/>
    </row>
    <row r="984" spans="2:4" ht="15.75" customHeight="1" x14ac:dyDescent="0.3">
      <c r="B984" s="39"/>
      <c r="D984" s="39"/>
    </row>
    <row r="985" spans="2:4" ht="15.75" customHeight="1" x14ac:dyDescent="0.3">
      <c r="B985" s="39"/>
      <c r="D985" s="39"/>
    </row>
    <row r="986" spans="2:4" ht="15.75" customHeight="1" x14ac:dyDescent="0.3">
      <c r="B986" s="39"/>
      <c r="D986" s="39"/>
    </row>
    <row r="987" spans="2:4" ht="15.75" customHeight="1" x14ac:dyDescent="0.3">
      <c r="B987" s="39"/>
      <c r="D987" s="39"/>
    </row>
    <row r="988" spans="2:4" ht="15.75" customHeight="1" x14ac:dyDescent="0.3">
      <c r="B988" s="39"/>
      <c r="D988" s="39"/>
    </row>
    <row r="989" spans="2:4" ht="15.75" customHeight="1" x14ac:dyDescent="0.3">
      <c r="B989" s="39"/>
      <c r="D989" s="39"/>
    </row>
    <row r="990" spans="2:4" ht="15.75" customHeight="1" x14ac:dyDescent="0.3">
      <c r="B990" s="39"/>
      <c r="D990" s="39"/>
    </row>
    <row r="991" spans="2:4" ht="15.75" customHeight="1" x14ac:dyDescent="0.3">
      <c r="B991" s="39"/>
      <c r="D991" s="39"/>
    </row>
    <row r="992" spans="2:4" ht="15.75" customHeight="1" x14ac:dyDescent="0.3">
      <c r="B992" s="39"/>
      <c r="D992" s="39"/>
    </row>
    <row r="993" spans="2:4" ht="15.75" customHeight="1" x14ac:dyDescent="0.3">
      <c r="B993" s="39"/>
      <c r="D993" s="39"/>
    </row>
    <row r="994" spans="2:4" ht="15.75" customHeight="1" x14ac:dyDescent="0.3">
      <c r="B994" s="39"/>
      <c r="D994" s="39"/>
    </row>
    <row r="995" spans="2:4" ht="15.75" customHeight="1" x14ac:dyDescent="0.3">
      <c r="B995" s="39"/>
      <c r="D995" s="39"/>
    </row>
    <row r="996" spans="2:4" ht="15.75" customHeight="1" x14ac:dyDescent="0.3">
      <c r="B996" s="39"/>
      <c r="D996" s="39"/>
    </row>
    <row r="997" spans="2:4" ht="15.75" customHeight="1" x14ac:dyDescent="0.3">
      <c r="B997" s="39"/>
      <c r="D997" s="39"/>
    </row>
    <row r="998" spans="2:4" ht="15.75" customHeight="1" x14ac:dyDescent="0.3">
      <c r="B998" s="39"/>
      <c r="D998" s="39"/>
    </row>
    <row r="999" spans="2:4" ht="15.75" customHeight="1" x14ac:dyDescent="0.3">
      <c r="B999" s="39"/>
      <c r="D999" s="39"/>
    </row>
    <row r="1000" spans="2:4" ht="15.75" customHeight="1" x14ac:dyDescent="0.3">
      <c r="B1000" s="39"/>
      <c r="D1000" s="39"/>
    </row>
  </sheetData>
  <mergeCells count="8">
    <mergeCell ref="A2:R2"/>
    <mergeCell ref="A3:B3"/>
    <mergeCell ref="A5:A6"/>
    <mergeCell ref="B5:B6"/>
    <mergeCell ref="C5:C6"/>
    <mergeCell ref="D5:D6"/>
    <mergeCell ref="E5:E6"/>
    <mergeCell ref="F5:R5"/>
  </mergeCells>
  <pageMargins left="0.7" right="0.7" top="0.75" bottom="0.75" header="0" footer="0"/>
  <pageSetup paperSize="9" orientation="portrait"/>
  <headerFooter>
    <oddFooter>&amp;L000000Open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pane xSplit="4" ySplit="6" topLeftCell="E28" activePane="bottomRight" state="frozen"/>
      <selection pane="topRight" activeCell="E1" sqref="E1"/>
      <selection pane="bottomLeft" activeCell="A7" sqref="A7"/>
      <selection pane="bottomRight" activeCell="C43" sqref="C43"/>
    </sheetView>
  </sheetViews>
  <sheetFormatPr defaultColWidth="14.44140625" defaultRowHeight="15" customHeight="1" x14ac:dyDescent="0.3"/>
  <cols>
    <col min="1" max="1" width="8.88671875" customWidth="1"/>
    <col min="2" max="2" width="10.6640625" customWidth="1"/>
    <col min="3" max="3" width="45.33203125" customWidth="1"/>
    <col min="4" max="4" width="9.44140625" style="148" customWidth="1"/>
    <col min="5" max="5" width="13.109375" customWidth="1"/>
    <col min="6" max="6" width="4" customWidth="1"/>
    <col min="7" max="7" width="3.88671875" customWidth="1"/>
    <col min="8" max="8" width="4.33203125" customWidth="1"/>
    <col min="9" max="9" width="3.6640625" customWidth="1"/>
    <col min="10" max="10" width="4.44140625" customWidth="1"/>
    <col min="11" max="11" width="6.5546875" customWidth="1"/>
    <col min="12" max="13" width="4" customWidth="1"/>
    <col min="14" max="15" width="3.88671875" customWidth="1"/>
    <col min="16" max="16" width="4.33203125" customWidth="1"/>
    <col min="17" max="17" width="4.109375" customWidth="1"/>
    <col min="18" max="19" width="6.6640625" customWidth="1"/>
    <col min="20" max="22" width="8.88671875" customWidth="1"/>
    <col min="23" max="23" width="11.44140625" customWidth="1"/>
    <col min="24" max="26" width="8.88671875" customWidth="1"/>
  </cols>
  <sheetData>
    <row r="1" spans="1:25" ht="14.4" x14ac:dyDescent="0.3">
      <c r="B1" s="39"/>
      <c r="D1" s="152"/>
    </row>
    <row r="2" spans="1:25" ht="21" x14ac:dyDescent="0.4">
      <c r="A2" s="376" t="s">
        <v>686</v>
      </c>
      <c r="B2" s="377"/>
      <c r="C2" s="377"/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40"/>
    </row>
    <row r="3" spans="1:25" ht="21" x14ac:dyDescent="0.4">
      <c r="A3" s="376" t="s">
        <v>687</v>
      </c>
      <c r="B3" s="377"/>
      <c r="C3" s="41">
        <f>E143+R143</f>
        <v>7400</v>
      </c>
      <c r="D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V3" s="20" t="e">
        <f>#REF!</f>
        <v>#REF!</v>
      </c>
      <c r="W3" s="42" t="e">
        <f>V3-C3</f>
        <v>#REF!</v>
      </c>
      <c r="Y3" s="20">
        <v>4360</v>
      </c>
    </row>
    <row r="4" spans="1:25" ht="14.4" x14ac:dyDescent="0.3">
      <c r="B4" s="39"/>
      <c r="D4" s="152"/>
      <c r="Y4" s="20">
        <v>408</v>
      </c>
    </row>
    <row r="5" spans="1:25" ht="14.4" x14ac:dyDescent="0.3">
      <c r="A5" s="378" t="s">
        <v>3</v>
      </c>
      <c r="B5" s="380" t="s">
        <v>688</v>
      </c>
      <c r="C5" s="378" t="s">
        <v>689</v>
      </c>
      <c r="D5" s="380" t="s">
        <v>690</v>
      </c>
      <c r="E5" s="378" t="s">
        <v>691</v>
      </c>
      <c r="F5" s="382" t="s">
        <v>692</v>
      </c>
      <c r="G5" s="383"/>
      <c r="H5" s="383"/>
      <c r="I5" s="383"/>
      <c r="J5" s="383"/>
      <c r="K5" s="383"/>
      <c r="L5" s="383"/>
      <c r="M5" s="383"/>
      <c r="N5" s="383"/>
      <c r="O5" s="383"/>
      <c r="P5" s="383"/>
      <c r="Q5" s="383"/>
      <c r="R5" s="384"/>
      <c r="S5" s="63"/>
    </row>
    <row r="6" spans="1:25" ht="14.4" x14ac:dyDescent="0.3">
      <c r="A6" s="379"/>
      <c r="B6" s="379"/>
      <c r="C6" s="379"/>
      <c r="D6" s="381"/>
      <c r="E6" s="379"/>
      <c r="F6" s="43" t="s">
        <v>693</v>
      </c>
      <c r="G6" s="43" t="s">
        <v>694</v>
      </c>
      <c r="H6" s="43" t="s">
        <v>695</v>
      </c>
      <c r="I6" s="43" t="s">
        <v>696</v>
      </c>
      <c r="J6" s="43" t="s">
        <v>697</v>
      </c>
      <c r="K6" s="43" t="s">
        <v>698</v>
      </c>
      <c r="L6" s="43" t="s">
        <v>699</v>
      </c>
      <c r="M6" s="43" t="s">
        <v>700</v>
      </c>
      <c r="N6" s="43" t="s">
        <v>701</v>
      </c>
      <c r="O6" s="43" t="s">
        <v>702</v>
      </c>
      <c r="P6" s="43" t="s">
        <v>703</v>
      </c>
      <c r="Q6" s="43" t="s">
        <v>704</v>
      </c>
      <c r="R6" s="43" t="s">
        <v>705</v>
      </c>
      <c r="S6" s="64"/>
      <c r="Y6" s="20">
        <f>Y3+Y4+Y5</f>
        <v>4768</v>
      </c>
    </row>
    <row r="7" spans="1:25" ht="14.4" x14ac:dyDescent="0.3">
      <c r="A7" s="44">
        <v>1</v>
      </c>
      <c r="B7" s="45" t="s">
        <v>636</v>
      </c>
      <c r="C7" s="14" t="s">
        <v>638</v>
      </c>
      <c r="D7" s="153" t="s">
        <v>706</v>
      </c>
      <c r="E7" s="44"/>
      <c r="F7" s="44">
        <v>10</v>
      </c>
      <c r="G7" s="44">
        <v>10</v>
      </c>
      <c r="H7" s="44">
        <v>10</v>
      </c>
      <c r="I7" s="44">
        <v>10</v>
      </c>
      <c r="J7" s="44">
        <v>10</v>
      </c>
      <c r="K7" s="44">
        <v>10</v>
      </c>
      <c r="L7" s="44">
        <v>10</v>
      </c>
      <c r="M7" s="44">
        <v>10</v>
      </c>
      <c r="N7" s="44">
        <v>10</v>
      </c>
      <c r="O7" s="44">
        <v>10</v>
      </c>
      <c r="P7" s="44">
        <v>10</v>
      </c>
      <c r="Q7" s="44">
        <v>10</v>
      </c>
      <c r="R7" s="44">
        <f t="shared" ref="R7:R68" si="0">SUM(E7:Q7)</f>
        <v>120</v>
      </c>
      <c r="S7" s="53">
        <f t="shared" ref="S7:S68" si="1">R7</f>
        <v>120</v>
      </c>
      <c r="U7" s="20">
        <f t="shared" ref="U7:U68" si="2">IF(R7=120,(R7+E7),0)</f>
        <v>120</v>
      </c>
      <c r="V7" s="20" t="s">
        <v>897</v>
      </c>
      <c r="Y7" s="20">
        <v>276.8</v>
      </c>
    </row>
    <row r="8" spans="1:25" ht="14.4" x14ac:dyDescent="0.3">
      <c r="A8" s="44">
        <v>2</v>
      </c>
      <c r="B8" s="45" t="s">
        <v>455</v>
      </c>
      <c r="C8" s="44" t="s">
        <v>708</v>
      </c>
      <c r="D8" s="153" t="s">
        <v>709</v>
      </c>
      <c r="E8" s="44"/>
      <c r="F8" s="44">
        <v>10</v>
      </c>
      <c r="G8" s="44">
        <v>10</v>
      </c>
      <c r="H8" s="44">
        <v>10</v>
      </c>
      <c r="I8" s="44">
        <v>10</v>
      </c>
      <c r="J8" s="44">
        <v>10</v>
      </c>
      <c r="K8" s="44">
        <v>10</v>
      </c>
      <c r="L8" s="44">
        <v>10</v>
      </c>
      <c r="M8" s="44">
        <v>10</v>
      </c>
      <c r="N8" s="44">
        <v>10</v>
      </c>
      <c r="O8" s="44">
        <v>10</v>
      </c>
      <c r="P8" s="44">
        <v>10</v>
      </c>
      <c r="Q8" s="44">
        <v>10</v>
      </c>
      <c r="R8" s="65">
        <f t="shared" si="0"/>
        <v>120</v>
      </c>
      <c r="S8" s="53">
        <f t="shared" si="1"/>
        <v>120</v>
      </c>
      <c r="U8" s="20">
        <f t="shared" si="2"/>
        <v>120</v>
      </c>
      <c r="V8" s="20" t="s">
        <v>898</v>
      </c>
      <c r="Y8" s="20">
        <f>Y6-Y7</f>
        <v>4491.2</v>
      </c>
    </row>
    <row r="9" spans="1:25" ht="14.4" x14ac:dyDescent="0.3">
      <c r="A9" s="44">
        <v>3</v>
      </c>
      <c r="B9" s="47" t="s">
        <v>103</v>
      </c>
      <c r="C9" s="65" t="s">
        <v>105</v>
      </c>
      <c r="D9" s="153" t="s">
        <v>711</v>
      </c>
      <c r="E9" s="44"/>
      <c r="F9" s="44">
        <v>10</v>
      </c>
      <c r="G9" s="44">
        <v>10</v>
      </c>
      <c r="H9" s="44">
        <v>10</v>
      </c>
      <c r="I9" s="44">
        <v>10</v>
      </c>
      <c r="J9" s="44">
        <v>10</v>
      </c>
      <c r="K9" s="44">
        <v>10</v>
      </c>
      <c r="L9" s="44">
        <v>10</v>
      </c>
      <c r="M9" s="44">
        <v>10</v>
      </c>
      <c r="N9" s="44">
        <v>10</v>
      </c>
      <c r="O9" s="44">
        <v>10</v>
      </c>
      <c r="P9" s="44">
        <v>10</v>
      </c>
      <c r="Q9" s="44">
        <v>10</v>
      </c>
      <c r="R9" s="44">
        <f t="shared" si="0"/>
        <v>120</v>
      </c>
      <c r="S9" s="53">
        <f t="shared" si="1"/>
        <v>120</v>
      </c>
      <c r="U9" s="20">
        <f t="shared" si="2"/>
        <v>120</v>
      </c>
      <c r="V9" s="20" t="s">
        <v>899</v>
      </c>
    </row>
    <row r="10" spans="1:25" ht="14.4" x14ac:dyDescent="0.3">
      <c r="A10" s="44">
        <v>4</v>
      </c>
      <c r="B10" s="47" t="s">
        <v>283</v>
      </c>
      <c r="C10" s="44" t="s">
        <v>712</v>
      </c>
      <c r="D10" s="153" t="s">
        <v>713</v>
      </c>
      <c r="E10" s="44"/>
      <c r="F10" s="44">
        <v>10</v>
      </c>
      <c r="G10" s="44">
        <v>10</v>
      </c>
      <c r="H10" s="44">
        <v>10</v>
      </c>
      <c r="I10" s="44">
        <v>10</v>
      </c>
      <c r="J10" s="44">
        <v>10</v>
      </c>
      <c r="K10" s="44">
        <v>10</v>
      </c>
      <c r="L10" s="44">
        <v>10</v>
      </c>
      <c r="M10" s="44">
        <v>10</v>
      </c>
      <c r="N10" s="44">
        <v>10</v>
      </c>
      <c r="O10" s="44">
        <v>10</v>
      </c>
      <c r="P10" s="44">
        <v>10</v>
      </c>
      <c r="Q10" s="44">
        <v>10</v>
      </c>
      <c r="R10" s="44">
        <f t="shared" si="0"/>
        <v>120</v>
      </c>
      <c r="S10" s="53">
        <f t="shared" si="1"/>
        <v>120</v>
      </c>
      <c r="U10" s="20">
        <f t="shared" si="2"/>
        <v>120</v>
      </c>
      <c r="V10" s="20" t="s">
        <v>900</v>
      </c>
    </row>
    <row r="11" spans="1:25" ht="14.4" x14ac:dyDescent="0.3">
      <c r="A11" s="44">
        <v>5</v>
      </c>
      <c r="B11" s="47" t="s">
        <v>39</v>
      </c>
      <c r="C11" s="14" t="s">
        <v>715</v>
      </c>
      <c r="D11" s="153" t="s">
        <v>716</v>
      </c>
      <c r="E11" s="44"/>
      <c r="F11" s="44">
        <v>10</v>
      </c>
      <c r="G11" s="44">
        <v>10</v>
      </c>
      <c r="H11" s="44">
        <v>10</v>
      </c>
      <c r="I11" s="44">
        <v>10</v>
      </c>
      <c r="J11" s="44">
        <v>10</v>
      </c>
      <c r="K11" s="44">
        <v>10</v>
      </c>
      <c r="L11" s="44">
        <v>10</v>
      </c>
      <c r="M11" s="44">
        <v>10</v>
      </c>
      <c r="N11" s="44">
        <v>10</v>
      </c>
      <c r="O11" s="44">
        <v>10</v>
      </c>
      <c r="P11" s="44">
        <v>10</v>
      </c>
      <c r="Q11" s="44">
        <v>10</v>
      </c>
      <c r="R11" s="65">
        <f t="shared" si="0"/>
        <v>120</v>
      </c>
      <c r="S11" s="53">
        <f t="shared" si="1"/>
        <v>120</v>
      </c>
      <c r="U11" s="20">
        <f t="shared" si="2"/>
        <v>120</v>
      </c>
      <c r="V11" s="20" t="s">
        <v>901</v>
      </c>
    </row>
    <row r="12" spans="1:25" ht="14.4" x14ac:dyDescent="0.3">
      <c r="A12" s="44">
        <v>6</v>
      </c>
      <c r="B12" s="47" t="s">
        <v>200</v>
      </c>
      <c r="C12" s="44" t="s">
        <v>717</v>
      </c>
      <c r="D12" s="153" t="s">
        <v>718</v>
      </c>
      <c r="E12" s="44"/>
      <c r="F12" s="44">
        <v>10</v>
      </c>
      <c r="G12" s="44">
        <v>10</v>
      </c>
      <c r="H12" s="44">
        <v>10</v>
      </c>
      <c r="I12" s="44">
        <v>10</v>
      </c>
      <c r="J12" s="44">
        <v>10</v>
      </c>
      <c r="K12" s="44">
        <v>10</v>
      </c>
      <c r="L12" s="44">
        <v>10</v>
      </c>
      <c r="M12" s="44">
        <v>10</v>
      </c>
      <c r="N12" s="44">
        <v>10</v>
      </c>
      <c r="O12" s="44">
        <v>10</v>
      </c>
      <c r="P12" s="44">
        <v>10</v>
      </c>
      <c r="Q12" s="44">
        <v>10</v>
      </c>
      <c r="R12" s="44">
        <f t="shared" si="0"/>
        <v>120</v>
      </c>
      <c r="S12" s="53">
        <f t="shared" si="1"/>
        <v>120</v>
      </c>
      <c r="U12" s="20">
        <f t="shared" si="2"/>
        <v>120</v>
      </c>
      <c r="V12" s="20" t="s">
        <v>902</v>
      </c>
    </row>
    <row r="13" spans="1:25" ht="14.4" x14ac:dyDescent="0.3">
      <c r="A13" s="44">
        <v>7</v>
      </c>
      <c r="B13" s="47" t="s">
        <v>402</v>
      </c>
      <c r="C13" s="44" t="s">
        <v>720</v>
      </c>
      <c r="D13" s="153" t="s">
        <v>721</v>
      </c>
      <c r="E13" s="44"/>
      <c r="F13" s="44">
        <v>10</v>
      </c>
      <c r="G13" s="44">
        <v>10</v>
      </c>
      <c r="H13" s="44">
        <v>10</v>
      </c>
      <c r="I13" s="44">
        <v>10</v>
      </c>
      <c r="J13" s="44">
        <v>10</v>
      </c>
      <c r="K13" s="44">
        <v>10</v>
      </c>
      <c r="L13" s="44">
        <v>10</v>
      </c>
      <c r="M13" s="44">
        <v>10</v>
      </c>
      <c r="N13" s="44">
        <v>10</v>
      </c>
      <c r="O13" s="44">
        <v>10</v>
      </c>
      <c r="P13" s="44">
        <v>10</v>
      </c>
      <c r="Q13" s="44">
        <v>10</v>
      </c>
      <c r="R13" s="44">
        <f t="shared" si="0"/>
        <v>120</v>
      </c>
      <c r="S13" s="53">
        <f t="shared" si="1"/>
        <v>120</v>
      </c>
      <c r="U13" s="20">
        <f t="shared" si="2"/>
        <v>120</v>
      </c>
    </row>
    <row r="14" spans="1:25" ht="14.4" x14ac:dyDescent="0.3">
      <c r="A14" s="44">
        <v>8</v>
      </c>
      <c r="B14" s="47" t="s">
        <v>54</v>
      </c>
      <c r="C14" s="14" t="s">
        <v>56</v>
      </c>
      <c r="D14" s="153" t="s">
        <v>722</v>
      </c>
      <c r="E14" s="44"/>
      <c r="F14" s="44">
        <v>10</v>
      </c>
      <c r="G14" s="44">
        <v>10</v>
      </c>
      <c r="H14" s="44">
        <v>10</v>
      </c>
      <c r="I14" s="44">
        <v>10</v>
      </c>
      <c r="J14" s="44">
        <v>10</v>
      </c>
      <c r="K14" s="44">
        <v>10</v>
      </c>
      <c r="L14" s="44">
        <v>10</v>
      </c>
      <c r="M14" s="44">
        <v>10</v>
      </c>
      <c r="N14" s="44">
        <v>10</v>
      </c>
      <c r="O14" s="44">
        <v>10</v>
      </c>
      <c r="P14" s="44">
        <v>10</v>
      </c>
      <c r="Q14" s="44">
        <v>10</v>
      </c>
      <c r="R14" s="44">
        <f t="shared" si="0"/>
        <v>120</v>
      </c>
      <c r="S14" s="53">
        <f t="shared" si="1"/>
        <v>120</v>
      </c>
      <c r="U14" s="20">
        <f t="shared" si="2"/>
        <v>120</v>
      </c>
    </row>
    <row r="15" spans="1:25" ht="14.4" x14ac:dyDescent="0.3">
      <c r="A15" s="44">
        <v>9</v>
      </c>
      <c r="B15" s="47" t="s">
        <v>423</v>
      </c>
      <c r="C15" s="44" t="s">
        <v>425</v>
      </c>
      <c r="D15" s="153" t="s">
        <v>723</v>
      </c>
      <c r="E15" s="44"/>
      <c r="F15" s="44">
        <v>10</v>
      </c>
      <c r="G15" s="44">
        <v>10</v>
      </c>
      <c r="H15" s="44">
        <v>10</v>
      </c>
      <c r="I15" s="44">
        <v>10</v>
      </c>
      <c r="J15" s="44">
        <v>10</v>
      </c>
      <c r="K15" s="44">
        <v>10</v>
      </c>
      <c r="L15" s="44">
        <v>10</v>
      </c>
      <c r="M15" s="44">
        <v>10</v>
      </c>
      <c r="N15" s="44">
        <v>10</v>
      </c>
      <c r="O15" s="44">
        <v>10</v>
      </c>
      <c r="P15" s="44">
        <v>10</v>
      </c>
      <c r="Q15" s="44">
        <v>10</v>
      </c>
      <c r="R15" s="65">
        <f t="shared" si="0"/>
        <v>120</v>
      </c>
      <c r="S15" s="53">
        <f t="shared" si="1"/>
        <v>120</v>
      </c>
      <c r="U15" s="20">
        <f t="shared" si="2"/>
        <v>120</v>
      </c>
      <c r="V15" s="20" t="s">
        <v>901</v>
      </c>
    </row>
    <row r="16" spans="1:25" ht="14.4" x14ac:dyDescent="0.3">
      <c r="A16" s="44">
        <v>10</v>
      </c>
      <c r="B16" s="47" t="s">
        <v>430</v>
      </c>
      <c r="C16" s="14" t="s">
        <v>432</v>
      </c>
      <c r="D16" s="153" t="s">
        <v>724</v>
      </c>
      <c r="E16" s="44"/>
      <c r="F16" s="44">
        <v>10</v>
      </c>
      <c r="G16" s="44">
        <v>10</v>
      </c>
      <c r="H16" s="44">
        <v>10</v>
      </c>
      <c r="I16" s="44">
        <v>10</v>
      </c>
      <c r="J16" s="44">
        <v>10</v>
      </c>
      <c r="K16" s="44">
        <v>10</v>
      </c>
      <c r="L16" s="44">
        <v>10</v>
      </c>
      <c r="M16" s="44">
        <v>10</v>
      </c>
      <c r="N16" s="44">
        <v>10</v>
      </c>
      <c r="O16" s="44">
        <v>10</v>
      </c>
      <c r="P16" s="44">
        <v>10</v>
      </c>
      <c r="Q16" s="44">
        <v>10</v>
      </c>
      <c r="R16" s="44">
        <f t="shared" si="0"/>
        <v>120</v>
      </c>
      <c r="S16" s="53">
        <f t="shared" si="1"/>
        <v>120</v>
      </c>
      <c r="U16" s="20">
        <f t="shared" si="2"/>
        <v>120</v>
      </c>
      <c r="V16" s="20" t="s">
        <v>903</v>
      </c>
    </row>
    <row r="17" spans="1:22" ht="14.4" x14ac:dyDescent="0.3">
      <c r="A17" s="44">
        <v>11</v>
      </c>
      <c r="B17" s="66" t="s">
        <v>72</v>
      </c>
      <c r="C17" s="67" t="s">
        <v>74</v>
      </c>
      <c r="D17" s="371" t="s">
        <v>725</v>
      </c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>
        <f t="shared" si="0"/>
        <v>0</v>
      </c>
      <c r="S17" s="69">
        <f t="shared" si="1"/>
        <v>0</v>
      </c>
      <c r="U17" s="20">
        <f t="shared" si="2"/>
        <v>0</v>
      </c>
    </row>
    <row r="18" spans="1:22" ht="14.4" x14ac:dyDescent="0.3">
      <c r="A18" s="44">
        <v>12</v>
      </c>
      <c r="B18" s="47" t="s">
        <v>335</v>
      </c>
      <c r="C18" s="14" t="s">
        <v>337</v>
      </c>
      <c r="D18" s="153" t="s">
        <v>726</v>
      </c>
      <c r="E18" s="44"/>
      <c r="F18" s="44">
        <v>10</v>
      </c>
      <c r="G18" s="44">
        <v>10</v>
      </c>
      <c r="H18" s="44">
        <v>10</v>
      </c>
      <c r="I18" s="44">
        <v>10</v>
      </c>
      <c r="J18" s="44">
        <v>10</v>
      </c>
      <c r="K18" s="44"/>
      <c r="L18" s="44"/>
      <c r="M18" s="44"/>
      <c r="N18" s="44"/>
      <c r="O18" s="44"/>
      <c r="P18" s="44"/>
      <c r="Q18" s="44"/>
      <c r="R18" s="65">
        <f t="shared" si="0"/>
        <v>50</v>
      </c>
      <c r="S18" s="53">
        <f t="shared" si="1"/>
        <v>50</v>
      </c>
      <c r="U18" s="20">
        <f t="shared" si="2"/>
        <v>0</v>
      </c>
      <c r="V18" s="20" t="s">
        <v>904</v>
      </c>
    </row>
    <row r="19" spans="1:22" ht="14.4" x14ac:dyDescent="0.3">
      <c r="A19" s="44">
        <v>13</v>
      </c>
      <c r="B19" s="47" t="s">
        <v>519</v>
      </c>
      <c r="C19" s="44" t="s">
        <v>521</v>
      </c>
      <c r="D19" s="153" t="s">
        <v>727</v>
      </c>
      <c r="E19" s="44"/>
      <c r="F19" s="44">
        <v>10</v>
      </c>
      <c r="G19" s="44">
        <v>10</v>
      </c>
      <c r="H19" s="44">
        <v>10</v>
      </c>
      <c r="I19" s="44">
        <v>10</v>
      </c>
      <c r="J19" s="44">
        <v>10</v>
      </c>
      <c r="K19" s="44">
        <v>10</v>
      </c>
      <c r="L19" s="44">
        <v>10</v>
      </c>
      <c r="M19" s="44">
        <v>10</v>
      </c>
      <c r="N19" s="44">
        <v>10</v>
      </c>
      <c r="O19" s="44">
        <v>10</v>
      </c>
      <c r="P19" s="44">
        <v>10</v>
      </c>
      <c r="Q19" s="44">
        <v>10</v>
      </c>
      <c r="R19" s="44">
        <f t="shared" si="0"/>
        <v>120</v>
      </c>
      <c r="S19" s="53">
        <f t="shared" si="1"/>
        <v>120</v>
      </c>
      <c r="U19" s="20">
        <f t="shared" si="2"/>
        <v>120</v>
      </c>
    </row>
    <row r="20" spans="1:22" ht="14.4" x14ac:dyDescent="0.3">
      <c r="A20" s="44">
        <v>14</v>
      </c>
      <c r="B20" s="47" t="s">
        <v>372</v>
      </c>
      <c r="C20" s="14" t="s">
        <v>374</v>
      </c>
      <c r="D20" s="153" t="s">
        <v>729</v>
      </c>
      <c r="E20" s="44"/>
      <c r="F20" s="44">
        <v>10</v>
      </c>
      <c r="G20" s="44">
        <v>10</v>
      </c>
      <c r="H20" s="44">
        <v>10</v>
      </c>
      <c r="I20" s="44">
        <v>10</v>
      </c>
      <c r="J20" s="44">
        <v>10</v>
      </c>
      <c r="K20" s="44">
        <v>10</v>
      </c>
      <c r="L20" s="44">
        <v>10</v>
      </c>
      <c r="M20" s="44">
        <v>10</v>
      </c>
      <c r="N20" s="44">
        <v>10</v>
      </c>
      <c r="O20" s="44">
        <v>10</v>
      </c>
      <c r="P20" s="44">
        <v>10</v>
      </c>
      <c r="Q20" s="44">
        <v>10</v>
      </c>
      <c r="R20" s="44">
        <f t="shared" si="0"/>
        <v>120</v>
      </c>
      <c r="S20" s="53">
        <f t="shared" si="1"/>
        <v>120</v>
      </c>
      <c r="U20" s="20">
        <f t="shared" si="2"/>
        <v>120</v>
      </c>
      <c r="V20" s="20" t="s">
        <v>905</v>
      </c>
    </row>
    <row r="21" spans="1:22" ht="15.75" customHeight="1" x14ac:dyDescent="0.3">
      <c r="A21" s="44">
        <v>15</v>
      </c>
      <c r="B21" s="47" t="s">
        <v>79</v>
      </c>
      <c r="C21" s="44" t="s">
        <v>81</v>
      </c>
      <c r="D21" s="153" t="s">
        <v>730</v>
      </c>
      <c r="E21" s="44"/>
      <c r="F21" s="44">
        <v>10</v>
      </c>
      <c r="G21" s="44">
        <v>10</v>
      </c>
      <c r="H21" s="44">
        <v>10</v>
      </c>
      <c r="I21" s="44">
        <v>10</v>
      </c>
      <c r="J21" s="44">
        <v>10</v>
      </c>
      <c r="K21" s="44">
        <v>10</v>
      </c>
      <c r="L21" s="44">
        <v>10</v>
      </c>
      <c r="M21" s="44">
        <v>10</v>
      </c>
      <c r="N21" s="44">
        <v>10</v>
      </c>
      <c r="O21" s="44">
        <v>10</v>
      </c>
      <c r="P21" s="44">
        <v>10</v>
      </c>
      <c r="Q21" s="44">
        <v>10</v>
      </c>
      <c r="R21" s="44">
        <f t="shared" si="0"/>
        <v>120</v>
      </c>
      <c r="S21" s="53">
        <f t="shared" si="1"/>
        <v>120</v>
      </c>
      <c r="U21" s="20">
        <f t="shared" si="2"/>
        <v>120</v>
      </c>
      <c r="V21" s="20" t="s">
        <v>906</v>
      </c>
    </row>
    <row r="22" spans="1:22" ht="15.75" customHeight="1" x14ac:dyDescent="0.3">
      <c r="A22" s="44">
        <v>16</v>
      </c>
      <c r="B22" s="66" t="s">
        <v>232</v>
      </c>
      <c r="C22" s="67" t="s">
        <v>234</v>
      </c>
      <c r="D22" s="371" t="s">
        <v>731</v>
      </c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>
        <f t="shared" si="0"/>
        <v>0</v>
      </c>
      <c r="S22" s="69">
        <f t="shared" si="1"/>
        <v>0</v>
      </c>
      <c r="U22" s="20">
        <f t="shared" si="2"/>
        <v>0</v>
      </c>
    </row>
    <row r="23" spans="1:22" ht="15.75" customHeight="1" x14ac:dyDescent="0.3">
      <c r="A23" s="44">
        <v>17</v>
      </c>
      <c r="B23" s="66" t="s">
        <v>503</v>
      </c>
      <c r="C23" s="67" t="s">
        <v>505</v>
      </c>
      <c r="D23" s="371" t="s">
        <v>732</v>
      </c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>
        <f t="shared" si="0"/>
        <v>0</v>
      </c>
      <c r="S23" s="69">
        <f t="shared" si="1"/>
        <v>0</v>
      </c>
      <c r="U23" s="20">
        <f t="shared" si="2"/>
        <v>0</v>
      </c>
    </row>
    <row r="24" spans="1:22" ht="15.75" customHeight="1" x14ac:dyDescent="0.3">
      <c r="A24" s="44">
        <v>18</v>
      </c>
      <c r="B24" s="47" t="s">
        <v>556</v>
      </c>
      <c r="C24" s="44" t="s">
        <v>733</v>
      </c>
      <c r="D24" s="153" t="s">
        <v>734</v>
      </c>
      <c r="E24" s="44"/>
      <c r="F24" s="44">
        <v>10</v>
      </c>
      <c r="G24" s="44">
        <v>10</v>
      </c>
      <c r="H24" s="44">
        <v>10</v>
      </c>
      <c r="I24" s="44">
        <v>10</v>
      </c>
      <c r="J24" s="44">
        <v>10</v>
      </c>
      <c r="K24" s="44">
        <v>10</v>
      </c>
      <c r="L24" s="44">
        <v>10</v>
      </c>
      <c r="M24" s="44">
        <v>10</v>
      </c>
      <c r="N24" s="44">
        <v>10</v>
      </c>
      <c r="O24" s="44">
        <v>10</v>
      </c>
      <c r="P24" s="44">
        <v>10</v>
      </c>
      <c r="Q24" s="44">
        <v>10</v>
      </c>
      <c r="R24" s="44">
        <f t="shared" si="0"/>
        <v>120</v>
      </c>
      <c r="S24" s="53">
        <f t="shared" si="1"/>
        <v>120</v>
      </c>
      <c r="U24" s="20">
        <f t="shared" si="2"/>
        <v>120</v>
      </c>
    </row>
    <row r="25" spans="1:22" ht="15.75" customHeight="1" x14ac:dyDescent="0.3">
      <c r="A25" s="44">
        <v>19</v>
      </c>
      <c r="B25" s="47" t="s">
        <v>595</v>
      </c>
      <c r="C25" s="44" t="s">
        <v>735</v>
      </c>
      <c r="D25" s="153" t="s">
        <v>736</v>
      </c>
      <c r="E25" s="44"/>
      <c r="F25" s="44">
        <v>10</v>
      </c>
      <c r="G25" s="44">
        <v>10</v>
      </c>
      <c r="H25" s="44">
        <v>10</v>
      </c>
      <c r="I25" s="44">
        <v>10</v>
      </c>
      <c r="J25" s="44">
        <v>10</v>
      </c>
      <c r="K25" s="44">
        <v>10</v>
      </c>
      <c r="L25" s="44">
        <v>10</v>
      </c>
      <c r="M25" s="44">
        <v>10</v>
      </c>
      <c r="N25" s="44">
        <v>10</v>
      </c>
      <c r="O25" s="44">
        <v>10</v>
      </c>
      <c r="P25" s="44">
        <v>10</v>
      </c>
      <c r="Q25" s="44">
        <v>10</v>
      </c>
      <c r="R25" s="44">
        <f t="shared" si="0"/>
        <v>120</v>
      </c>
      <c r="S25" s="60">
        <f t="shared" si="1"/>
        <v>120</v>
      </c>
      <c r="U25" s="20">
        <f t="shared" si="2"/>
        <v>120</v>
      </c>
      <c r="V25" s="70">
        <v>43305</v>
      </c>
    </row>
    <row r="26" spans="1:22" ht="15.75" customHeight="1" x14ac:dyDescent="0.3">
      <c r="A26" s="44">
        <v>20</v>
      </c>
      <c r="B26" s="47" t="s">
        <v>524</v>
      </c>
      <c r="C26" s="14" t="s">
        <v>526</v>
      </c>
      <c r="D26" s="153" t="s">
        <v>737</v>
      </c>
      <c r="E26" s="44"/>
      <c r="F26" s="44">
        <v>10</v>
      </c>
      <c r="G26" s="44">
        <v>10</v>
      </c>
      <c r="H26" s="44">
        <v>10</v>
      </c>
      <c r="I26" s="44">
        <v>10</v>
      </c>
      <c r="J26" s="44">
        <v>10</v>
      </c>
      <c r="K26" s="44">
        <v>10</v>
      </c>
      <c r="L26" s="44">
        <v>10</v>
      </c>
      <c r="M26" s="44">
        <v>10</v>
      </c>
      <c r="N26" s="44">
        <v>10</v>
      </c>
      <c r="O26" s="44">
        <v>10</v>
      </c>
      <c r="P26" s="44">
        <v>10</v>
      </c>
      <c r="Q26" s="44">
        <v>10</v>
      </c>
      <c r="R26" s="44">
        <f t="shared" si="0"/>
        <v>120</v>
      </c>
      <c r="S26" s="60">
        <f t="shared" si="1"/>
        <v>120</v>
      </c>
      <c r="U26" s="20">
        <f t="shared" si="2"/>
        <v>120</v>
      </c>
      <c r="V26" s="60" t="s">
        <v>907</v>
      </c>
    </row>
    <row r="27" spans="1:22" ht="15.75" customHeight="1" x14ac:dyDescent="0.3">
      <c r="A27" s="44">
        <v>21</v>
      </c>
      <c r="B27" s="47" t="s">
        <v>532</v>
      </c>
      <c r="C27" s="14" t="s">
        <v>534</v>
      </c>
      <c r="D27" s="153" t="s">
        <v>738</v>
      </c>
      <c r="E27" s="44"/>
      <c r="F27" s="44">
        <v>10</v>
      </c>
      <c r="G27" s="44">
        <v>10</v>
      </c>
      <c r="H27" s="44">
        <v>10</v>
      </c>
      <c r="I27" s="44">
        <v>10</v>
      </c>
      <c r="J27" s="44">
        <v>10</v>
      </c>
      <c r="K27" s="44">
        <v>10</v>
      </c>
      <c r="L27" s="44">
        <v>10</v>
      </c>
      <c r="M27" s="44">
        <v>10</v>
      </c>
      <c r="N27" s="44">
        <v>10</v>
      </c>
      <c r="O27" s="44">
        <v>10</v>
      </c>
      <c r="P27" s="44">
        <v>10</v>
      </c>
      <c r="Q27" s="44">
        <v>10</v>
      </c>
      <c r="R27" s="65">
        <f t="shared" si="0"/>
        <v>120</v>
      </c>
      <c r="S27" s="53">
        <f t="shared" si="1"/>
        <v>120</v>
      </c>
      <c r="U27" s="20">
        <f t="shared" si="2"/>
        <v>120</v>
      </c>
      <c r="V27" s="20" t="s">
        <v>901</v>
      </c>
    </row>
    <row r="28" spans="1:22" ht="15.75" customHeight="1" x14ac:dyDescent="0.3">
      <c r="A28" s="44">
        <v>22</v>
      </c>
      <c r="B28" s="47" t="s">
        <v>653</v>
      </c>
      <c r="C28" s="14" t="s">
        <v>656</v>
      </c>
      <c r="D28" s="153" t="s">
        <v>739</v>
      </c>
      <c r="E28" s="44"/>
      <c r="F28" s="44">
        <v>10</v>
      </c>
      <c r="G28" s="44">
        <v>10</v>
      </c>
      <c r="H28" s="44">
        <v>10</v>
      </c>
      <c r="I28" s="44">
        <v>10</v>
      </c>
      <c r="J28" s="44">
        <v>10</v>
      </c>
      <c r="K28" s="44">
        <v>10</v>
      </c>
      <c r="L28" s="44">
        <v>10</v>
      </c>
      <c r="M28" s="44">
        <v>10</v>
      </c>
      <c r="N28" s="44">
        <v>10</v>
      </c>
      <c r="O28" s="44">
        <v>10</v>
      </c>
      <c r="P28" s="44">
        <v>10</v>
      </c>
      <c r="Q28" s="44">
        <v>10</v>
      </c>
      <c r="R28" s="44">
        <f t="shared" si="0"/>
        <v>120</v>
      </c>
      <c r="S28" s="53">
        <f t="shared" si="1"/>
        <v>120</v>
      </c>
      <c r="U28" s="20">
        <f t="shared" si="2"/>
        <v>120</v>
      </c>
    </row>
    <row r="29" spans="1:22" ht="15.75" customHeight="1" x14ac:dyDescent="0.3">
      <c r="A29" s="44">
        <v>23</v>
      </c>
      <c r="B29" s="47" t="s">
        <v>678</v>
      </c>
      <c r="C29" s="14" t="s">
        <v>681</v>
      </c>
      <c r="D29" s="153" t="s">
        <v>740</v>
      </c>
      <c r="E29" s="44"/>
      <c r="F29" s="44">
        <v>10</v>
      </c>
      <c r="G29" s="44">
        <v>10</v>
      </c>
      <c r="H29" s="44">
        <v>10</v>
      </c>
      <c r="I29" s="44">
        <v>10</v>
      </c>
      <c r="J29" s="44">
        <v>10</v>
      </c>
      <c r="K29" s="44">
        <v>10</v>
      </c>
      <c r="L29" s="44">
        <v>10</v>
      </c>
      <c r="M29" s="44">
        <v>10</v>
      </c>
      <c r="N29" s="44">
        <v>10</v>
      </c>
      <c r="O29" s="44">
        <v>10</v>
      </c>
      <c r="P29" s="44">
        <v>10</v>
      </c>
      <c r="Q29" s="44">
        <v>10</v>
      </c>
      <c r="R29" s="65">
        <f t="shared" si="0"/>
        <v>120</v>
      </c>
      <c r="S29" s="53">
        <f t="shared" si="1"/>
        <v>120</v>
      </c>
      <c r="U29" s="20">
        <f t="shared" si="2"/>
        <v>120</v>
      </c>
      <c r="V29" s="20" t="s">
        <v>901</v>
      </c>
    </row>
    <row r="30" spans="1:22" ht="15.75" customHeight="1" x14ac:dyDescent="0.3">
      <c r="A30" s="44">
        <v>24</v>
      </c>
      <c r="B30" s="66" t="s">
        <v>356</v>
      </c>
      <c r="C30" s="68" t="s">
        <v>741</v>
      </c>
      <c r="D30" s="371" t="s">
        <v>742</v>
      </c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>
        <f t="shared" si="0"/>
        <v>0</v>
      </c>
      <c r="S30" s="53">
        <f t="shared" si="1"/>
        <v>0</v>
      </c>
      <c r="U30" s="20">
        <f t="shared" si="2"/>
        <v>0</v>
      </c>
    </row>
    <row r="31" spans="1:22" ht="15.75" customHeight="1" x14ac:dyDescent="0.3">
      <c r="A31" s="44">
        <v>25</v>
      </c>
      <c r="B31" s="47" t="s">
        <v>462</v>
      </c>
      <c r="C31" s="44" t="s">
        <v>743</v>
      </c>
      <c r="D31" s="153" t="s">
        <v>744</v>
      </c>
      <c r="E31" s="44"/>
      <c r="F31" s="44">
        <v>10</v>
      </c>
      <c r="G31" s="44">
        <v>10</v>
      </c>
      <c r="H31" s="44">
        <v>10</v>
      </c>
      <c r="I31" s="44">
        <v>10</v>
      </c>
      <c r="J31" s="44">
        <v>10</v>
      </c>
      <c r="K31" s="44">
        <v>10</v>
      </c>
      <c r="L31" s="44">
        <v>10</v>
      </c>
      <c r="M31" s="44">
        <v>10</v>
      </c>
      <c r="N31" s="44">
        <v>10</v>
      </c>
      <c r="O31" s="44">
        <v>10</v>
      </c>
      <c r="P31" s="44">
        <v>10</v>
      </c>
      <c r="Q31" s="44">
        <v>10</v>
      </c>
      <c r="R31" s="44">
        <f t="shared" si="0"/>
        <v>120</v>
      </c>
      <c r="S31" s="53">
        <f t="shared" si="1"/>
        <v>120</v>
      </c>
      <c r="U31" s="20">
        <f t="shared" si="2"/>
        <v>120</v>
      </c>
      <c r="V31" s="20" t="s">
        <v>908</v>
      </c>
    </row>
    <row r="32" spans="1:22" ht="15.75" customHeight="1" x14ac:dyDescent="0.3">
      <c r="A32" s="44">
        <v>26</v>
      </c>
      <c r="B32" s="66" t="s">
        <v>224</v>
      </c>
      <c r="C32" s="68" t="s">
        <v>745</v>
      </c>
      <c r="D32" s="371" t="s">
        <v>746</v>
      </c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>
        <f t="shared" si="0"/>
        <v>0</v>
      </c>
      <c r="S32" s="53">
        <f t="shared" si="1"/>
        <v>0</v>
      </c>
      <c r="U32" s="20">
        <f t="shared" si="2"/>
        <v>0</v>
      </c>
    </row>
    <row r="33" spans="1:26" ht="15.75" customHeight="1" x14ac:dyDescent="0.3">
      <c r="A33" s="44">
        <v>27</v>
      </c>
      <c r="B33" s="47" t="s">
        <v>328</v>
      </c>
      <c r="C33" s="44" t="s">
        <v>329</v>
      </c>
      <c r="D33" s="153" t="s">
        <v>747</v>
      </c>
      <c r="E33" s="44"/>
      <c r="F33" s="44">
        <v>10</v>
      </c>
      <c r="G33" s="44">
        <v>10</v>
      </c>
      <c r="H33" s="44">
        <v>10</v>
      </c>
      <c r="I33" s="44">
        <v>10</v>
      </c>
      <c r="J33" s="44">
        <v>10</v>
      </c>
      <c r="K33" s="44">
        <v>10</v>
      </c>
      <c r="L33" s="44">
        <v>10</v>
      </c>
      <c r="M33" s="44">
        <v>10</v>
      </c>
      <c r="N33" s="44">
        <v>10</v>
      </c>
      <c r="O33" s="44">
        <v>10</v>
      </c>
      <c r="P33" s="44">
        <v>10</v>
      </c>
      <c r="Q33" s="44">
        <v>10</v>
      </c>
      <c r="R33" s="44">
        <f t="shared" si="0"/>
        <v>120</v>
      </c>
      <c r="S33" s="53">
        <f t="shared" si="1"/>
        <v>120</v>
      </c>
      <c r="U33" s="20">
        <f t="shared" si="2"/>
        <v>120</v>
      </c>
    </row>
    <row r="34" spans="1:26" ht="15.75" customHeight="1" x14ac:dyDescent="0.3">
      <c r="A34" s="44">
        <v>28</v>
      </c>
      <c r="B34" s="47" t="s">
        <v>172</v>
      </c>
      <c r="C34" s="44" t="s">
        <v>174</v>
      </c>
      <c r="D34" s="153" t="s">
        <v>748</v>
      </c>
      <c r="E34" s="44"/>
      <c r="F34" s="44">
        <v>10</v>
      </c>
      <c r="G34" s="44">
        <v>10</v>
      </c>
      <c r="H34" s="44">
        <v>10</v>
      </c>
      <c r="I34" s="44">
        <v>10</v>
      </c>
      <c r="J34" s="44">
        <v>10</v>
      </c>
      <c r="K34" s="44">
        <v>10</v>
      </c>
      <c r="L34" s="44">
        <v>10</v>
      </c>
      <c r="M34" s="44">
        <v>10</v>
      </c>
      <c r="N34" s="44">
        <v>10</v>
      </c>
      <c r="O34" s="44">
        <v>10</v>
      </c>
      <c r="P34" s="44">
        <v>10</v>
      </c>
      <c r="Q34" s="44">
        <v>10</v>
      </c>
      <c r="R34" s="44">
        <f t="shared" si="0"/>
        <v>120</v>
      </c>
      <c r="S34" s="53">
        <f t="shared" si="1"/>
        <v>120</v>
      </c>
      <c r="U34" s="20">
        <f t="shared" si="2"/>
        <v>120</v>
      </c>
      <c r="V34" s="20" t="s">
        <v>908</v>
      </c>
    </row>
    <row r="35" spans="1:26" ht="15.75" customHeight="1" x14ac:dyDescent="0.3">
      <c r="A35" s="44">
        <v>29</v>
      </c>
      <c r="B35" s="47" t="s">
        <v>348</v>
      </c>
      <c r="C35" s="14" t="s">
        <v>749</v>
      </c>
      <c r="D35" s="153" t="s">
        <v>750</v>
      </c>
      <c r="E35" s="44"/>
      <c r="F35" s="44">
        <v>10</v>
      </c>
      <c r="G35" s="44">
        <v>10</v>
      </c>
      <c r="H35" s="44">
        <v>10</v>
      </c>
      <c r="I35" s="44">
        <v>10</v>
      </c>
      <c r="J35" s="44">
        <v>10</v>
      </c>
      <c r="K35" s="44">
        <v>10</v>
      </c>
      <c r="L35" s="44">
        <v>10</v>
      </c>
      <c r="M35" s="44">
        <v>10</v>
      </c>
      <c r="N35" s="44">
        <v>10</v>
      </c>
      <c r="O35" s="44">
        <v>10</v>
      </c>
      <c r="P35" s="44">
        <v>10</v>
      </c>
      <c r="Q35" s="44">
        <v>10</v>
      </c>
      <c r="R35" s="44">
        <f t="shared" si="0"/>
        <v>120</v>
      </c>
      <c r="S35" s="53">
        <f t="shared" si="1"/>
        <v>120</v>
      </c>
      <c r="U35" s="20">
        <f t="shared" si="2"/>
        <v>120</v>
      </c>
    </row>
    <row r="36" spans="1:26" ht="15.75" customHeight="1" x14ac:dyDescent="0.3">
      <c r="A36" s="44">
        <v>30</v>
      </c>
      <c r="B36" s="47" t="s">
        <v>85</v>
      </c>
      <c r="C36" s="44" t="s">
        <v>751</v>
      </c>
      <c r="D36" s="153" t="s">
        <v>752</v>
      </c>
      <c r="E36" s="44"/>
      <c r="F36" s="44">
        <v>10</v>
      </c>
      <c r="G36" s="44">
        <v>10</v>
      </c>
      <c r="H36" s="44">
        <v>10</v>
      </c>
      <c r="I36" s="44">
        <v>10</v>
      </c>
      <c r="J36" s="44">
        <v>10</v>
      </c>
      <c r="K36" s="44">
        <v>10</v>
      </c>
      <c r="L36" s="44">
        <v>10</v>
      </c>
      <c r="M36" s="44">
        <v>10</v>
      </c>
      <c r="N36" s="44">
        <v>10</v>
      </c>
      <c r="O36" s="44">
        <v>10</v>
      </c>
      <c r="P36" s="44">
        <v>10</v>
      </c>
      <c r="Q36" s="44">
        <v>10</v>
      </c>
      <c r="R36" s="44">
        <f t="shared" si="0"/>
        <v>120</v>
      </c>
      <c r="S36" s="53">
        <f t="shared" si="1"/>
        <v>120</v>
      </c>
      <c r="U36" s="20">
        <f t="shared" si="2"/>
        <v>120</v>
      </c>
      <c r="V36" s="20" t="s">
        <v>909</v>
      </c>
    </row>
    <row r="37" spans="1:26" ht="15.75" customHeight="1" x14ac:dyDescent="0.3">
      <c r="A37" s="44">
        <v>31</v>
      </c>
      <c r="B37" s="47" t="s">
        <v>577</v>
      </c>
      <c r="C37" s="14" t="s">
        <v>579</v>
      </c>
      <c r="D37" s="153" t="s">
        <v>753</v>
      </c>
      <c r="E37" s="44"/>
      <c r="F37" s="44">
        <v>10</v>
      </c>
      <c r="G37" s="44">
        <v>10</v>
      </c>
      <c r="H37" s="44">
        <v>10</v>
      </c>
      <c r="I37" s="44">
        <v>10</v>
      </c>
      <c r="J37" s="44">
        <v>10</v>
      </c>
      <c r="K37" s="44">
        <v>10</v>
      </c>
      <c r="L37" s="44">
        <v>10</v>
      </c>
      <c r="M37" s="44">
        <v>10</v>
      </c>
      <c r="N37" s="44">
        <v>10</v>
      </c>
      <c r="O37" s="44">
        <v>10</v>
      </c>
      <c r="P37" s="44">
        <v>10</v>
      </c>
      <c r="Q37" s="44">
        <v>10</v>
      </c>
      <c r="R37" s="44">
        <f t="shared" si="0"/>
        <v>120</v>
      </c>
      <c r="S37" s="53">
        <f t="shared" si="1"/>
        <v>120</v>
      </c>
      <c r="U37" s="20">
        <f t="shared" si="2"/>
        <v>120</v>
      </c>
    </row>
    <row r="38" spans="1:26" ht="15.75" customHeight="1" x14ac:dyDescent="0.3">
      <c r="A38" s="44">
        <v>32</v>
      </c>
      <c r="B38" s="47" t="s">
        <v>31</v>
      </c>
      <c r="C38" s="62" t="s">
        <v>754</v>
      </c>
      <c r="D38" s="153" t="s">
        <v>755</v>
      </c>
      <c r="E38" s="44"/>
      <c r="F38" s="44">
        <v>10</v>
      </c>
      <c r="G38" s="44">
        <v>10</v>
      </c>
      <c r="H38" s="44">
        <v>10</v>
      </c>
      <c r="I38" s="44">
        <v>10</v>
      </c>
      <c r="J38" s="44">
        <v>10</v>
      </c>
      <c r="K38" s="44">
        <v>10</v>
      </c>
      <c r="L38" s="44">
        <v>10</v>
      </c>
      <c r="M38" s="44">
        <v>10</v>
      </c>
      <c r="N38" s="44">
        <v>10</v>
      </c>
      <c r="O38" s="44">
        <v>10</v>
      </c>
      <c r="P38" s="44">
        <v>10</v>
      </c>
      <c r="Q38" s="44">
        <v>10</v>
      </c>
      <c r="R38" s="44">
        <f t="shared" si="0"/>
        <v>120</v>
      </c>
      <c r="S38" s="53">
        <f t="shared" si="1"/>
        <v>120</v>
      </c>
      <c r="U38" s="20">
        <f t="shared" si="2"/>
        <v>120</v>
      </c>
    </row>
    <row r="39" spans="1:26" ht="15.75" customHeight="1" x14ac:dyDescent="0.3">
      <c r="A39" s="44">
        <v>33</v>
      </c>
      <c r="B39" s="66" t="s">
        <v>117</v>
      </c>
      <c r="C39" s="68" t="s">
        <v>119</v>
      </c>
      <c r="D39" s="371" t="s">
        <v>756</v>
      </c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>
        <f t="shared" si="0"/>
        <v>0</v>
      </c>
      <c r="S39" s="53">
        <f t="shared" si="1"/>
        <v>0</v>
      </c>
      <c r="U39" s="20">
        <f t="shared" si="2"/>
        <v>0</v>
      </c>
    </row>
    <row r="40" spans="1:26" ht="15.75" customHeight="1" x14ac:dyDescent="0.3">
      <c r="A40" s="44">
        <v>34</v>
      </c>
      <c r="B40" s="47" t="s">
        <v>444</v>
      </c>
      <c r="C40" s="44" t="s">
        <v>446</v>
      </c>
      <c r="D40" s="153" t="s">
        <v>757</v>
      </c>
      <c r="E40" s="44"/>
      <c r="F40" s="44">
        <v>10</v>
      </c>
      <c r="G40" s="44">
        <v>10</v>
      </c>
      <c r="H40" s="44">
        <v>10</v>
      </c>
      <c r="I40" s="44">
        <v>10</v>
      </c>
      <c r="J40" s="44">
        <v>10</v>
      </c>
      <c r="K40" s="44">
        <v>10</v>
      </c>
      <c r="L40" s="44">
        <v>10</v>
      </c>
      <c r="M40" s="44">
        <v>10</v>
      </c>
      <c r="N40" s="44">
        <v>10</v>
      </c>
      <c r="O40" s="44">
        <v>10</v>
      </c>
      <c r="P40" s="44">
        <v>10</v>
      </c>
      <c r="Q40" s="44">
        <v>10</v>
      </c>
      <c r="R40" s="44">
        <f t="shared" si="0"/>
        <v>120</v>
      </c>
      <c r="S40" s="53">
        <f t="shared" si="1"/>
        <v>120</v>
      </c>
      <c r="U40" s="20">
        <f t="shared" si="2"/>
        <v>120</v>
      </c>
    </row>
    <row r="41" spans="1:26" ht="15.75" customHeight="1" x14ac:dyDescent="0.3">
      <c r="A41" s="44">
        <v>35</v>
      </c>
      <c r="B41" s="66" t="s">
        <v>265</v>
      </c>
      <c r="C41" s="67" t="s">
        <v>267</v>
      </c>
      <c r="D41" s="371" t="s">
        <v>758</v>
      </c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>
        <f t="shared" si="0"/>
        <v>0</v>
      </c>
      <c r="S41" s="53">
        <f t="shared" si="1"/>
        <v>0</v>
      </c>
      <c r="U41" s="20">
        <f t="shared" si="2"/>
        <v>0</v>
      </c>
    </row>
    <row r="42" spans="1:26" ht="15.75" customHeight="1" x14ac:dyDescent="0.3">
      <c r="A42" s="44">
        <v>36</v>
      </c>
      <c r="B42" s="66" t="s">
        <v>63</v>
      </c>
      <c r="C42" s="67" t="s">
        <v>65</v>
      </c>
      <c r="D42" s="371" t="s">
        <v>759</v>
      </c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>
        <f t="shared" si="0"/>
        <v>0</v>
      </c>
      <c r="S42" s="53">
        <f t="shared" si="1"/>
        <v>0</v>
      </c>
      <c r="U42" s="20">
        <f t="shared" si="2"/>
        <v>0</v>
      </c>
    </row>
    <row r="43" spans="1:26" ht="15.75" customHeight="1" x14ac:dyDescent="0.3">
      <c r="A43" s="44">
        <v>37</v>
      </c>
      <c r="B43" s="66" t="s">
        <v>47</v>
      </c>
      <c r="C43" s="67" t="s">
        <v>49</v>
      </c>
      <c r="D43" s="371" t="s">
        <v>761</v>
      </c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>
        <f t="shared" si="0"/>
        <v>0</v>
      </c>
      <c r="S43" s="53">
        <f t="shared" si="1"/>
        <v>0</v>
      </c>
      <c r="U43" s="20">
        <f t="shared" si="2"/>
        <v>0</v>
      </c>
    </row>
    <row r="44" spans="1:26" ht="15.75" customHeight="1" x14ac:dyDescent="0.3">
      <c r="A44" s="44">
        <v>38</v>
      </c>
      <c r="B44" s="47" t="s">
        <v>380</v>
      </c>
      <c r="C44" s="14" t="s">
        <v>382</v>
      </c>
      <c r="D44" s="153" t="s">
        <v>762</v>
      </c>
      <c r="E44" s="44"/>
      <c r="F44" s="44">
        <v>10</v>
      </c>
      <c r="G44" s="44">
        <v>10</v>
      </c>
      <c r="H44" s="44">
        <v>10</v>
      </c>
      <c r="I44" s="44">
        <v>10</v>
      </c>
      <c r="J44" s="44">
        <v>10</v>
      </c>
      <c r="K44" s="44">
        <v>10</v>
      </c>
      <c r="L44" s="44">
        <v>10</v>
      </c>
      <c r="M44" s="44">
        <v>10</v>
      </c>
      <c r="N44" s="44">
        <v>10</v>
      </c>
      <c r="O44" s="44">
        <v>10</v>
      </c>
      <c r="P44" s="44">
        <v>10</v>
      </c>
      <c r="Q44" s="44">
        <v>10</v>
      </c>
      <c r="R44" s="44">
        <f t="shared" si="0"/>
        <v>120</v>
      </c>
      <c r="S44" s="60">
        <f t="shared" si="1"/>
        <v>120</v>
      </c>
      <c r="U44" s="60">
        <f t="shared" si="2"/>
        <v>120</v>
      </c>
      <c r="V44" s="20" t="s">
        <v>910</v>
      </c>
    </row>
    <row r="45" spans="1:26" ht="15.75" customHeight="1" x14ac:dyDescent="0.3">
      <c r="A45" s="44">
        <v>39</v>
      </c>
      <c r="B45" s="47" t="s">
        <v>511</v>
      </c>
      <c r="C45" s="14" t="s">
        <v>513</v>
      </c>
      <c r="D45" s="153" t="s">
        <v>763</v>
      </c>
      <c r="E45" s="44"/>
      <c r="F45" s="44">
        <v>10</v>
      </c>
      <c r="G45" s="44">
        <v>10</v>
      </c>
      <c r="H45" s="44">
        <v>10</v>
      </c>
      <c r="I45" s="44">
        <v>10</v>
      </c>
      <c r="J45" s="44">
        <v>10</v>
      </c>
      <c r="K45" s="44">
        <v>10</v>
      </c>
      <c r="L45" s="44">
        <v>10</v>
      </c>
      <c r="M45" s="44">
        <v>10</v>
      </c>
      <c r="N45" s="44">
        <v>10</v>
      </c>
      <c r="O45" s="44">
        <v>10</v>
      </c>
      <c r="P45" s="44">
        <v>10</v>
      </c>
      <c r="Q45" s="44">
        <v>10</v>
      </c>
      <c r="R45" s="44">
        <f t="shared" si="0"/>
        <v>120</v>
      </c>
      <c r="S45" s="53">
        <f t="shared" si="1"/>
        <v>120</v>
      </c>
      <c r="U45" s="20">
        <f t="shared" si="2"/>
        <v>120</v>
      </c>
      <c r="V45" s="20" t="s">
        <v>911</v>
      </c>
    </row>
    <row r="46" spans="1:26" ht="15.75" customHeight="1" x14ac:dyDescent="0.3">
      <c r="A46" s="44">
        <v>40</v>
      </c>
      <c r="B46" s="47" t="s">
        <v>157</v>
      </c>
      <c r="C46" s="14" t="s">
        <v>159</v>
      </c>
      <c r="D46" s="153" t="s">
        <v>764</v>
      </c>
      <c r="E46" s="44"/>
      <c r="F46" s="44">
        <v>10</v>
      </c>
      <c r="G46" s="44">
        <v>10</v>
      </c>
      <c r="H46" s="44">
        <v>10</v>
      </c>
      <c r="I46" s="44">
        <v>10</v>
      </c>
      <c r="J46" s="44">
        <v>10</v>
      </c>
      <c r="K46" s="44">
        <v>10</v>
      </c>
      <c r="L46" s="44">
        <v>10</v>
      </c>
      <c r="M46" s="44">
        <v>10</v>
      </c>
      <c r="N46" s="44">
        <v>10</v>
      </c>
      <c r="O46" s="44">
        <v>10</v>
      </c>
      <c r="P46" s="44">
        <v>10</v>
      </c>
      <c r="Q46" s="44">
        <v>10</v>
      </c>
      <c r="R46" s="44">
        <f t="shared" si="0"/>
        <v>120</v>
      </c>
      <c r="S46" s="53">
        <f t="shared" si="1"/>
        <v>120</v>
      </c>
      <c r="T46" s="53">
        <f>R46+E46</f>
        <v>120</v>
      </c>
      <c r="U46" s="53">
        <f t="shared" si="2"/>
        <v>120</v>
      </c>
      <c r="V46" s="53"/>
      <c r="W46" s="53"/>
      <c r="X46" s="53"/>
      <c r="Y46" s="53"/>
      <c r="Z46" s="53"/>
    </row>
    <row r="47" spans="1:26" ht="15.75" customHeight="1" x14ac:dyDescent="0.3">
      <c r="A47" s="44">
        <v>41</v>
      </c>
      <c r="B47" s="47" t="s">
        <v>590</v>
      </c>
      <c r="C47" s="44" t="s">
        <v>765</v>
      </c>
      <c r="D47" s="153" t="s">
        <v>766</v>
      </c>
      <c r="E47" s="44"/>
      <c r="F47" s="44">
        <v>10</v>
      </c>
      <c r="G47" s="44">
        <v>10</v>
      </c>
      <c r="H47" s="44">
        <v>10</v>
      </c>
      <c r="I47" s="44">
        <v>10</v>
      </c>
      <c r="J47" s="44">
        <v>10</v>
      </c>
      <c r="K47" s="44">
        <v>10</v>
      </c>
      <c r="L47" s="44">
        <v>10</v>
      </c>
      <c r="M47" s="44">
        <v>10</v>
      </c>
      <c r="N47" s="44">
        <v>10</v>
      </c>
      <c r="O47" s="44">
        <v>10</v>
      </c>
      <c r="P47" s="44">
        <v>10</v>
      </c>
      <c r="Q47" s="44">
        <v>10</v>
      </c>
      <c r="R47" s="44">
        <f t="shared" si="0"/>
        <v>120</v>
      </c>
      <c r="S47" s="53">
        <f t="shared" si="1"/>
        <v>120</v>
      </c>
      <c r="U47" s="20">
        <f t="shared" si="2"/>
        <v>120</v>
      </c>
      <c r="V47" s="20" t="s">
        <v>912</v>
      </c>
    </row>
    <row r="48" spans="1:26" ht="15.75" customHeight="1" x14ac:dyDescent="0.3">
      <c r="A48" s="44">
        <v>42</v>
      </c>
      <c r="B48" s="47" t="s">
        <v>614</v>
      </c>
      <c r="C48" s="44" t="s">
        <v>767</v>
      </c>
      <c r="D48" s="153" t="s">
        <v>768</v>
      </c>
      <c r="E48" s="44"/>
      <c r="F48" s="44">
        <v>10</v>
      </c>
      <c r="G48" s="44">
        <v>10</v>
      </c>
      <c r="H48" s="44">
        <v>10</v>
      </c>
      <c r="I48" s="44">
        <v>10</v>
      </c>
      <c r="J48" s="44">
        <v>10</v>
      </c>
      <c r="K48" s="44">
        <v>10</v>
      </c>
      <c r="L48" s="44">
        <v>10</v>
      </c>
      <c r="M48" s="44">
        <v>10</v>
      </c>
      <c r="N48" s="44">
        <v>10</v>
      </c>
      <c r="O48" s="44">
        <v>10</v>
      </c>
      <c r="P48" s="44">
        <v>10</v>
      </c>
      <c r="Q48" s="44">
        <v>10</v>
      </c>
      <c r="R48" s="44">
        <f t="shared" si="0"/>
        <v>120</v>
      </c>
      <c r="S48" s="53">
        <f t="shared" si="1"/>
        <v>120</v>
      </c>
      <c r="U48" s="20">
        <f t="shared" si="2"/>
        <v>120</v>
      </c>
    </row>
    <row r="49" spans="1:26" ht="15.75" customHeight="1" x14ac:dyDescent="0.3">
      <c r="A49" s="44">
        <v>43</v>
      </c>
      <c r="B49" s="66" t="s">
        <v>22</v>
      </c>
      <c r="C49" s="68" t="s">
        <v>769</v>
      </c>
      <c r="D49" s="371" t="s">
        <v>770</v>
      </c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>
        <f t="shared" si="0"/>
        <v>0</v>
      </c>
      <c r="S49" s="53">
        <f t="shared" si="1"/>
        <v>0</v>
      </c>
      <c r="U49" s="20">
        <f t="shared" si="2"/>
        <v>0</v>
      </c>
    </row>
    <row r="50" spans="1:26" ht="15.75" customHeight="1" x14ac:dyDescent="0.3">
      <c r="A50" s="44">
        <v>44</v>
      </c>
      <c r="B50" s="66" t="s">
        <v>110</v>
      </c>
      <c r="C50" s="68" t="s">
        <v>112</v>
      </c>
      <c r="D50" s="371" t="s">
        <v>771</v>
      </c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>
        <f t="shared" si="0"/>
        <v>0</v>
      </c>
      <c r="S50" s="53">
        <f t="shared" si="1"/>
        <v>0</v>
      </c>
      <c r="U50" s="20">
        <f t="shared" si="2"/>
        <v>0</v>
      </c>
    </row>
    <row r="51" spans="1:26" ht="15.75" customHeight="1" x14ac:dyDescent="0.3">
      <c r="A51" s="44">
        <v>45</v>
      </c>
      <c r="B51" s="66" t="s">
        <v>134</v>
      </c>
      <c r="C51" s="71" t="s">
        <v>136</v>
      </c>
      <c r="D51" s="371" t="s">
        <v>772</v>
      </c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>
        <f t="shared" si="0"/>
        <v>0</v>
      </c>
      <c r="S51" s="53">
        <f t="shared" si="1"/>
        <v>0</v>
      </c>
      <c r="U51" s="20">
        <f t="shared" si="2"/>
        <v>0</v>
      </c>
    </row>
    <row r="52" spans="1:26" ht="15.75" customHeight="1" x14ac:dyDescent="0.3">
      <c r="A52" s="44">
        <v>46</v>
      </c>
      <c r="B52" s="47" t="s">
        <v>192</v>
      </c>
      <c r="C52" s="44" t="s">
        <v>773</v>
      </c>
      <c r="D52" s="153" t="s">
        <v>774</v>
      </c>
      <c r="E52" s="44"/>
      <c r="F52" s="44">
        <v>10</v>
      </c>
      <c r="G52" s="44">
        <v>10</v>
      </c>
      <c r="H52" s="44">
        <v>10</v>
      </c>
      <c r="I52" s="44">
        <v>10</v>
      </c>
      <c r="J52" s="44">
        <v>10</v>
      </c>
      <c r="K52" s="44">
        <v>10</v>
      </c>
      <c r="L52" s="44">
        <v>10</v>
      </c>
      <c r="M52" s="44">
        <v>10</v>
      </c>
      <c r="N52" s="44">
        <v>10</v>
      </c>
      <c r="O52" s="44">
        <v>10</v>
      </c>
      <c r="P52" s="44">
        <v>10</v>
      </c>
      <c r="Q52" s="44">
        <v>10</v>
      </c>
      <c r="R52" s="44">
        <f t="shared" si="0"/>
        <v>120</v>
      </c>
      <c r="S52" s="53">
        <f t="shared" si="1"/>
        <v>120</v>
      </c>
      <c r="U52" s="20">
        <f t="shared" si="2"/>
        <v>120</v>
      </c>
      <c r="V52" s="20" t="s">
        <v>913</v>
      </c>
    </row>
    <row r="53" spans="1:26" ht="15.75" customHeight="1" x14ac:dyDescent="0.3">
      <c r="A53" s="44">
        <v>47</v>
      </c>
      <c r="B53" s="47" t="s">
        <v>321</v>
      </c>
      <c r="C53" s="3" t="s">
        <v>323</v>
      </c>
      <c r="D53" s="153" t="s">
        <v>775</v>
      </c>
      <c r="E53" s="44"/>
      <c r="F53" s="44">
        <v>10</v>
      </c>
      <c r="G53" s="44">
        <v>10</v>
      </c>
      <c r="H53" s="44">
        <v>10</v>
      </c>
      <c r="I53" s="44">
        <v>10</v>
      </c>
      <c r="J53" s="44">
        <v>10</v>
      </c>
      <c r="K53" s="44">
        <v>10</v>
      </c>
      <c r="L53" s="44">
        <v>10</v>
      </c>
      <c r="M53" s="44">
        <v>10</v>
      </c>
      <c r="N53" s="44">
        <v>10</v>
      </c>
      <c r="O53" s="44">
        <v>10</v>
      </c>
      <c r="P53" s="44">
        <v>10</v>
      </c>
      <c r="Q53" s="44">
        <v>10</v>
      </c>
      <c r="R53" s="44">
        <f t="shared" si="0"/>
        <v>120</v>
      </c>
      <c r="S53" s="53">
        <f t="shared" si="1"/>
        <v>120</v>
      </c>
      <c r="U53" s="20">
        <f t="shared" si="2"/>
        <v>120</v>
      </c>
    </row>
    <row r="54" spans="1:26" ht="15.75" customHeight="1" x14ac:dyDescent="0.3">
      <c r="A54" s="44">
        <v>48</v>
      </c>
      <c r="B54" s="47" t="s">
        <v>450</v>
      </c>
      <c r="C54" s="14" t="s">
        <v>452</v>
      </c>
      <c r="D54" s="153" t="s">
        <v>776</v>
      </c>
      <c r="E54" s="44"/>
      <c r="F54" s="44">
        <v>10</v>
      </c>
      <c r="G54" s="44">
        <v>10</v>
      </c>
      <c r="H54" s="44">
        <v>10</v>
      </c>
      <c r="I54" s="44">
        <v>10</v>
      </c>
      <c r="J54" s="44">
        <v>10</v>
      </c>
      <c r="K54" s="44">
        <v>10</v>
      </c>
      <c r="L54" s="44">
        <v>10</v>
      </c>
      <c r="M54" s="44">
        <v>10</v>
      </c>
      <c r="N54" s="44">
        <v>10</v>
      </c>
      <c r="O54" s="44">
        <v>10</v>
      </c>
      <c r="P54" s="44">
        <v>10</v>
      </c>
      <c r="Q54" s="44">
        <v>10</v>
      </c>
      <c r="R54" s="44">
        <f t="shared" si="0"/>
        <v>120</v>
      </c>
      <c r="S54" s="53">
        <f t="shared" si="1"/>
        <v>120</v>
      </c>
      <c r="U54" s="20">
        <f t="shared" si="2"/>
        <v>120</v>
      </c>
    </row>
    <row r="55" spans="1:26" ht="15.75" customHeight="1" x14ac:dyDescent="0.3">
      <c r="A55" s="44">
        <v>49</v>
      </c>
      <c r="B55" s="47" t="s">
        <v>669</v>
      </c>
      <c r="C55" s="14" t="s">
        <v>672</v>
      </c>
      <c r="D55" s="153" t="s">
        <v>777</v>
      </c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>
        <f t="shared" si="0"/>
        <v>0</v>
      </c>
      <c r="S55" s="53">
        <f t="shared" si="1"/>
        <v>0</v>
      </c>
      <c r="T55" s="53">
        <f>R55+E55</f>
        <v>0</v>
      </c>
      <c r="U55" s="53">
        <f t="shared" si="2"/>
        <v>0</v>
      </c>
      <c r="V55" s="53"/>
      <c r="W55" s="53"/>
      <c r="X55" s="53"/>
      <c r="Y55" s="53"/>
      <c r="Z55" s="53"/>
    </row>
    <row r="56" spans="1:26" ht="15.75" customHeight="1" x14ac:dyDescent="0.3">
      <c r="A56" s="44">
        <v>50</v>
      </c>
      <c r="B56" s="47" t="s">
        <v>257</v>
      </c>
      <c r="C56" s="3" t="s">
        <v>259</v>
      </c>
      <c r="D56" s="153" t="s">
        <v>778</v>
      </c>
      <c r="E56" s="44"/>
      <c r="F56" s="44">
        <v>10</v>
      </c>
      <c r="G56" s="44">
        <v>10</v>
      </c>
      <c r="H56" s="44">
        <v>10</v>
      </c>
      <c r="I56" s="44">
        <v>10</v>
      </c>
      <c r="J56" s="44">
        <v>10</v>
      </c>
      <c r="K56" s="44">
        <v>10</v>
      </c>
      <c r="L56" s="44">
        <v>10</v>
      </c>
      <c r="M56" s="44">
        <v>10</v>
      </c>
      <c r="N56" s="44">
        <v>10</v>
      </c>
      <c r="O56" s="44">
        <v>10</v>
      </c>
      <c r="P56" s="44">
        <v>10</v>
      </c>
      <c r="Q56" s="44">
        <v>10</v>
      </c>
      <c r="R56" s="44">
        <f t="shared" si="0"/>
        <v>120</v>
      </c>
      <c r="S56" s="53">
        <f t="shared" si="1"/>
        <v>120</v>
      </c>
      <c r="T56" s="53"/>
      <c r="U56" s="53">
        <f t="shared" si="2"/>
        <v>120</v>
      </c>
      <c r="V56" s="53"/>
      <c r="W56" s="53"/>
      <c r="X56" s="53"/>
      <c r="Y56" s="53"/>
      <c r="Z56" s="53"/>
    </row>
    <row r="57" spans="1:26" ht="15.75" customHeight="1" x14ac:dyDescent="0.3">
      <c r="A57" s="44">
        <v>51</v>
      </c>
      <c r="B57" s="47" t="s">
        <v>364</v>
      </c>
      <c r="C57" s="44" t="s">
        <v>366</v>
      </c>
      <c r="D57" s="153" t="s">
        <v>779</v>
      </c>
      <c r="E57" s="44"/>
      <c r="F57" s="44">
        <v>10</v>
      </c>
      <c r="G57" s="44">
        <v>10</v>
      </c>
      <c r="H57" s="44">
        <v>10</v>
      </c>
      <c r="I57" s="44">
        <v>10</v>
      </c>
      <c r="J57" s="44">
        <v>10</v>
      </c>
      <c r="K57" s="44">
        <v>10</v>
      </c>
      <c r="L57" s="44">
        <v>10</v>
      </c>
      <c r="M57" s="44">
        <v>10</v>
      </c>
      <c r="N57" s="44">
        <v>10</v>
      </c>
      <c r="O57" s="44">
        <v>10</v>
      </c>
      <c r="P57" s="44">
        <v>10</v>
      </c>
      <c r="Q57" s="44">
        <v>10</v>
      </c>
      <c r="R57" s="65">
        <f t="shared" si="0"/>
        <v>120</v>
      </c>
      <c r="S57" s="53">
        <f t="shared" si="1"/>
        <v>120</v>
      </c>
      <c r="T57" s="53"/>
      <c r="U57" s="53">
        <f t="shared" si="2"/>
        <v>120</v>
      </c>
      <c r="V57" s="53" t="s">
        <v>901</v>
      </c>
      <c r="W57" s="53"/>
      <c r="X57" s="53"/>
      <c r="Y57" s="53"/>
      <c r="Z57" s="53"/>
    </row>
    <row r="58" spans="1:26" ht="15.75" customHeight="1" x14ac:dyDescent="0.3">
      <c r="A58" s="44">
        <v>52</v>
      </c>
      <c r="B58" s="47" t="s">
        <v>489</v>
      </c>
      <c r="C58" s="14" t="s">
        <v>491</v>
      </c>
      <c r="D58" s="153" t="s">
        <v>780</v>
      </c>
      <c r="E58" s="44"/>
      <c r="F58" s="44">
        <v>10</v>
      </c>
      <c r="G58" s="44">
        <v>10</v>
      </c>
      <c r="H58" s="44">
        <v>10</v>
      </c>
      <c r="I58" s="44">
        <v>10</v>
      </c>
      <c r="J58" s="44">
        <v>10</v>
      </c>
      <c r="K58" s="44">
        <v>10</v>
      </c>
      <c r="L58" s="44">
        <v>10</v>
      </c>
      <c r="M58" s="44">
        <v>10</v>
      </c>
      <c r="N58" s="44">
        <v>10</v>
      </c>
      <c r="O58" s="44">
        <v>10</v>
      </c>
      <c r="P58" s="44">
        <v>10</v>
      </c>
      <c r="Q58" s="44">
        <v>10</v>
      </c>
      <c r="R58" s="44">
        <f t="shared" si="0"/>
        <v>120</v>
      </c>
      <c r="S58" s="53">
        <f t="shared" si="1"/>
        <v>120</v>
      </c>
      <c r="T58" s="53"/>
      <c r="U58" s="53">
        <f t="shared" si="2"/>
        <v>120</v>
      </c>
      <c r="V58" s="53" t="s">
        <v>900</v>
      </c>
      <c r="W58" s="53"/>
      <c r="X58" s="53"/>
      <c r="Y58" s="53"/>
      <c r="Z58" s="53"/>
    </row>
    <row r="59" spans="1:26" ht="15.75" customHeight="1" x14ac:dyDescent="0.3">
      <c r="A59" s="44">
        <v>53</v>
      </c>
      <c r="B59" s="47" t="s">
        <v>126</v>
      </c>
      <c r="C59" s="14" t="s">
        <v>128</v>
      </c>
      <c r="D59" s="153" t="s">
        <v>781</v>
      </c>
      <c r="E59" s="44"/>
      <c r="F59" s="44">
        <v>10</v>
      </c>
      <c r="G59" s="44">
        <v>10</v>
      </c>
      <c r="H59" s="44">
        <v>10</v>
      </c>
      <c r="I59" s="44">
        <v>10</v>
      </c>
      <c r="J59" s="44">
        <v>10</v>
      </c>
      <c r="K59" s="44">
        <v>10</v>
      </c>
      <c r="L59" s="44">
        <v>10</v>
      </c>
      <c r="M59" s="44">
        <v>10</v>
      </c>
      <c r="N59" s="44">
        <v>10</v>
      </c>
      <c r="O59" s="44">
        <v>10</v>
      </c>
      <c r="P59" s="44">
        <v>10</v>
      </c>
      <c r="Q59" s="44">
        <v>10</v>
      </c>
      <c r="R59" s="65">
        <f t="shared" si="0"/>
        <v>120</v>
      </c>
      <c r="S59" s="53">
        <f t="shared" si="1"/>
        <v>120</v>
      </c>
      <c r="T59" s="53"/>
      <c r="U59" s="53">
        <f t="shared" si="2"/>
        <v>120</v>
      </c>
      <c r="V59" s="53" t="s">
        <v>901</v>
      </c>
      <c r="W59" s="53"/>
      <c r="X59" s="53"/>
      <c r="Y59" s="53"/>
      <c r="Z59" s="53"/>
    </row>
    <row r="60" spans="1:26" ht="15.75" customHeight="1" x14ac:dyDescent="0.3">
      <c r="A60" s="44">
        <v>54</v>
      </c>
      <c r="B60" s="47" t="s">
        <v>239</v>
      </c>
      <c r="C60" s="44" t="s">
        <v>782</v>
      </c>
      <c r="D60" s="153" t="s">
        <v>783</v>
      </c>
      <c r="E60" s="44"/>
      <c r="F60" s="44">
        <v>10</v>
      </c>
      <c r="G60" s="44">
        <v>10</v>
      </c>
      <c r="H60" s="44">
        <v>10</v>
      </c>
      <c r="I60" s="44">
        <v>10</v>
      </c>
      <c r="J60" s="44">
        <v>10</v>
      </c>
      <c r="K60" s="44">
        <v>10</v>
      </c>
      <c r="L60" s="44">
        <v>10</v>
      </c>
      <c r="M60" s="44">
        <v>10</v>
      </c>
      <c r="N60" s="44">
        <v>10</v>
      </c>
      <c r="O60" s="44">
        <v>10</v>
      </c>
      <c r="P60" s="44">
        <v>10</v>
      </c>
      <c r="Q60" s="44">
        <v>10</v>
      </c>
      <c r="R60" s="44">
        <f t="shared" si="0"/>
        <v>120</v>
      </c>
      <c r="S60" s="53">
        <f t="shared" si="1"/>
        <v>120</v>
      </c>
      <c r="T60" s="53"/>
      <c r="U60" s="53">
        <f t="shared" si="2"/>
        <v>120</v>
      </c>
      <c r="V60" s="53"/>
      <c r="W60" s="53"/>
      <c r="X60" s="53"/>
      <c r="Y60" s="53"/>
      <c r="Z60" s="53"/>
    </row>
    <row r="61" spans="1:26" ht="15.75" customHeight="1" x14ac:dyDescent="0.3">
      <c r="A61" s="44">
        <v>55</v>
      </c>
      <c r="B61" s="47" t="s">
        <v>249</v>
      </c>
      <c r="C61" s="14" t="s">
        <v>251</v>
      </c>
      <c r="D61" s="153" t="s">
        <v>785</v>
      </c>
      <c r="E61" s="44"/>
      <c r="F61" s="44">
        <v>10</v>
      </c>
      <c r="G61" s="44">
        <v>10</v>
      </c>
      <c r="H61" s="44">
        <v>10</v>
      </c>
      <c r="I61" s="44">
        <v>10</v>
      </c>
      <c r="J61" s="44">
        <v>10</v>
      </c>
      <c r="K61" s="44">
        <v>10</v>
      </c>
      <c r="L61" s="44">
        <v>10</v>
      </c>
      <c r="M61" s="44">
        <v>10</v>
      </c>
      <c r="N61" s="44">
        <v>10</v>
      </c>
      <c r="O61" s="44">
        <v>10</v>
      </c>
      <c r="P61" s="44">
        <v>10</v>
      </c>
      <c r="Q61" s="44">
        <v>10</v>
      </c>
      <c r="R61" s="44">
        <f t="shared" si="0"/>
        <v>120</v>
      </c>
      <c r="S61" s="53">
        <f t="shared" si="1"/>
        <v>120</v>
      </c>
      <c r="T61" s="53"/>
      <c r="U61" s="53">
        <f t="shared" si="2"/>
        <v>120</v>
      </c>
      <c r="V61" s="53"/>
      <c r="W61" s="53"/>
      <c r="X61" s="53"/>
      <c r="Y61" s="53"/>
      <c r="Z61" s="53"/>
    </row>
    <row r="62" spans="1:26" ht="15.75" customHeight="1" x14ac:dyDescent="0.3">
      <c r="A62" s="44">
        <v>56</v>
      </c>
      <c r="B62" s="47" t="s">
        <v>395</v>
      </c>
      <c r="C62" s="14" t="s">
        <v>397</v>
      </c>
      <c r="D62" s="153" t="s">
        <v>786</v>
      </c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>
        <f t="shared" si="0"/>
        <v>0</v>
      </c>
      <c r="S62" s="53">
        <f t="shared" si="1"/>
        <v>0</v>
      </c>
      <c r="T62" s="53"/>
      <c r="U62" s="53">
        <f t="shared" si="2"/>
        <v>0</v>
      </c>
      <c r="V62" s="53"/>
      <c r="W62" s="53"/>
      <c r="X62" s="53"/>
      <c r="Y62" s="53"/>
      <c r="Z62" s="53"/>
    </row>
    <row r="63" spans="1:26" ht="15.75" customHeight="1" x14ac:dyDescent="0.3">
      <c r="A63" s="44">
        <v>57</v>
      </c>
      <c r="B63" s="47" t="s">
        <v>150</v>
      </c>
      <c r="C63" s="14" t="s">
        <v>152</v>
      </c>
      <c r="D63" s="153" t="s">
        <v>789</v>
      </c>
      <c r="E63" s="44"/>
      <c r="F63" s="44">
        <v>10</v>
      </c>
      <c r="G63" s="44">
        <v>10</v>
      </c>
      <c r="H63" s="44">
        <v>10</v>
      </c>
      <c r="I63" s="44">
        <v>10</v>
      </c>
      <c r="J63" s="44">
        <v>10</v>
      </c>
      <c r="K63" s="44">
        <v>10</v>
      </c>
      <c r="L63" s="44"/>
      <c r="M63" s="44"/>
      <c r="N63" s="44"/>
      <c r="O63" s="44"/>
      <c r="P63" s="44"/>
      <c r="Q63" s="44"/>
      <c r="R63" s="44">
        <f t="shared" si="0"/>
        <v>60</v>
      </c>
      <c r="S63" s="53">
        <f t="shared" si="1"/>
        <v>60</v>
      </c>
      <c r="T63" s="53">
        <f t="shared" ref="T63:T66" si="3">R63+E63</f>
        <v>60</v>
      </c>
      <c r="U63" s="53">
        <f t="shared" si="2"/>
        <v>0</v>
      </c>
      <c r="V63" s="53" t="s">
        <v>914</v>
      </c>
      <c r="W63" s="53"/>
      <c r="X63" s="53"/>
      <c r="Y63" s="53"/>
      <c r="Z63" s="53"/>
    </row>
    <row r="64" spans="1:26" ht="15.75" customHeight="1" x14ac:dyDescent="0.3">
      <c r="A64" s="44">
        <v>58</v>
      </c>
      <c r="B64" s="47" t="s">
        <v>438</v>
      </c>
      <c r="C64" s="3" t="s">
        <v>440</v>
      </c>
      <c r="D64" s="153" t="s">
        <v>791</v>
      </c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>
        <f t="shared" si="0"/>
        <v>0</v>
      </c>
      <c r="S64" s="53">
        <f t="shared" si="1"/>
        <v>0</v>
      </c>
      <c r="T64" s="53">
        <f t="shared" si="3"/>
        <v>0</v>
      </c>
      <c r="U64" s="53">
        <f t="shared" si="2"/>
        <v>0</v>
      </c>
      <c r="V64" s="53"/>
      <c r="W64" s="53"/>
      <c r="X64" s="53"/>
      <c r="Y64" s="53"/>
      <c r="Z64" s="53"/>
    </row>
    <row r="65" spans="1:26" ht="15.75" customHeight="1" x14ac:dyDescent="0.3">
      <c r="A65" s="44">
        <v>59</v>
      </c>
      <c r="B65" s="47" t="s">
        <v>307</v>
      </c>
      <c r="C65" s="3" t="s">
        <v>309</v>
      </c>
      <c r="D65" s="153" t="s">
        <v>792</v>
      </c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>
        <f t="shared" si="0"/>
        <v>0</v>
      </c>
      <c r="S65" s="53">
        <f t="shared" si="1"/>
        <v>0</v>
      </c>
      <c r="T65" s="53">
        <f t="shared" si="3"/>
        <v>0</v>
      </c>
      <c r="U65" s="53">
        <f t="shared" si="2"/>
        <v>0</v>
      </c>
      <c r="V65" s="53"/>
      <c r="W65" s="53"/>
      <c r="X65" s="53"/>
      <c r="Y65" s="53"/>
      <c r="Z65" s="53"/>
    </row>
    <row r="66" spans="1:26" ht="15.75" customHeight="1" x14ac:dyDescent="0.3">
      <c r="A66" s="44">
        <v>60</v>
      </c>
      <c r="B66" s="47" t="s">
        <v>217</v>
      </c>
      <c r="C66" s="3" t="s">
        <v>219</v>
      </c>
      <c r="D66" s="153" t="s">
        <v>793</v>
      </c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>
        <f t="shared" si="0"/>
        <v>0</v>
      </c>
      <c r="S66" s="53">
        <f t="shared" si="1"/>
        <v>0</v>
      </c>
      <c r="T66" s="53">
        <f t="shared" si="3"/>
        <v>0</v>
      </c>
      <c r="U66" s="53">
        <f t="shared" si="2"/>
        <v>0</v>
      </c>
      <c r="V66" s="53"/>
      <c r="W66" s="53"/>
      <c r="X66" s="53"/>
      <c r="Y66" s="53"/>
      <c r="Z66" s="53"/>
    </row>
    <row r="67" spans="1:26" ht="15.75" customHeight="1" x14ac:dyDescent="0.3">
      <c r="A67" s="44">
        <v>61</v>
      </c>
      <c r="B67" s="47" t="s">
        <v>301</v>
      </c>
      <c r="C67" s="44" t="s">
        <v>794</v>
      </c>
      <c r="D67" s="153" t="s">
        <v>795</v>
      </c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>
        <f t="shared" si="0"/>
        <v>0</v>
      </c>
      <c r="S67" s="53">
        <f t="shared" si="1"/>
        <v>0</v>
      </c>
      <c r="T67" s="53"/>
      <c r="U67" s="53">
        <f t="shared" si="2"/>
        <v>0</v>
      </c>
      <c r="V67" s="53"/>
      <c r="W67" s="53"/>
      <c r="X67" s="53"/>
      <c r="Y67" s="53"/>
      <c r="Z67" s="53"/>
    </row>
    <row r="68" spans="1:26" ht="15.75" customHeight="1" x14ac:dyDescent="0.3">
      <c r="A68" s="44">
        <v>62</v>
      </c>
      <c r="B68" s="47" t="s">
        <v>342</v>
      </c>
      <c r="C68" s="3" t="s">
        <v>344</v>
      </c>
      <c r="D68" s="153" t="s">
        <v>796</v>
      </c>
      <c r="E68" s="44"/>
      <c r="F68" s="44">
        <v>10</v>
      </c>
      <c r="G68" s="44">
        <v>10</v>
      </c>
      <c r="H68" s="44">
        <v>10</v>
      </c>
      <c r="I68" s="44">
        <v>10</v>
      </c>
      <c r="J68" s="44">
        <v>10</v>
      </c>
      <c r="K68" s="44">
        <v>10</v>
      </c>
      <c r="L68" s="44">
        <v>10</v>
      </c>
      <c r="M68" s="44">
        <v>10</v>
      </c>
      <c r="N68" s="44">
        <v>10</v>
      </c>
      <c r="O68" s="44">
        <v>10</v>
      </c>
      <c r="P68" s="44">
        <v>10</v>
      </c>
      <c r="Q68" s="44">
        <v>10</v>
      </c>
      <c r="R68" s="65">
        <f t="shared" si="0"/>
        <v>120</v>
      </c>
      <c r="S68" s="53">
        <f t="shared" si="1"/>
        <v>120</v>
      </c>
      <c r="T68" s="53"/>
      <c r="U68" s="53">
        <f t="shared" si="2"/>
        <v>120</v>
      </c>
      <c r="V68" s="53" t="s">
        <v>901</v>
      </c>
      <c r="W68" s="53"/>
      <c r="X68" s="53"/>
      <c r="Y68" s="53"/>
      <c r="Z68" s="53"/>
    </row>
    <row r="69" spans="1:26" ht="15.75" customHeight="1" x14ac:dyDescent="0.3">
      <c r="A69" s="44">
        <v>63</v>
      </c>
      <c r="B69" s="72" t="s">
        <v>289</v>
      </c>
      <c r="C69" s="73" t="s">
        <v>291</v>
      </c>
      <c r="D69" s="363" t="s">
        <v>797</v>
      </c>
      <c r="E69" s="74"/>
      <c r="F69" s="74">
        <v>10</v>
      </c>
      <c r="G69" s="74">
        <v>10</v>
      </c>
      <c r="H69" s="74">
        <v>10</v>
      </c>
      <c r="I69" s="74">
        <v>10</v>
      </c>
      <c r="J69" s="74">
        <v>10</v>
      </c>
      <c r="K69" s="74">
        <v>10</v>
      </c>
      <c r="L69" s="74">
        <v>10</v>
      </c>
      <c r="M69" s="74">
        <v>10</v>
      </c>
      <c r="N69" s="74">
        <v>10</v>
      </c>
      <c r="O69" s="74">
        <v>10</v>
      </c>
      <c r="P69" s="74">
        <v>10</v>
      </c>
      <c r="Q69" s="74">
        <v>10</v>
      </c>
      <c r="R69" s="74">
        <f>SUM(F69:Q69)</f>
        <v>120</v>
      </c>
      <c r="S69" s="75"/>
      <c r="T69" s="75" t="s">
        <v>915</v>
      </c>
      <c r="U69" s="75"/>
      <c r="V69" s="76"/>
      <c r="W69" s="53" t="s">
        <v>916</v>
      </c>
      <c r="X69" s="53"/>
      <c r="Y69" s="53"/>
      <c r="Z69" s="53"/>
    </row>
    <row r="70" spans="1:26" ht="15.75" customHeight="1" x14ac:dyDescent="0.3">
      <c r="A70" s="44">
        <v>64</v>
      </c>
      <c r="B70" s="47" t="s">
        <v>608</v>
      </c>
      <c r="C70" s="44" t="s">
        <v>798</v>
      </c>
      <c r="D70" s="153" t="s">
        <v>799</v>
      </c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>
        <f>SUM(E70:Q70)</f>
        <v>0</v>
      </c>
      <c r="S70" s="53">
        <f>R70</f>
        <v>0</v>
      </c>
      <c r="T70" s="53">
        <f>R70+E70</f>
        <v>0</v>
      </c>
      <c r="U70" s="53">
        <f>IF(R70=120,(R70+E70),0)</f>
        <v>0</v>
      </c>
      <c r="V70" s="53"/>
      <c r="W70" s="53"/>
      <c r="X70" s="53"/>
      <c r="Y70" s="53"/>
      <c r="Z70" s="53"/>
    </row>
    <row r="71" spans="1:26" ht="15.75" customHeight="1" x14ac:dyDescent="0.3">
      <c r="A71" s="44">
        <v>65</v>
      </c>
      <c r="B71" s="77" t="s">
        <v>548</v>
      </c>
      <c r="C71" s="24" t="s">
        <v>550</v>
      </c>
      <c r="D71" s="362" t="s">
        <v>800</v>
      </c>
      <c r="E71" s="78"/>
      <c r="F71" s="74">
        <v>10</v>
      </c>
      <c r="G71" s="74">
        <v>10</v>
      </c>
      <c r="H71" s="74">
        <v>10</v>
      </c>
      <c r="I71" s="74">
        <v>10</v>
      </c>
      <c r="J71" s="74">
        <v>10</v>
      </c>
      <c r="K71" s="74">
        <v>10</v>
      </c>
      <c r="L71" s="74">
        <v>10</v>
      </c>
      <c r="M71" s="74">
        <v>10</v>
      </c>
      <c r="N71" s="74">
        <v>10</v>
      </c>
      <c r="O71" s="74">
        <v>10</v>
      </c>
      <c r="P71" s="74">
        <v>10</v>
      </c>
      <c r="Q71" s="74">
        <v>10</v>
      </c>
      <c r="R71" s="74">
        <f>SUM(F71:Q71)</f>
        <v>120</v>
      </c>
      <c r="S71" s="75"/>
      <c r="T71" s="75" t="s">
        <v>917</v>
      </c>
      <c r="U71" s="75"/>
      <c r="V71" s="79"/>
      <c r="W71" s="53"/>
      <c r="X71" s="53"/>
      <c r="Y71" s="53"/>
      <c r="Z71" s="53"/>
    </row>
    <row r="72" spans="1:26" ht="15.75" customHeight="1" x14ac:dyDescent="0.3">
      <c r="A72" s="44">
        <v>66</v>
      </c>
      <c r="B72" s="47" t="s">
        <v>482</v>
      </c>
      <c r="C72" s="44" t="s">
        <v>801</v>
      </c>
      <c r="D72" s="153" t="s">
        <v>802</v>
      </c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>
        <f t="shared" ref="R72:R86" si="4">SUM(E72:Q72)</f>
        <v>0</v>
      </c>
      <c r="S72" s="53">
        <f t="shared" ref="S72:S141" si="5">R72</f>
        <v>0</v>
      </c>
      <c r="T72" s="20">
        <f t="shared" ref="T72:T73" si="6">R72+E72</f>
        <v>0</v>
      </c>
      <c r="U72" s="20">
        <f t="shared" ref="U72:U139" si="7">IF(R72=120,(R72+E72),0)</f>
        <v>0</v>
      </c>
    </row>
    <row r="73" spans="1:26" ht="15.75" customHeight="1" x14ac:dyDescent="0.3">
      <c r="A73" s="44">
        <v>67</v>
      </c>
      <c r="B73" s="47" t="s">
        <v>185</v>
      </c>
      <c r="C73" s="3" t="s">
        <v>187</v>
      </c>
      <c r="D73" s="153" t="s">
        <v>804</v>
      </c>
      <c r="E73" s="44"/>
      <c r="F73" s="44">
        <v>10</v>
      </c>
      <c r="G73" s="44">
        <v>10</v>
      </c>
      <c r="H73" s="44">
        <v>10</v>
      </c>
      <c r="I73" s="44">
        <v>10</v>
      </c>
      <c r="J73" s="44">
        <v>10</v>
      </c>
      <c r="K73" s="44">
        <v>10</v>
      </c>
      <c r="L73" s="44">
        <v>10</v>
      </c>
      <c r="M73" s="44">
        <v>10</v>
      </c>
      <c r="N73" s="44">
        <v>10</v>
      </c>
      <c r="O73" s="44">
        <v>10</v>
      </c>
      <c r="P73" s="44">
        <v>10</v>
      </c>
      <c r="Q73" s="44">
        <v>10</v>
      </c>
      <c r="R73" s="44">
        <f t="shared" si="4"/>
        <v>120</v>
      </c>
      <c r="S73" s="53">
        <f t="shared" si="5"/>
        <v>120</v>
      </c>
      <c r="T73" s="20">
        <f t="shared" si="6"/>
        <v>120</v>
      </c>
      <c r="U73" s="20">
        <f t="shared" si="7"/>
        <v>120</v>
      </c>
    </row>
    <row r="74" spans="1:26" ht="15.75" customHeight="1" x14ac:dyDescent="0.3">
      <c r="A74" s="44">
        <v>68</v>
      </c>
      <c r="B74" s="47" t="s">
        <v>276</v>
      </c>
      <c r="C74" s="44" t="s">
        <v>805</v>
      </c>
      <c r="D74" s="153" t="s">
        <v>806</v>
      </c>
      <c r="E74" s="44"/>
      <c r="F74" s="44">
        <v>10</v>
      </c>
      <c r="G74" s="44">
        <v>10</v>
      </c>
      <c r="H74" s="44">
        <v>10</v>
      </c>
      <c r="I74" s="44">
        <v>10</v>
      </c>
      <c r="J74" s="44">
        <v>10</v>
      </c>
      <c r="K74" s="44">
        <v>10</v>
      </c>
      <c r="L74" s="44">
        <v>10</v>
      </c>
      <c r="M74" s="44">
        <v>10</v>
      </c>
      <c r="N74" s="44">
        <v>10</v>
      </c>
      <c r="O74" s="44">
        <v>10</v>
      </c>
      <c r="P74" s="44">
        <v>10</v>
      </c>
      <c r="Q74" s="44">
        <v>10</v>
      </c>
      <c r="R74" s="44">
        <f t="shared" si="4"/>
        <v>120</v>
      </c>
      <c r="S74" s="53">
        <f t="shared" si="5"/>
        <v>120</v>
      </c>
      <c r="U74" s="20">
        <f t="shared" si="7"/>
        <v>120</v>
      </c>
    </row>
    <row r="75" spans="1:26" ht="15.75" customHeight="1" x14ac:dyDescent="0.3">
      <c r="A75" s="44">
        <v>69</v>
      </c>
      <c r="B75" s="47" t="s">
        <v>564</v>
      </c>
      <c r="C75" s="44" t="s">
        <v>807</v>
      </c>
      <c r="D75" s="153" t="s">
        <v>808</v>
      </c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>
        <f t="shared" si="4"/>
        <v>0</v>
      </c>
      <c r="S75" s="53">
        <f t="shared" si="5"/>
        <v>0</v>
      </c>
      <c r="U75" s="20">
        <f t="shared" si="7"/>
        <v>0</v>
      </c>
    </row>
    <row r="76" spans="1:26" ht="15.75" customHeight="1" x14ac:dyDescent="0.3">
      <c r="A76" s="44">
        <v>70</v>
      </c>
      <c r="B76" s="47" t="s">
        <v>629</v>
      </c>
      <c r="C76" s="3" t="s">
        <v>631</v>
      </c>
      <c r="D76" s="153" t="s">
        <v>809</v>
      </c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>
        <f t="shared" si="4"/>
        <v>0</v>
      </c>
      <c r="S76" s="53">
        <f t="shared" si="5"/>
        <v>0</v>
      </c>
      <c r="U76" s="20">
        <f t="shared" si="7"/>
        <v>0</v>
      </c>
    </row>
    <row r="77" spans="1:26" ht="15.75" customHeight="1" x14ac:dyDescent="0.3">
      <c r="A77" s="372">
        <v>71</v>
      </c>
      <c r="B77" s="373" t="s">
        <v>810</v>
      </c>
      <c r="C77" s="372" t="s">
        <v>811</v>
      </c>
      <c r="D77" s="374" t="s">
        <v>812</v>
      </c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>
        <f t="shared" si="4"/>
        <v>0</v>
      </c>
      <c r="S77" s="53">
        <f t="shared" si="5"/>
        <v>0</v>
      </c>
      <c r="U77" s="20">
        <f t="shared" si="7"/>
        <v>0</v>
      </c>
    </row>
    <row r="78" spans="1:26" ht="15.75" customHeight="1" x14ac:dyDescent="0.3">
      <c r="A78" s="44">
        <v>72</v>
      </c>
      <c r="B78" s="47" t="s">
        <v>813</v>
      </c>
      <c r="C78" s="44" t="s">
        <v>814</v>
      </c>
      <c r="D78" s="153" t="s">
        <v>815</v>
      </c>
      <c r="E78" s="44"/>
      <c r="F78" s="44">
        <v>10</v>
      </c>
      <c r="G78" s="44">
        <v>10</v>
      </c>
      <c r="H78" s="44">
        <v>10</v>
      </c>
      <c r="I78" s="44">
        <v>10</v>
      </c>
      <c r="J78" s="44">
        <v>10</v>
      </c>
      <c r="K78" s="44">
        <v>10</v>
      </c>
      <c r="L78" s="44">
        <v>10</v>
      </c>
      <c r="M78" s="44">
        <v>10</v>
      </c>
      <c r="N78" s="44">
        <v>10</v>
      </c>
      <c r="O78" s="44">
        <v>10</v>
      </c>
      <c r="P78" s="44">
        <v>10</v>
      </c>
      <c r="Q78" s="44">
        <v>10</v>
      </c>
      <c r="R78" s="44">
        <f t="shared" si="4"/>
        <v>120</v>
      </c>
      <c r="S78" s="53">
        <f t="shared" si="5"/>
        <v>120</v>
      </c>
      <c r="U78" s="20">
        <f t="shared" si="7"/>
        <v>120</v>
      </c>
    </row>
    <row r="79" spans="1:26" ht="15.75" customHeight="1" x14ac:dyDescent="0.3">
      <c r="A79" s="44">
        <v>73</v>
      </c>
      <c r="B79" s="47" t="s">
        <v>816</v>
      </c>
      <c r="C79" s="44" t="s">
        <v>817</v>
      </c>
      <c r="D79" s="153" t="s">
        <v>818</v>
      </c>
      <c r="E79" s="44"/>
      <c r="F79" s="44">
        <v>10</v>
      </c>
      <c r="G79" s="44">
        <v>10</v>
      </c>
      <c r="H79" s="44">
        <v>10</v>
      </c>
      <c r="I79" s="44">
        <v>10</v>
      </c>
      <c r="J79" s="44">
        <v>10</v>
      </c>
      <c r="K79" s="44">
        <v>10</v>
      </c>
      <c r="L79" s="44">
        <v>10</v>
      </c>
      <c r="M79" s="44">
        <v>10</v>
      </c>
      <c r="N79" s="44">
        <v>10</v>
      </c>
      <c r="O79" s="44">
        <v>10</v>
      </c>
      <c r="P79" s="44">
        <v>10</v>
      </c>
      <c r="Q79" s="44">
        <v>10</v>
      </c>
      <c r="R79" s="44">
        <f t="shared" si="4"/>
        <v>120</v>
      </c>
      <c r="S79" s="53">
        <f t="shared" si="5"/>
        <v>120</v>
      </c>
      <c r="U79" s="20">
        <f t="shared" si="7"/>
        <v>120</v>
      </c>
    </row>
    <row r="80" spans="1:26" ht="15.75" customHeight="1" x14ac:dyDescent="0.3">
      <c r="A80" s="44">
        <v>74</v>
      </c>
      <c r="B80" s="47" t="s">
        <v>819</v>
      </c>
      <c r="C80" s="44" t="s">
        <v>820</v>
      </c>
      <c r="D80" s="153" t="s">
        <v>821</v>
      </c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>
        <f t="shared" si="4"/>
        <v>0</v>
      </c>
      <c r="S80" s="53">
        <f t="shared" si="5"/>
        <v>0</v>
      </c>
      <c r="U80" s="20">
        <f t="shared" si="7"/>
        <v>0</v>
      </c>
    </row>
    <row r="81" spans="1:22" ht="15.75" customHeight="1" x14ac:dyDescent="0.3">
      <c r="A81" s="44">
        <v>75</v>
      </c>
      <c r="B81" s="47" t="s">
        <v>822</v>
      </c>
      <c r="C81" s="44" t="s">
        <v>823</v>
      </c>
      <c r="D81" s="153" t="s">
        <v>824</v>
      </c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>
        <f t="shared" si="4"/>
        <v>0</v>
      </c>
      <c r="S81" s="53">
        <f t="shared" si="5"/>
        <v>0</v>
      </c>
      <c r="U81" s="20">
        <f t="shared" si="7"/>
        <v>0</v>
      </c>
    </row>
    <row r="82" spans="1:22" ht="15.75" customHeight="1" x14ac:dyDescent="0.3">
      <c r="A82" s="44">
        <v>76</v>
      </c>
      <c r="B82" s="47" t="s">
        <v>825</v>
      </c>
      <c r="C82" s="44" t="s">
        <v>826</v>
      </c>
      <c r="D82" s="153" t="s">
        <v>827</v>
      </c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>
        <f t="shared" si="4"/>
        <v>0</v>
      </c>
      <c r="S82" s="53">
        <f t="shared" si="5"/>
        <v>0</v>
      </c>
      <c r="U82" s="20">
        <f t="shared" si="7"/>
        <v>0</v>
      </c>
    </row>
    <row r="83" spans="1:22" ht="15.75" customHeight="1" x14ac:dyDescent="0.3">
      <c r="A83" s="44">
        <v>77</v>
      </c>
      <c r="B83" s="47" t="s">
        <v>416</v>
      </c>
      <c r="C83" s="14" t="s">
        <v>418</v>
      </c>
      <c r="D83" s="153" t="s">
        <v>828</v>
      </c>
      <c r="E83" s="44"/>
      <c r="F83" s="44">
        <v>10</v>
      </c>
      <c r="G83" s="44">
        <v>10</v>
      </c>
      <c r="H83" s="44">
        <v>10</v>
      </c>
      <c r="I83" s="44">
        <v>10</v>
      </c>
      <c r="J83" s="44">
        <v>10</v>
      </c>
      <c r="K83" s="44">
        <v>10</v>
      </c>
      <c r="L83" s="44">
        <v>10</v>
      </c>
      <c r="M83" s="44">
        <v>10</v>
      </c>
      <c r="N83" s="44">
        <v>10</v>
      </c>
      <c r="O83" s="44"/>
      <c r="P83" s="44"/>
      <c r="Q83" s="44"/>
      <c r="R83" s="44">
        <f t="shared" si="4"/>
        <v>90</v>
      </c>
      <c r="S83" s="53">
        <f t="shared" si="5"/>
        <v>90</v>
      </c>
      <c r="U83" s="20">
        <f t="shared" si="7"/>
        <v>0</v>
      </c>
      <c r="V83" s="20" t="s">
        <v>918</v>
      </c>
    </row>
    <row r="84" spans="1:22" ht="15.75" customHeight="1" x14ac:dyDescent="0.3">
      <c r="A84" s="44">
        <v>78</v>
      </c>
      <c r="B84" s="47" t="s">
        <v>829</v>
      </c>
      <c r="C84" s="44" t="s">
        <v>830</v>
      </c>
      <c r="D84" s="153" t="s">
        <v>831</v>
      </c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>
        <f t="shared" si="4"/>
        <v>0</v>
      </c>
      <c r="S84" s="53">
        <f t="shared" si="5"/>
        <v>0</v>
      </c>
      <c r="U84" s="20">
        <f t="shared" si="7"/>
        <v>0</v>
      </c>
    </row>
    <row r="85" spans="1:22" ht="15.75" customHeight="1" x14ac:dyDescent="0.3">
      <c r="A85" s="44">
        <v>79</v>
      </c>
      <c r="B85" s="47" t="s">
        <v>832</v>
      </c>
      <c r="C85" s="3" t="s">
        <v>584</v>
      </c>
      <c r="D85" s="153" t="s">
        <v>721</v>
      </c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>
        <f t="shared" si="4"/>
        <v>0</v>
      </c>
      <c r="S85" s="53">
        <f t="shared" si="5"/>
        <v>0</v>
      </c>
      <c r="U85" s="20">
        <f t="shared" si="7"/>
        <v>0</v>
      </c>
    </row>
    <row r="86" spans="1:22" ht="15.75" customHeight="1" x14ac:dyDescent="0.3">
      <c r="A86" s="44">
        <v>80</v>
      </c>
      <c r="B86" s="47" t="s">
        <v>833</v>
      </c>
      <c r="C86" s="14" t="s">
        <v>296</v>
      </c>
      <c r="D86" s="153" t="s">
        <v>834</v>
      </c>
      <c r="E86" s="44"/>
      <c r="F86" s="44">
        <v>10</v>
      </c>
      <c r="G86" s="44">
        <v>10</v>
      </c>
      <c r="H86" s="44">
        <v>10</v>
      </c>
      <c r="I86" s="44">
        <v>10</v>
      </c>
      <c r="J86" s="44">
        <v>10</v>
      </c>
      <c r="K86" s="44">
        <v>10</v>
      </c>
      <c r="L86" s="44">
        <v>10</v>
      </c>
      <c r="M86" s="44">
        <v>10</v>
      </c>
      <c r="N86" s="44">
        <v>10</v>
      </c>
      <c r="O86" s="44">
        <v>10</v>
      </c>
      <c r="P86" s="44">
        <v>10</v>
      </c>
      <c r="Q86" s="44">
        <v>10</v>
      </c>
      <c r="R86" s="44">
        <f t="shared" si="4"/>
        <v>120</v>
      </c>
      <c r="S86" s="53">
        <f t="shared" si="5"/>
        <v>120</v>
      </c>
      <c r="U86" s="20">
        <f t="shared" si="7"/>
        <v>120</v>
      </c>
    </row>
    <row r="87" spans="1:22" ht="15.75" customHeight="1" x14ac:dyDescent="0.3">
      <c r="A87" s="44">
        <v>81</v>
      </c>
      <c r="B87" s="47" t="s">
        <v>836</v>
      </c>
      <c r="C87" s="44" t="s">
        <v>919</v>
      </c>
      <c r="D87" s="153" t="s">
        <v>920</v>
      </c>
      <c r="E87" s="44">
        <v>20</v>
      </c>
      <c r="F87" s="44">
        <v>10</v>
      </c>
      <c r="G87" s="44">
        <v>10</v>
      </c>
      <c r="H87" s="44">
        <v>10</v>
      </c>
      <c r="I87" s="44">
        <v>10</v>
      </c>
      <c r="J87" s="44">
        <v>10</v>
      </c>
      <c r="K87" s="44">
        <v>10</v>
      </c>
      <c r="L87" s="44">
        <v>10</v>
      </c>
      <c r="M87" s="44">
        <v>10</v>
      </c>
      <c r="N87" s="44">
        <v>10</v>
      </c>
      <c r="O87" s="44">
        <v>10</v>
      </c>
      <c r="P87" s="44">
        <v>10</v>
      </c>
      <c r="Q87" s="44">
        <v>10</v>
      </c>
      <c r="R87" s="44">
        <f>SUM(F87:Q87)</f>
        <v>120</v>
      </c>
      <c r="S87" s="53">
        <f t="shared" si="5"/>
        <v>120</v>
      </c>
      <c r="U87" s="20">
        <f t="shared" si="7"/>
        <v>140</v>
      </c>
      <c r="V87" s="20" t="s">
        <v>909</v>
      </c>
    </row>
    <row r="88" spans="1:22" ht="15.75" customHeight="1" x14ac:dyDescent="0.3">
      <c r="A88" s="44">
        <v>82</v>
      </c>
      <c r="B88" s="47" t="s">
        <v>837</v>
      </c>
      <c r="C88" s="44" t="s">
        <v>921</v>
      </c>
      <c r="D88" s="153" t="s">
        <v>922</v>
      </c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>
        <f>SUM(E88:Q88)</f>
        <v>0</v>
      </c>
      <c r="S88" s="53">
        <f t="shared" si="5"/>
        <v>0</v>
      </c>
      <c r="U88" s="20">
        <f t="shared" si="7"/>
        <v>0</v>
      </c>
    </row>
    <row r="89" spans="1:22" ht="15.75" customHeight="1" x14ac:dyDescent="0.3">
      <c r="A89" s="44">
        <v>83</v>
      </c>
      <c r="B89" s="47" t="s">
        <v>142</v>
      </c>
      <c r="C89" s="14" t="s">
        <v>144</v>
      </c>
      <c r="D89" s="153" t="s">
        <v>838</v>
      </c>
      <c r="E89" s="44"/>
      <c r="F89" s="44">
        <v>10</v>
      </c>
      <c r="G89" s="44">
        <v>10</v>
      </c>
      <c r="H89" s="44">
        <v>10</v>
      </c>
      <c r="I89" s="44">
        <v>10</v>
      </c>
      <c r="J89" s="44">
        <v>10</v>
      </c>
      <c r="K89" s="44">
        <v>10</v>
      </c>
      <c r="L89" s="44">
        <v>10</v>
      </c>
      <c r="M89" s="44">
        <v>10</v>
      </c>
      <c r="N89" s="44">
        <v>10</v>
      </c>
      <c r="O89" s="44">
        <v>10</v>
      </c>
      <c r="P89" s="44">
        <v>10</v>
      </c>
      <c r="Q89" s="44">
        <v>10</v>
      </c>
      <c r="R89" s="65">
        <f>SUM(F89:Q89)</f>
        <v>120</v>
      </c>
      <c r="S89" s="53">
        <f t="shared" si="5"/>
        <v>120</v>
      </c>
      <c r="U89" s="20">
        <f t="shared" si="7"/>
        <v>120</v>
      </c>
      <c r="V89" s="20" t="s">
        <v>901</v>
      </c>
    </row>
    <row r="90" spans="1:22" ht="15.75" customHeight="1" x14ac:dyDescent="0.3">
      <c r="A90" s="44">
        <v>84</v>
      </c>
      <c r="B90" s="47" t="s">
        <v>839</v>
      </c>
      <c r="C90" s="3" t="s">
        <v>572</v>
      </c>
      <c r="D90" s="153" t="s">
        <v>923</v>
      </c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>
        <f t="shared" ref="R90:R93" si="8">SUM(E90:Q90)</f>
        <v>0</v>
      </c>
      <c r="S90" s="53">
        <f t="shared" si="5"/>
        <v>0</v>
      </c>
      <c r="U90" s="20">
        <f t="shared" si="7"/>
        <v>0</v>
      </c>
      <c r="V90" s="20" t="s">
        <v>924</v>
      </c>
    </row>
    <row r="91" spans="1:22" ht="15.75" customHeight="1" x14ac:dyDescent="0.3">
      <c r="A91" s="44">
        <v>85</v>
      </c>
      <c r="B91" s="47" t="s">
        <v>840</v>
      </c>
      <c r="C91" s="65" t="s">
        <v>925</v>
      </c>
      <c r="D91" s="206" t="s">
        <v>892</v>
      </c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>
        <f t="shared" si="8"/>
        <v>0</v>
      </c>
      <c r="S91" s="53">
        <f t="shared" si="5"/>
        <v>0</v>
      </c>
      <c r="U91" s="20">
        <f t="shared" si="7"/>
        <v>0</v>
      </c>
    </row>
    <row r="92" spans="1:22" ht="15.75" customHeight="1" x14ac:dyDescent="0.3">
      <c r="A92" s="44">
        <v>86</v>
      </c>
      <c r="B92" s="47" t="s">
        <v>841</v>
      </c>
      <c r="C92" s="3" t="s">
        <v>212</v>
      </c>
      <c r="D92" s="153" t="s">
        <v>926</v>
      </c>
      <c r="E92" s="44"/>
      <c r="F92" s="44">
        <v>10</v>
      </c>
      <c r="G92" s="44">
        <v>10</v>
      </c>
      <c r="H92" s="44">
        <v>10</v>
      </c>
      <c r="I92" s="44">
        <v>10</v>
      </c>
      <c r="J92" s="44">
        <v>10</v>
      </c>
      <c r="K92" s="44">
        <v>10</v>
      </c>
      <c r="L92" s="44">
        <v>10</v>
      </c>
      <c r="M92" s="44">
        <v>10</v>
      </c>
      <c r="N92" s="44">
        <v>10</v>
      </c>
      <c r="O92" s="44">
        <v>10</v>
      </c>
      <c r="P92" s="44"/>
      <c r="Q92" s="44"/>
      <c r="R92" s="44">
        <f t="shared" si="8"/>
        <v>100</v>
      </c>
      <c r="S92" s="53">
        <f t="shared" si="5"/>
        <v>100</v>
      </c>
      <c r="U92" s="20">
        <f t="shared" si="7"/>
        <v>0</v>
      </c>
    </row>
    <row r="93" spans="1:22" ht="15.75" customHeight="1" x14ac:dyDescent="0.3">
      <c r="A93" s="44">
        <v>87</v>
      </c>
      <c r="B93" s="47" t="s">
        <v>842</v>
      </c>
      <c r="C93" s="44"/>
      <c r="D93" s="153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>
        <f t="shared" si="8"/>
        <v>0</v>
      </c>
      <c r="S93" s="53">
        <f t="shared" si="5"/>
        <v>0</v>
      </c>
      <c r="U93" s="20">
        <f t="shared" si="7"/>
        <v>0</v>
      </c>
    </row>
    <row r="94" spans="1:22" ht="15.75" customHeight="1" x14ac:dyDescent="0.3">
      <c r="A94" s="44">
        <v>88</v>
      </c>
      <c r="B94" s="47" t="s">
        <v>644</v>
      </c>
      <c r="C94" s="14" t="s">
        <v>647</v>
      </c>
      <c r="D94" s="153" t="s">
        <v>843</v>
      </c>
      <c r="E94" s="44"/>
      <c r="F94" s="44">
        <v>10</v>
      </c>
      <c r="G94" s="44">
        <v>10</v>
      </c>
      <c r="H94" s="44">
        <v>10</v>
      </c>
      <c r="I94" s="44">
        <v>10</v>
      </c>
      <c r="J94" s="44">
        <v>10</v>
      </c>
      <c r="K94" s="44">
        <v>10</v>
      </c>
      <c r="L94" s="44">
        <v>10</v>
      </c>
      <c r="M94" s="44">
        <v>10</v>
      </c>
      <c r="N94" s="44">
        <v>10</v>
      </c>
      <c r="O94" s="44">
        <v>10</v>
      </c>
      <c r="P94" s="44">
        <v>10</v>
      </c>
      <c r="Q94" s="44">
        <v>10</v>
      </c>
      <c r="R94" s="65">
        <f>SUM(F94:Q94)</f>
        <v>120</v>
      </c>
      <c r="S94" s="53">
        <f t="shared" si="5"/>
        <v>120</v>
      </c>
      <c r="U94" s="20">
        <f t="shared" si="7"/>
        <v>120</v>
      </c>
    </row>
    <row r="95" spans="1:22" ht="15.75" customHeight="1" x14ac:dyDescent="0.3">
      <c r="A95" s="44">
        <v>89</v>
      </c>
      <c r="B95" s="47" t="s">
        <v>844</v>
      </c>
      <c r="C95" s="44"/>
      <c r="D95" s="153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>
        <f t="shared" ref="R95:R141" si="9">SUM(E95:Q95)</f>
        <v>0</v>
      </c>
      <c r="S95" s="53">
        <f t="shared" si="5"/>
        <v>0</v>
      </c>
      <c r="U95" s="20">
        <f t="shared" si="7"/>
        <v>0</v>
      </c>
    </row>
    <row r="96" spans="1:22" ht="15.75" customHeight="1" x14ac:dyDescent="0.3">
      <c r="A96" s="44">
        <v>90</v>
      </c>
      <c r="B96" s="47" t="s">
        <v>845</v>
      </c>
      <c r="C96" s="44"/>
      <c r="D96" s="153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>
        <f t="shared" si="9"/>
        <v>0</v>
      </c>
      <c r="S96" s="53">
        <f t="shared" si="5"/>
        <v>0</v>
      </c>
      <c r="U96" s="20">
        <f t="shared" si="7"/>
        <v>0</v>
      </c>
    </row>
    <row r="97" spans="1:22" ht="15.75" customHeight="1" x14ac:dyDescent="0.3">
      <c r="A97" s="44">
        <v>91</v>
      </c>
      <c r="B97" s="47" t="s">
        <v>846</v>
      </c>
      <c r="C97" s="44"/>
      <c r="D97" s="153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>
        <f t="shared" si="9"/>
        <v>0</v>
      </c>
      <c r="S97" s="53">
        <f t="shared" si="5"/>
        <v>0</v>
      </c>
      <c r="U97" s="20">
        <f t="shared" si="7"/>
        <v>0</v>
      </c>
    </row>
    <row r="98" spans="1:22" ht="15.75" customHeight="1" x14ac:dyDescent="0.3">
      <c r="A98" s="44">
        <v>92</v>
      </c>
      <c r="B98" s="47" t="s">
        <v>847</v>
      </c>
      <c r="C98" s="44"/>
      <c r="D98" s="153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>
        <f t="shared" si="9"/>
        <v>0</v>
      </c>
      <c r="S98" s="53">
        <f t="shared" si="5"/>
        <v>0</v>
      </c>
      <c r="U98" s="20">
        <f t="shared" si="7"/>
        <v>0</v>
      </c>
    </row>
    <row r="99" spans="1:22" ht="15.75" customHeight="1" x14ac:dyDescent="0.3">
      <c r="A99" s="44">
        <v>93</v>
      </c>
      <c r="B99" s="47" t="s">
        <v>848</v>
      </c>
      <c r="C99" s="44"/>
      <c r="D99" s="153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>
        <f t="shared" si="9"/>
        <v>0</v>
      </c>
      <c r="S99" s="53">
        <f t="shared" si="5"/>
        <v>0</v>
      </c>
      <c r="U99" s="20">
        <f t="shared" si="7"/>
        <v>0</v>
      </c>
    </row>
    <row r="100" spans="1:22" ht="15.75" customHeight="1" x14ac:dyDescent="0.3">
      <c r="A100" s="44">
        <v>94</v>
      </c>
      <c r="B100" s="47" t="s">
        <v>849</v>
      </c>
      <c r="C100" s="44"/>
      <c r="D100" s="153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>
        <f t="shared" si="9"/>
        <v>0</v>
      </c>
      <c r="S100" s="53">
        <f t="shared" si="5"/>
        <v>0</v>
      </c>
      <c r="U100" s="20">
        <f t="shared" si="7"/>
        <v>0</v>
      </c>
    </row>
    <row r="101" spans="1:22" ht="15.75" customHeight="1" x14ac:dyDescent="0.3">
      <c r="A101" s="44">
        <v>95</v>
      </c>
      <c r="B101" s="47" t="s">
        <v>850</v>
      </c>
      <c r="C101" s="44"/>
      <c r="D101" s="153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>
        <f t="shared" si="9"/>
        <v>0</v>
      </c>
      <c r="S101" s="53">
        <f t="shared" si="5"/>
        <v>0</v>
      </c>
      <c r="U101" s="20">
        <f t="shared" si="7"/>
        <v>0</v>
      </c>
    </row>
    <row r="102" spans="1:22" ht="15.75" customHeight="1" x14ac:dyDescent="0.3">
      <c r="A102" s="44">
        <v>96</v>
      </c>
      <c r="B102" s="47" t="s">
        <v>851</v>
      </c>
      <c r="C102" s="44"/>
      <c r="D102" s="153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>
        <f t="shared" si="9"/>
        <v>0</v>
      </c>
      <c r="S102" s="53">
        <f t="shared" si="5"/>
        <v>0</v>
      </c>
      <c r="U102" s="20">
        <f t="shared" si="7"/>
        <v>0</v>
      </c>
    </row>
    <row r="103" spans="1:22" ht="15.75" customHeight="1" x14ac:dyDescent="0.3">
      <c r="A103" s="44">
        <v>97</v>
      </c>
      <c r="B103" s="47" t="s">
        <v>852</v>
      </c>
      <c r="C103" s="44"/>
      <c r="D103" s="153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>
        <f t="shared" si="9"/>
        <v>0</v>
      </c>
      <c r="S103" s="53">
        <f t="shared" si="5"/>
        <v>0</v>
      </c>
      <c r="U103" s="20">
        <f t="shared" si="7"/>
        <v>0</v>
      </c>
    </row>
    <row r="104" spans="1:22" ht="15.75" customHeight="1" x14ac:dyDescent="0.3">
      <c r="A104" s="44">
        <v>98</v>
      </c>
      <c r="B104" s="47" t="s">
        <v>853</v>
      </c>
      <c r="C104" s="44"/>
      <c r="D104" s="153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>
        <f t="shared" si="9"/>
        <v>0</v>
      </c>
      <c r="S104" s="53">
        <f t="shared" si="5"/>
        <v>0</v>
      </c>
      <c r="U104" s="20">
        <f t="shared" si="7"/>
        <v>0</v>
      </c>
    </row>
    <row r="105" spans="1:22" ht="15.75" customHeight="1" x14ac:dyDescent="0.3">
      <c r="A105" s="44">
        <v>99</v>
      </c>
      <c r="B105" s="47" t="s">
        <v>854</v>
      </c>
      <c r="C105" s="44"/>
      <c r="D105" s="153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>
        <f t="shared" si="9"/>
        <v>0</v>
      </c>
      <c r="S105" s="53">
        <f t="shared" si="5"/>
        <v>0</v>
      </c>
      <c r="U105" s="20">
        <f t="shared" si="7"/>
        <v>0</v>
      </c>
    </row>
    <row r="106" spans="1:22" ht="15.75" customHeight="1" x14ac:dyDescent="0.3">
      <c r="A106" s="44">
        <v>100</v>
      </c>
      <c r="B106" s="47" t="s">
        <v>855</v>
      </c>
      <c r="C106" s="44"/>
      <c r="D106" s="153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>
        <f t="shared" si="9"/>
        <v>0</v>
      </c>
      <c r="S106" s="53">
        <f t="shared" si="5"/>
        <v>0</v>
      </c>
      <c r="U106" s="20">
        <f t="shared" si="7"/>
        <v>0</v>
      </c>
    </row>
    <row r="107" spans="1:22" ht="15.75" customHeight="1" x14ac:dyDescent="0.3">
      <c r="A107" s="44">
        <v>101</v>
      </c>
      <c r="B107" s="47" t="s">
        <v>856</v>
      </c>
      <c r="C107" s="44"/>
      <c r="D107" s="153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>
        <f t="shared" si="9"/>
        <v>0</v>
      </c>
      <c r="S107" s="53">
        <f t="shared" si="5"/>
        <v>0</v>
      </c>
      <c r="U107" s="20">
        <f t="shared" si="7"/>
        <v>0</v>
      </c>
    </row>
    <row r="108" spans="1:22" ht="15.75" customHeight="1" x14ac:dyDescent="0.3">
      <c r="A108" s="44">
        <v>102</v>
      </c>
      <c r="B108" s="47" t="s">
        <v>857</v>
      </c>
      <c r="C108" s="44"/>
      <c r="D108" s="153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>
        <f t="shared" si="9"/>
        <v>0</v>
      </c>
      <c r="S108" s="53">
        <f t="shared" si="5"/>
        <v>0</v>
      </c>
      <c r="U108" s="20">
        <f t="shared" si="7"/>
        <v>0</v>
      </c>
    </row>
    <row r="109" spans="1:22" ht="15.75" customHeight="1" x14ac:dyDescent="0.3">
      <c r="A109" s="44">
        <v>103</v>
      </c>
      <c r="B109" s="47" t="s">
        <v>858</v>
      </c>
      <c r="C109" s="44"/>
      <c r="D109" s="153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>
        <f t="shared" si="9"/>
        <v>0</v>
      </c>
      <c r="S109" s="53">
        <f t="shared" si="5"/>
        <v>0</v>
      </c>
      <c r="U109" s="20">
        <f t="shared" si="7"/>
        <v>0</v>
      </c>
    </row>
    <row r="110" spans="1:22" ht="15.75" customHeight="1" x14ac:dyDescent="0.3">
      <c r="A110" s="44">
        <v>104</v>
      </c>
      <c r="B110" s="47" t="s">
        <v>859</v>
      </c>
      <c r="C110" s="44"/>
      <c r="D110" s="153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>
        <f t="shared" si="9"/>
        <v>0</v>
      </c>
      <c r="S110" s="53">
        <f t="shared" si="5"/>
        <v>0</v>
      </c>
      <c r="U110" s="20">
        <f t="shared" si="7"/>
        <v>0</v>
      </c>
    </row>
    <row r="111" spans="1:22" ht="15.75" customHeight="1" x14ac:dyDescent="0.3">
      <c r="A111" s="44">
        <v>105</v>
      </c>
      <c r="B111" s="47" t="s">
        <v>468</v>
      </c>
      <c r="C111" s="44" t="s">
        <v>470</v>
      </c>
      <c r="D111" s="153" t="s">
        <v>860</v>
      </c>
      <c r="E111" s="44"/>
      <c r="F111" s="44">
        <v>10</v>
      </c>
      <c r="G111" s="44">
        <v>10</v>
      </c>
      <c r="H111" s="44">
        <v>10</v>
      </c>
      <c r="I111" s="44">
        <v>10</v>
      </c>
      <c r="J111" s="44">
        <v>10</v>
      </c>
      <c r="K111" s="44">
        <v>10</v>
      </c>
      <c r="L111" s="44">
        <v>10</v>
      </c>
      <c r="M111" s="44">
        <v>10</v>
      </c>
      <c r="N111" s="44">
        <v>10</v>
      </c>
      <c r="O111" s="44">
        <v>10</v>
      </c>
      <c r="P111" s="44">
        <v>10</v>
      </c>
      <c r="Q111" s="44">
        <v>10</v>
      </c>
      <c r="R111" s="44">
        <f t="shared" si="9"/>
        <v>120</v>
      </c>
      <c r="S111" s="60">
        <f t="shared" si="5"/>
        <v>120</v>
      </c>
      <c r="U111" s="60">
        <f t="shared" si="7"/>
        <v>120</v>
      </c>
      <c r="V111" s="20" t="s">
        <v>927</v>
      </c>
    </row>
    <row r="112" spans="1:22" ht="15.75" customHeight="1" x14ac:dyDescent="0.3">
      <c r="A112" s="44">
        <v>106</v>
      </c>
      <c r="B112" s="47" t="s">
        <v>861</v>
      </c>
      <c r="C112" s="44"/>
      <c r="D112" s="153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>
        <f t="shared" si="9"/>
        <v>0</v>
      </c>
      <c r="S112" s="53">
        <f t="shared" si="5"/>
        <v>0</v>
      </c>
      <c r="U112" s="20">
        <f t="shared" si="7"/>
        <v>0</v>
      </c>
    </row>
    <row r="113" spans="1:22" ht="15.75" customHeight="1" x14ac:dyDescent="0.3">
      <c r="A113" s="44">
        <v>107</v>
      </c>
      <c r="B113" s="47" t="s">
        <v>862</v>
      </c>
      <c r="C113" s="44"/>
      <c r="D113" s="153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>
        <f t="shared" si="9"/>
        <v>0</v>
      </c>
      <c r="S113" s="53">
        <f t="shared" si="5"/>
        <v>0</v>
      </c>
      <c r="U113" s="20">
        <f t="shared" si="7"/>
        <v>0</v>
      </c>
    </row>
    <row r="114" spans="1:22" ht="15.75" customHeight="1" x14ac:dyDescent="0.3">
      <c r="A114" s="44">
        <v>108</v>
      </c>
      <c r="B114" s="47" t="s">
        <v>863</v>
      </c>
      <c r="C114" s="44"/>
      <c r="D114" s="153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>
        <f t="shared" si="9"/>
        <v>0</v>
      </c>
      <c r="S114" s="53">
        <f t="shared" si="5"/>
        <v>0</v>
      </c>
      <c r="U114" s="20">
        <f t="shared" si="7"/>
        <v>0</v>
      </c>
    </row>
    <row r="115" spans="1:22" ht="15.75" customHeight="1" x14ac:dyDescent="0.3">
      <c r="A115" s="44">
        <v>109</v>
      </c>
      <c r="B115" s="47" t="s">
        <v>864</v>
      </c>
      <c r="C115" s="44"/>
      <c r="D115" s="153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>
        <f t="shared" si="9"/>
        <v>0</v>
      </c>
      <c r="S115" s="53">
        <f t="shared" si="5"/>
        <v>0</v>
      </c>
      <c r="U115" s="20">
        <f t="shared" si="7"/>
        <v>0</v>
      </c>
    </row>
    <row r="116" spans="1:22" ht="15.75" customHeight="1" x14ac:dyDescent="0.3">
      <c r="A116" s="44">
        <v>110</v>
      </c>
      <c r="B116" s="47" t="s">
        <v>865</v>
      </c>
      <c r="C116" s="44"/>
      <c r="D116" s="153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>
        <f t="shared" si="9"/>
        <v>0</v>
      </c>
      <c r="S116" s="53">
        <f t="shared" si="5"/>
        <v>0</v>
      </c>
      <c r="U116" s="20">
        <f t="shared" si="7"/>
        <v>0</v>
      </c>
    </row>
    <row r="117" spans="1:22" ht="15.75" customHeight="1" x14ac:dyDescent="0.3">
      <c r="A117" s="44">
        <v>111</v>
      </c>
      <c r="B117" s="47" t="s">
        <v>621</v>
      </c>
      <c r="C117" s="14" t="s">
        <v>623</v>
      </c>
      <c r="D117" s="153" t="s">
        <v>866</v>
      </c>
      <c r="E117" s="44"/>
      <c r="F117" s="44">
        <v>10</v>
      </c>
      <c r="G117" s="44">
        <v>10</v>
      </c>
      <c r="H117" s="44">
        <v>10</v>
      </c>
      <c r="I117" s="44">
        <v>10</v>
      </c>
      <c r="J117" s="44">
        <v>10</v>
      </c>
      <c r="K117" s="44">
        <v>10</v>
      </c>
      <c r="L117" s="44">
        <v>10</v>
      </c>
      <c r="M117" s="44">
        <v>10</v>
      </c>
      <c r="N117" s="44">
        <v>10</v>
      </c>
      <c r="O117" s="44">
        <v>10</v>
      </c>
      <c r="P117" s="44">
        <v>10</v>
      </c>
      <c r="Q117" s="44">
        <v>10</v>
      </c>
      <c r="R117" s="44">
        <f t="shared" si="9"/>
        <v>120</v>
      </c>
      <c r="S117" s="60">
        <f t="shared" si="5"/>
        <v>120</v>
      </c>
      <c r="U117" s="60">
        <f t="shared" si="7"/>
        <v>120</v>
      </c>
      <c r="V117" s="20" t="s">
        <v>928</v>
      </c>
    </row>
    <row r="118" spans="1:22" ht="15.75" customHeight="1" x14ac:dyDescent="0.3">
      <c r="A118" s="44">
        <v>112</v>
      </c>
      <c r="B118" s="47" t="s">
        <v>208</v>
      </c>
      <c r="C118" s="44"/>
      <c r="D118" s="153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>
        <f t="shared" si="9"/>
        <v>0</v>
      </c>
      <c r="S118" s="53">
        <f t="shared" si="5"/>
        <v>0</v>
      </c>
      <c r="U118" s="20">
        <f t="shared" si="7"/>
        <v>0</v>
      </c>
    </row>
    <row r="119" spans="1:22" ht="15.75" customHeight="1" x14ac:dyDescent="0.3">
      <c r="A119" s="44">
        <v>113</v>
      </c>
      <c r="B119" s="47" t="s">
        <v>867</v>
      </c>
      <c r="C119" s="44"/>
      <c r="D119" s="153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>
        <f t="shared" si="9"/>
        <v>0</v>
      </c>
      <c r="S119" s="53">
        <f t="shared" si="5"/>
        <v>0</v>
      </c>
      <c r="U119" s="20">
        <f t="shared" si="7"/>
        <v>0</v>
      </c>
    </row>
    <row r="120" spans="1:22" ht="15.75" customHeight="1" x14ac:dyDescent="0.3">
      <c r="A120" s="44">
        <v>114</v>
      </c>
      <c r="B120" s="47" t="s">
        <v>868</v>
      </c>
      <c r="C120" s="44"/>
      <c r="D120" s="153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>
        <f t="shared" si="9"/>
        <v>0</v>
      </c>
      <c r="S120" s="53">
        <f t="shared" si="5"/>
        <v>0</v>
      </c>
      <c r="U120" s="20">
        <f t="shared" si="7"/>
        <v>0</v>
      </c>
    </row>
    <row r="121" spans="1:22" ht="15.75" customHeight="1" x14ac:dyDescent="0.3">
      <c r="A121" s="44">
        <v>115</v>
      </c>
      <c r="B121" s="47" t="s">
        <v>869</v>
      </c>
      <c r="C121" s="44"/>
      <c r="D121" s="153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>
        <f t="shared" si="9"/>
        <v>0</v>
      </c>
      <c r="S121" s="53">
        <f t="shared" si="5"/>
        <v>0</v>
      </c>
      <c r="U121" s="20">
        <f t="shared" si="7"/>
        <v>0</v>
      </c>
    </row>
    <row r="122" spans="1:22" ht="15.75" customHeight="1" x14ac:dyDescent="0.3">
      <c r="A122" s="44">
        <v>116</v>
      </c>
      <c r="B122" s="47" t="s">
        <v>870</v>
      </c>
      <c r="C122" s="44"/>
      <c r="D122" s="153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>
        <f t="shared" si="9"/>
        <v>0</v>
      </c>
      <c r="S122" s="53">
        <f t="shared" si="5"/>
        <v>0</v>
      </c>
      <c r="U122" s="20">
        <f t="shared" si="7"/>
        <v>0</v>
      </c>
    </row>
    <row r="123" spans="1:22" ht="15.75" customHeight="1" x14ac:dyDescent="0.3">
      <c r="A123" s="44">
        <v>117</v>
      </c>
      <c r="B123" s="47" t="s">
        <v>871</v>
      </c>
      <c r="C123" s="44"/>
      <c r="D123" s="153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>
        <f t="shared" si="9"/>
        <v>0</v>
      </c>
      <c r="S123" s="53">
        <f t="shared" si="5"/>
        <v>0</v>
      </c>
      <c r="U123" s="20">
        <f t="shared" si="7"/>
        <v>0</v>
      </c>
    </row>
    <row r="124" spans="1:22" ht="15.75" customHeight="1" x14ac:dyDescent="0.3">
      <c r="A124" s="44">
        <v>118</v>
      </c>
      <c r="B124" s="47" t="s">
        <v>872</v>
      </c>
      <c r="C124" s="44"/>
      <c r="D124" s="153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>
        <f t="shared" si="9"/>
        <v>0</v>
      </c>
      <c r="S124" s="53">
        <f t="shared" si="5"/>
        <v>0</v>
      </c>
      <c r="U124" s="20">
        <f t="shared" si="7"/>
        <v>0</v>
      </c>
    </row>
    <row r="125" spans="1:22" ht="15.75" customHeight="1" x14ac:dyDescent="0.3">
      <c r="A125" s="44">
        <v>119</v>
      </c>
      <c r="B125" s="47" t="s">
        <v>873</v>
      </c>
      <c r="C125" s="44"/>
      <c r="D125" s="153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>
        <f t="shared" si="9"/>
        <v>0</v>
      </c>
      <c r="S125" s="53">
        <f t="shared" si="5"/>
        <v>0</v>
      </c>
      <c r="U125" s="20">
        <f t="shared" si="7"/>
        <v>0</v>
      </c>
    </row>
    <row r="126" spans="1:22" ht="15.75" customHeight="1" x14ac:dyDescent="0.3">
      <c r="A126" s="44">
        <v>120</v>
      </c>
      <c r="B126" s="47" t="s">
        <v>246</v>
      </c>
      <c r="C126" s="44"/>
      <c r="D126" s="153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>
        <f t="shared" si="9"/>
        <v>0</v>
      </c>
      <c r="S126" s="53">
        <f t="shared" si="5"/>
        <v>0</v>
      </c>
      <c r="U126" s="20">
        <f t="shared" si="7"/>
        <v>0</v>
      </c>
    </row>
    <row r="127" spans="1:22" ht="15.75" customHeight="1" x14ac:dyDescent="0.3">
      <c r="A127" s="44">
        <v>121</v>
      </c>
      <c r="B127" s="47" t="s">
        <v>540</v>
      </c>
      <c r="C127" s="44" t="s">
        <v>874</v>
      </c>
      <c r="D127" s="153" t="s">
        <v>875</v>
      </c>
      <c r="E127" s="44"/>
      <c r="F127" s="44">
        <v>10</v>
      </c>
      <c r="G127" s="44">
        <v>10</v>
      </c>
      <c r="H127" s="44">
        <v>10</v>
      </c>
      <c r="I127" s="44">
        <v>10</v>
      </c>
      <c r="J127" s="44">
        <v>10</v>
      </c>
      <c r="K127" s="44">
        <v>10</v>
      </c>
      <c r="L127" s="44">
        <v>10</v>
      </c>
      <c r="M127" s="44">
        <v>10</v>
      </c>
      <c r="N127" s="44">
        <v>10</v>
      </c>
      <c r="O127" s="44">
        <v>10</v>
      </c>
      <c r="P127" s="44">
        <v>10</v>
      </c>
      <c r="Q127" s="44">
        <v>10</v>
      </c>
      <c r="R127" s="44">
        <f t="shared" si="9"/>
        <v>120</v>
      </c>
      <c r="S127" s="53">
        <f t="shared" si="5"/>
        <v>120</v>
      </c>
      <c r="U127" s="20">
        <f t="shared" si="7"/>
        <v>120</v>
      </c>
      <c r="V127" s="20" t="s">
        <v>929</v>
      </c>
    </row>
    <row r="128" spans="1:22" ht="15.75" customHeight="1" x14ac:dyDescent="0.3">
      <c r="A128" s="44">
        <v>122</v>
      </c>
      <c r="B128" s="47" t="s">
        <v>876</v>
      </c>
      <c r="C128" s="44"/>
      <c r="D128" s="153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>
        <f t="shared" si="9"/>
        <v>0</v>
      </c>
      <c r="S128" s="53">
        <f t="shared" si="5"/>
        <v>0</v>
      </c>
      <c r="U128" s="20">
        <f t="shared" si="7"/>
        <v>0</v>
      </c>
    </row>
    <row r="129" spans="1:26" ht="15.75" customHeight="1" x14ac:dyDescent="0.3">
      <c r="A129" s="44">
        <v>123</v>
      </c>
      <c r="B129" s="47" t="s">
        <v>165</v>
      </c>
      <c r="C129" s="14" t="s">
        <v>167</v>
      </c>
      <c r="D129" s="153" t="s">
        <v>877</v>
      </c>
      <c r="E129" s="44"/>
      <c r="F129" s="44">
        <v>10</v>
      </c>
      <c r="G129" s="44">
        <v>10</v>
      </c>
      <c r="H129" s="44">
        <v>10</v>
      </c>
      <c r="I129" s="44">
        <v>10</v>
      </c>
      <c r="J129" s="44">
        <v>10</v>
      </c>
      <c r="K129" s="44">
        <v>10</v>
      </c>
      <c r="L129" s="44">
        <v>10</v>
      </c>
      <c r="M129" s="44">
        <v>10</v>
      </c>
      <c r="N129" s="44">
        <v>10</v>
      </c>
      <c r="O129" s="44">
        <v>10</v>
      </c>
      <c r="P129" s="44">
        <v>10</v>
      </c>
      <c r="Q129" s="44">
        <v>10</v>
      </c>
      <c r="R129" s="44">
        <f t="shared" si="9"/>
        <v>120</v>
      </c>
      <c r="S129" s="53">
        <f t="shared" si="5"/>
        <v>120</v>
      </c>
      <c r="U129" s="20">
        <f t="shared" si="7"/>
        <v>120</v>
      </c>
      <c r="V129" s="20" t="s">
        <v>902</v>
      </c>
    </row>
    <row r="130" spans="1:26" ht="15.75" customHeight="1" x14ac:dyDescent="0.3">
      <c r="A130" s="44">
        <v>124</v>
      </c>
      <c r="B130" s="47" t="s">
        <v>878</v>
      </c>
      <c r="C130" s="44"/>
      <c r="D130" s="153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>
        <f t="shared" si="9"/>
        <v>0</v>
      </c>
      <c r="S130" s="53">
        <f t="shared" si="5"/>
        <v>0</v>
      </c>
      <c r="U130" s="20">
        <f t="shared" si="7"/>
        <v>0</v>
      </c>
    </row>
    <row r="131" spans="1:26" ht="15.75" customHeight="1" x14ac:dyDescent="0.3">
      <c r="A131" s="44">
        <v>125</v>
      </c>
      <c r="B131" s="47" t="s">
        <v>476</v>
      </c>
      <c r="C131" s="14" t="s">
        <v>478</v>
      </c>
      <c r="D131" s="153" t="s">
        <v>879</v>
      </c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>
        <f t="shared" si="9"/>
        <v>0</v>
      </c>
      <c r="S131" s="53">
        <f t="shared" si="5"/>
        <v>0</v>
      </c>
      <c r="U131" s="20">
        <f t="shared" si="7"/>
        <v>0</v>
      </c>
    </row>
    <row r="132" spans="1:26" ht="15.75" customHeight="1" x14ac:dyDescent="0.3">
      <c r="A132" s="44"/>
      <c r="B132" s="47" t="s">
        <v>387</v>
      </c>
      <c r="C132" s="14" t="s">
        <v>880</v>
      </c>
      <c r="D132" s="153" t="s">
        <v>881</v>
      </c>
      <c r="E132" s="44"/>
      <c r="F132" s="44">
        <v>10</v>
      </c>
      <c r="G132" s="44">
        <v>10</v>
      </c>
      <c r="H132" s="44">
        <v>10</v>
      </c>
      <c r="I132" s="44">
        <v>10</v>
      </c>
      <c r="J132" s="44">
        <v>10</v>
      </c>
      <c r="K132" s="44">
        <v>10</v>
      </c>
      <c r="L132" s="44">
        <v>10</v>
      </c>
      <c r="M132" s="44">
        <v>10</v>
      </c>
      <c r="N132" s="44">
        <v>10</v>
      </c>
      <c r="O132" s="44">
        <v>10</v>
      </c>
      <c r="P132" s="44">
        <v>10</v>
      </c>
      <c r="Q132" s="44">
        <v>10</v>
      </c>
      <c r="R132" s="44">
        <f t="shared" si="9"/>
        <v>120</v>
      </c>
      <c r="S132" s="60">
        <f t="shared" si="5"/>
        <v>120</v>
      </c>
      <c r="U132" s="60">
        <f t="shared" si="7"/>
        <v>120</v>
      </c>
      <c r="V132" s="20" t="s">
        <v>930</v>
      </c>
    </row>
    <row r="133" spans="1:26" ht="15.75" customHeight="1" x14ac:dyDescent="0.3">
      <c r="A133" s="44"/>
      <c r="B133" s="47" t="s">
        <v>662</v>
      </c>
      <c r="C133" s="14" t="s">
        <v>665</v>
      </c>
      <c r="D133" s="153" t="s">
        <v>882</v>
      </c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>
        <f t="shared" si="9"/>
        <v>0</v>
      </c>
      <c r="S133" s="53">
        <f t="shared" si="5"/>
        <v>0</v>
      </c>
      <c r="U133" s="20">
        <f t="shared" si="7"/>
        <v>0</v>
      </c>
      <c r="W133" s="20" t="s">
        <v>15</v>
      </c>
    </row>
    <row r="134" spans="1:26" ht="15.75" customHeight="1" x14ac:dyDescent="0.3">
      <c r="A134" s="44"/>
      <c r="B134" s="47" t="s">
        <v>496</v>
      </c>
      <c r="C134" s="14" t="s">
        <v>883</v>
      </c>
      <c r="D134" s="153" t="s">
        <v>884</v>
      </c>
      <c r="E134" s="44"/>
      <c r="F134" s="44">
        <v>10</v>
      </c>
      <c r="G134" s="44">
        <v>10</v>
      </c>
      <c r="H134" s="44">
        <v>10</v>
      </c>
      <c r="I134" s="44">
        <v>10</v>
      </c>
      <c r="J134" s="44">
        <v>10</v>
      </c>
      <c r="K134" s="44">
        <v>10</v>
      </c>
      <c r="L134" s="44">
        <v>10</v>
      </c>
      <c r="M134" s="44">
        <v>10</v>
      </c>
      <c r="N134" s="44">
        <v>10</v>
      </c>
      <c r="O134" s="44">
        <v>10</v>
      </c>
      <c r="P134" s="44">
        <v>10</v>
      </c>
      <c r="Q134" s="44">
        <v>10</v>
      </c>
      <c r="R134" s="44">
        <f t="shared" si="9"/>
        <v>120</v>
      </c>
      <c r="S134" s="53">
        <f t="shared" si="5"/>
        <v>120</v>
      </c>
      <c r="U134" s="20">
        <f t="shared" si="7"/>
        <v>120</v>
      </c>
      <c r="V134" s="20" t="s">
        <v>787</v>
      </c>
    </row>
    <row r="135" spans="1:26" ht="15.75" customHeight="1" x14ac:dyDescent="0.3">
      <c r="A135" s="44"/>
      <c r="B135" s="47" t="s">
        <v>13</v>
      </c>
      <c r="C135" s="44" t="s">
        <v>886</v>
      </c>
      <c r="D135" s="153" t="s">
        <v>887</v>
      </c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>
        <f t="shared" si="9"/>
        <v>0</v>
      </c>
      <c r="S135" s="53">
        <f t="shared" si="5"/>
        <v>0</v>
      </c>
      <c r="U135" s="20">
        <f t="shared" si="7"/>
        <v>0</v>
      </c>
    </row>
    <row r="136" spans="1:26" ht="15.75" customHeight="1" x14ac:dyDescent="0.3">
      <c r="A136" s="44"/>
      <c r="B136" s="47" t="s">
        <v>93</v>
      </c>
      <c r="C136" s="44" t="s">
        <v>95</v>
      </c>
      <c r="D136" s="153" t="s">
        <v>931</v>
      </c>
      <c r="E136" s="44"/>
      <c r="F136" s="44">
        <v>10</v>
      </c>
      <c r="G136" s="44">
        <v>10</v>
      </c>
      <c r="H136" s="44">
        <v>10</v>
      </c>
      <c r="I136" s="44">
        <v>10</v>
      </c>
      <c r="J136" s="44">
        <v>10</v>
      </c>
      <c r="K136" s="44">
        <v>10</v>
      </c>
      <c r="L136" s="44">
        <v>10</v>
      </c>
      <c r="M136" s="44">
        <v>10</v>
      </c>
      <c r="N136" s="44">
        <v>10</v>
      </c>
      <c r="O136" s="44">
        <v>10</v>
      </c>
      <c r="P136" s="44">
        <v>10</v>
      </c>
      <c r="Q136" s="44">
        <v>10</v>
      </c>
      <c r="R136" s="44">
        <f t="shared" si="9"/>
        <v>120</v>
      </c>
      <c r="S136" s="60">
        <f t="shared" si="5"/>
        <v>120</v>
      </c>
      <c r="U136" s="60">
        <f t="shared" si="7"/>
        <v>120</v>
      </c>
      <c r="V136" s="20" t="s">
        <v>932</v>
      </c>
    </row>
    <row r="137" spans="1:26" ht="15.75" customHeight="1" x14ac:dyDescent="0.3">
      <c r="A137" s="44"/>
      <c r="B137" s="47" t="s">
        <v>409</v>
      </c>
      <c r="C137" s="3" t="s">
        <v>412</v>
      </c>
      <c r="D137" s="153" t="s">
        <v>888</v>
      </c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>
        <f t="shared" si="9"/>
        <v>0</v>
      </c>
      <c r="S137" s="53">
        <f t="shared" si="5"/>
        <v>0</v>
      </c>
      <c r="U137" s="20">
        <f t="shared" si="7"/>
        <v>0</v>
      </c>
    </row>
    <row r="138" spans="1:26" ht="15.75" customHeight="1" x14ac:dyDescent="0.3">
      <c r="A138" s="44"/>
      <c r="B138" s="47" t="s">
        <v>602</v>
      </c>
      <c r="C138" s="3" t="s">
        <v>933</v>
      </c>
      <c r="D138" s="153" t="s">
        <v>736</v>
      </c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>
        <f t="shared" si="9"/>
        <v>0</v>
      </c>
      <c r="S138" s="53">
        <f t="shared" si="5"/>
        <v>0</v>
      </c>
      <c r="T138" s="53">
        <f>R138+E138</f>
        <v>0</v>
      </c>
      <c r="U138" s="53">
        <f t="shared" si="7"/>
        <v>0</v>
      </c>
      <c r="V138" s="53"/>
      <c r="W138" s="53"/>
      <c r="X138" s="53"/>
      <c r="Y138" s="53"/>
      <c r="Z138" s="53"/>
    </row>
    <row r="139" spans="1:26" ht="15.75" customHeight="1" x14ac:dyDescent="0.3">
      <c r="A139" s="44"/>
      <c r="B139" s="47" t="s">
        <v>890</v>
      </c>
      <c r="C139" s="3" t="s">
        <v>891</v>
      </c>
      <c r="D139" s="153" t="s">
        <v>892</v>
      </c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>
        <f t="shared" si="9"/>
        <v>0</v>
      </c>
      <c r="S139" s="53">
        <f t="shared" si="5"/>
        <v>0</v>
      </c>
      <c r="T139" s="53"/>
      <c r="U139" s="53">
        <f t="shared" si="7"/>
        <v>0</v>
      </c>
      <c r="V139" s="53"/>
      <c r="W139" s="53"/>
      <c r="X139" s="53"/>
      <c r="Y139" s="53"/>
      <c r="Z139" s="53"/>
    </row>
    <row r="140" spans="1:26" ht="15.75" customHeight="1" x14ac:dyDescent="0.3">
      <c r="A140" s="44"/>
      <c r="B140" s="47" t="s">
        <v>893</v>
      </c>
      <c r="C140" s="3" t="s">
        <v>894</v>
      </c>
      <c r="D140" s="153" t="s">
        <v>895</v>
      </c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>
        <f t="shared" si="9"/>
        <v>0</v>
      </c>
      <c r="S140" s="53">
        <f t="shared" si="5"/>
        <v>0</v>
      </c>
      <c r="T140" s="53"/>
      <c r="U140" s="53"/>
      <c r="V140" s="53"/>
      <c r="W140" s="53"/>
      <c r="X140" s="53"/>
      <c r="Y140" s="53"/>
      <c r="Z140" s="53"/>
    </row>
    <row r="141" spans="1:26" ht="15.75" customHeight="1" x14ac:dyDescent="0.3">
      <c r="A141" s="44"/>
      <c r="B141" s="47"/>
      <c r="C141" s="14"/>
      <c r="D141" s="153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>
        <f t="shared" si="9"/>
        <v>0</v>
      </c>
      <c r="S141" s="53">
        <f t="shared" si="5"/>
        <v>0</v>
      </c>
    </row>
    <row r="142" spans="1:26" ht="15.75" customHeight="1" x14ac:dyDescent="0.3">
      <c r="A142" s="53"/>
      <c r="B142" s="39"/>
      <c r="C142" s="62"/>
      <c r="D142" s="152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</row>
    <row r="143" spans="1:26" ht="15.75" customHeight="1" x14ac:dyDescent="0.3">
      <c r="B143" s="39"/>
      <c r="D143" s="152" t="s">
        <v>896</v>
      </c>
      <c r="E143" s="20">
        <f t="shared" ref="E143:U143" si="10">SUM(E7:E141)</f>
        <v>20</v>
      </c>
      <c r="F143" s="20">
        <f t="shared" si="10"/>
        <v>630</v>
      </c>
      <c r="G143" s="20">
        <f t="shared" si="10"/>
        <v>630</v>
      </c>
      <c r="H143" s="20">
        <f t="shared" si="10"/>
        <v>630</v>
      </c>
      <c r="I143" s="20">
        <f t="shared" si="10"/>
        <v>630</v>
      </c>
      <c r="J143" s="20">
        <f t="shared" si="10"/>
        <v>630</v>
      </c>
      <c r="K143" s="20">
        <f t="shared" si="10"/>
        <v>620</v>
      </c>
      <c r="L143" s="20">
        <f t="shared" si="10"/>
        <v>610</v>
      </c>
      <c r="M143" s="20">
        <f t="shared" si="10"/>
        <v>610</v>
      </c>
      <c r="N143" s="20">
        <f t="shared" si="10"/>
        <v>610</v>
      </c>
      <c r="O143" s="20">
        <f t="shared" si="10"/>
        <v>600</v>
      </c>
      <c r="P143" s="20">
        <f t="shared" si="10"/>
        <v>590</v>
      </c>
      <c r="Q143" s="20">
        <f t="shared" si="10"/>
        <v>590</v>
      </c>
      <c r="R143" s="20">
        <f t="shared" si="10"/>
        <v>7380</v>
      </c>
      <c r="S143" s="20">
        <f t="shared" si="10"/>
        <v>7140</v>
      </c>
      <c r="T143" s="20">
        <f t="shared" si="10"/>
        <v>300</v>
      </c>
      <c r="U143" s="20">
        <f t="shared" si="10"/>
        <v>6860</v>
      </c>
    </row>
    <row r="144" spans="1:26" ht="15.75" customHeight="1" x14ac:dyDescent="0.3">
      <c r="B144" s="39"/>
      <c r="D144" s="152"/>
      <c r="E144" s="20">
        <f>E143/20</f>
        <v>1</v>
      </c>
    </row>
    <row r="145" spans="2:19" ht="15.75" customHeight="1" x14ac:dyDescent="0.3">
      <c r="B145" s="39"/>
      <c r="D145" s="152"/>
    </row>
    <row r="146" spans="2:19" ht="15.75" customHeight="1" x14ac:dyDescent="0.3">
      <c r="B146" s="39"/>
      <c r="D146" s="152"/>
      <c r="S146" s="20">
        <f>S143-110</f>
        <v>7030</v>
      </c>
    </row>
    <row r="147" spans="2:19" ht="15.75" customHeight="1" x14ac:dyDescent="0.3">
      <c r="B147" s="39"/>
      <c r="D147" s="152"/>
      <c r="S147" s="20">
        <f>S146/120</f>
        <v>58.583333333333336</v>
      </c>
    </row>
    <row r="148" spans="2:19" ht="15.75" customHeight="1" x14ac:dyDescent="0.3">
      <c r="B148" s="39"/>
      <c r="D148" s="152"/>
    </row>
    <row r="149" spans="2:19" ht="15.75" customHeight="1" x14ac:dyDescent="0.3">
      <c r="B149" s="39"/>
      <c r="D149" s="152"/>
    </row>
    <row r="150" spans="2:19" ht="15.75" customHeight="1" x14ac:dyDescent="0.3">
      <c r="B150" s="39"/>
      <c r="D150" s="152"/>
    </row>
    <row r="151" spans="2:19" ht="15.75" customHeight="1" x14ac:dyDescent="0.3">
      <c r="B151" s="39"/>
      <c r="D151" s="152"/>
    </row>
    <row r="152" spans="2:19" ht="15.75" customHeight="1" x14ac:dyDescent="0.3">
      <c r="B152" s="39"/>
      <c r="D152" s="152"/>
    </row>
    <row r="153" spans="2:19" ht="15.75" customHeight="1" x14ac:dyDescent="0.3">
      <c r="B153" s="39"/>
      <c r="D153" s="152"/>
    </row>
    <row r="154" spans="2:19" ht="15.75" customHeight="1" x14ac:dyDescent="0.3">
      <c r="B154" s="39"/>
      <c r="D154" s="152"/>
    </row>
    <row r="155" spans="2:19" ht="15.75" customHeight="1" x14ac:dyDescent="0.3">
      <c r="B155" s="39"/>
      <c r="D155" s="152"/>
    </row>
    <row r="156" spans="2:19" ht="15.75" customHeight="1" x14ac:dyDescent="0.3">
      <c r="B156" s="39"/>
      <c r="D156" s="152"/>
    </row>
    <row r="157" spans="2:19" ht="15.75" customHeight="1" x14ac:dyDescent="0.3">
      <c r="B157" s="39"/>
      <c r="D157" s="152"/>
    </row>
    <row r="158" spans="2:19" ht="15.75" customHeight="1" x14ac:dyDescent="0.3">
      <c r="B158" s="39"/>
      <c r="D158" s="152"/>
    </row>
    <row r="159" spans="2:19" ht="15.75" customHeight="1" x14ac:dyDescent="0.3">
      <c r="B159" s="39"/>
      <c r="D159" s="152"/>
    </row>
    <row r="160" spans="2:19" ht="15.75" customHeight="1" x14ac:dyDescent="0.3">
      <c r="B160" s="39"/>
      <c r="D160" s="152"/>
    </row>
    <row r="161" spans="2:4" ht="15.75" customHeight="1" x14ac:dyDescent="0.3">
      <c r="B161" s="39"/>
      <c r="D161" s="152"/>
    </row>
    <row r="162" spans="2:4" ht="15.75" customHeight="1" x14ac:dyDescent="0.3">
      <c r="B162" s="39"/>
      <c r="D162" s="152"/>
    </row>
    <row r="163" spans="2:4" ht="15.75" customHeight="1" x14ac:dyDescent="0.3">
      <c r="B163" s="39"/>
      <c r="D163" s="152"/>
    </row>
    <row r="164" spans="2:4" ht="15.75" customHeight="1" x14ac:dyDescent="0.3">
      <c r="B164" s="39"/>
      <c r="D164" s="152"/>
    </row>
    <row r="165" spans="2:4" ht="15.75" customHeight="1" x14ac:dyDescent="0.3">
      <c r="B165" s="39"/>
      <c r="D165" s="152"/>
    </row>
    <row r="166" spans="2:4" ht="15.75" customHeight="1" x14ac:dyDescent="0.3">
      <c r="B166" s="39"/>
      <c r="D166" s="152"/>
    </row>
    <row r="167" spans="2:4" ht="15.75" customHeight="1" x14ac:dyDescent="0.3">
      <c r="B167" s="39"/>
      <c r="D167" s="152"/>
    </row>
    <row r="168" spans="2:4" ht="15.75" customHeight="1" x14ac:dyDescent="0.3">
      <c r="B168" s="39"/>
      <c r="D168" s="152"/>
    </row>
    <row r="169" spans="2:4" ht="15.75" customHeight="1" x14ac:dyDescent="0.3">
      <c r="B169" s="39"/>
      <c r="D169" s="152"/>
    </row>
    <row r="170" spans="2:4" ht="15.75" customHeight="1" x14ac:dyDescent="0.3">
      <c r="B170" s="39"/>
      <c r="D170" s="152"/>
    </row>
    <row r="171" spans="2:4" ht="15.75" customHeight="1" x14ac:dyDescent="0.3">
      <c r="B171" s="39"/>
      <c r="D171" s="152"/>
    </row>
    <row r="172" spans="2:4" ht="15.75" customHeight="1" x14ac:dyDescent="0.3">
      <c r="B172" s="39"/>
      <c r="D172" s="152"/>
    </row>
    <row r="173" spans="2:4" ht="15.75" customHeight="1" x14ac:dyDescent="0.3">
      <c r="B173" s="39"/>
      <c r="D173" s="152"/>
    </row>
    <row r="174" spans="2:4" ht="15.75" customHeight="1" x14ac:dyDescent="0.3">
      <c r="B174" s="39"/>
      <c r="D174" s="152"/>
    </row>
    <row r="175" spans="2:4" ht="15.75" customHeight="1" x14ac:dyDescent="0.3">
      <c r="B175" s="39"/>
      <c r="D175" s="152"/>
    </row>
    <row r="176" spans="2:4" ht="15.75" customHeight="1" x14ac:dyDescent="0.3">
      <c r="B176" s="39"/>
      <c r="D176" s="152"/>
    </row>
    <row r="177" spans="2:4" ht="15.75" customHeight="1" x14ac:dyDescent="0.3">
      <c r="B177" s="39"/>
      <c r="D177" s="152"/>
    </row>
    <row r="178" spans="2:4" ht="15.75" customHeight="1" x14ac:dyDescent="0.3">
      <c r="B178" s="39"/>
      <c r="D178" s="152"/>
    </row>
    <row r="179" spans="2:4" ht="15.75" customHeight="1" x14ac:dyDescent="0.3">
      <c r="B179" s="39"/>
      <c r="D179" s="152"/>
    </row>
    <row r="180" spans="2:4" ht="15.75" customHeight="1" x14ac:dyDescent="0.3">
      <c r="B180" s="39"/>
      <c r="D180" s="152"/>
    </row>
    <row r="181" spans="2:4" ht="15.75" customHeight="1" x14ac:dyDescent="0.3">
      <c r="B181" s="39"/>
      <c r="D181" s="152"/>
    </row>
    <row r="182" spans="2:4" ht="15.75" customHeight="1" x14ac:dyDescent="0.3">
      <c r="B182" s="39"/>
      <c r="D182" s="152"/>
    </row>
    <row r="183" spans="2:4" ht="15.75" customHeight="1" x14ac:dyDescent="0.3">
      <c r="B183" s="39"/>
      <c r="D183" s="152"/>
    </row>
    <row r="184" spans="2:4" ht="15.75" customHeight="1" x14ac:dyDescent="0.3">
      <c r="B184" s="39"/>
      <c r="D184" s="152"/>
    </row>
    <row r="185" spans="2:4" ht="15.75" customHeight="1" x14ac:dyDescent="0.3">
      <c r="B185" s="39"/>
      <c r="D185" s="152"/>
    </row>
    <row r="186" spans="2:4" ht="15.75" customHeight="1" x14ac:dyDescent="0.3">
      <c r="B186" s="39"/>
      <c r="D186" s="152"/>
    </row>
    <row r="187" spans="2:4" ht="15.75" customHeight="1" x14ac:dyDescent="0.3">
      <c r="B187" s="39"/>
      <c r="D187" s="152"/>
    </row>
    <row r="188" spans="2:4" ht="15.75" customHeight="1" x14ac:dyDescent="0.3">
      <c r="B188" s="39"/>
      <c r="D188" s="152"/>
    </row>
    <row r="189" spans="2:4" ht="15.75" customHeight="1" x14ac:dyDescent="0.3">
      <c r="B189" s="39"/>
      <c r="D189" s="152"/>
    </row>
    <row r="190" spans="2:4" ht="15.75" customHeight="1" x14ac:dyDescent="0.3">
      <c r="B190" s="39"/>
      <c r="D190" s="152"/>
    </row>
    <row r="191" spans="2:4" ht="15.75" customHeight="1" x14ac:dyDescent="0.3">
      <c r="B191" s="39"/>
      <c r="D191" s="152"/>
    </row>
    <row r="192" spans="2:4" ht="15.75" customHeight="1" x14ac:dyDescent="0.3">
      <c r="B192" s="39"/>
      <c r="D192" s="152"/>
    </row>
    <row r="193" spans="2:4" ht="15.75" customHeight="1" x14ac:dyDescent="0.3">
      <c r="B193" s="39"/>
      <c r="D193" s="152"/>
    </row>
    <row r="194" spans="2:4" ht="15.75" customHeight="1" x14ac:dyDescent="0.3">
      <c r="B194" s="39"/>
      <c r="D194" s="152"/>
    </row>
    <row r="195" spans="2:4" ht="15.75" customHeight="1" x14ac:dyDescent="0.3">
      <c r="B195" s="39"/>
      <c r="D195" s="152"/>
    </row>
    <row r="196" spans="2:4" ht="15.75" customHeight="1" x14ac:dyDescent="0.3">
      <c r="B196" s="39"/>
      <c r="D196" s="152"/>
    </row>
    <row r="197" spans="2:4" ht="15.75" customHeight="1" x14ac:dyDescent="0.3">
      <c r="B197" s="39"/>
      <c r="D197" s="152"/>
    </row>
    <row r="198" spans="2:4" ht="15.75" customHeight="1" x14ac:dyDescent="0.3">
      <c r="B198" s="39"/>
      <c r="D198" s="152"/>
    </row>
    <row r="199" spans="2:4" ht="15.75" customHeight="1" x14ac:dyDescent="0.3">
      <c r="B199" s="39"/>
      <c r="D199" s="152"/>
    </row>
    <row r="200" spans="2:4" ht="15.75" customHeight="1" x14ac:dyDescent="0.3">
      <c r="B200" s="39"/>
      <c r="D200" s="152"/>
    </row>
    <row r="201" spans="2:4" ht="15.75" customHeight="1" x14ac:dyDescent="0.3">
      <c r="B201" s="39"/>
      <c r="D201" s="152"/>
    </row>
    <row r="202" spans="2:4" ht="15.75" customHeight="1" x14ac:dyDescent="0.3">
      <c r="B202" s="39"/>
      <c r="D202" s="152"/>
    </row>
    <row r="203" spans="2:4" ht="15.75" customHeight="1" x14ac:dyDescent="0.3">
      <c r="B203" s="39"/>
      <c r="D203" s="152"/>
    </row>
    <row r="204" spans="2:4" ht="15.75" customHeight="1" x14ac:dyDescent="0.3">
      <c r="B204" s="39"/>
      <c r="D204" s="152"/>
    </row>
    <row r="205" spans="2:4" ht="15.75" customHeight="1" x14ac:dyDescent="0.3">
      <c r="B205" s="39"/>
      <c r="D205" s="152"/>
    </row>
    <row r="206" spans="2:4" ht="15.75" customHeight="1" x14ac:dyDescent="0.3">
      <c r="B206" s="39"/>
      <c r="D206" s="152"/>
    </row>
    <row r="207" spans="2:4" ht="15.75" customHeight="1" x14ac:dyDescent="0.3">
      <c r="B207" s="39"/>
      <c r="D207" s="152"/>
    </row>
    <row r="208" spans="2:4" ht="15.75" customHeight="1" x14ac:dyDescent="0.3">
      <c r="B208" s="39"/>
      <c r="D208" s="152"/>
    </row>
    <row r="209" spans="2:4" ht="15.75" customHeight="1" x14ac:dyDescent="0.3">
      <c r="B209" s="39"/>
      <c r="D209" s="152"/>
    </row>
    <row r="210" spans="2:4" ht="15.75" customHeight="1" x14ac:dyDescent="0.3">
      <c r="B210" s="39"/>
      <c r="D210" s="152"/>
    </row>
    <row r="211" spans="2:4" ht="15.75" customHeight="1" x14ac:dyDescent="0.3">
      <c r="B211" s="39"/>
      <c r="D211" s="152"/>
    </row>
    <row r="212" spans="2:4" ht="15.75" customHeight="1" x14ac:dyDescent="0.3">
      <c r="B212" s="39"/>
      <c r="D212" s="152"/>
    </row>
    <row r="213" spans="2:4" ht="15.75" customHeight="1" x14ac:dyDescent="0.3">
      <c r="B213" s="39"/>
      <c r="D213" s="152"/>
    </row>
    <row r="214" spans="2:4" ht="15.75" customHeight="1" x14ac:dyDescent="0.3">
      <c r="B214" s="39"/>
      <c r="D214" s="152"/>
    </row>
    <row r="215" spans="2:4" ht="15.75" customHeight="1" x14ac:dyDescent="0.3">
      <c r="B215" s="39"/>
      <c r="D215" s="152"/>
    </row>
    <row r="216" spans="2:4" ht="15.75" customHeight="1" x14ac:dyDescent="0.3">
      <c r="B216" s="39"/>
      <c r="D216" s="152"/>
    </row>
    <row r="217" spans="2:4" ht="15.75" customHeight="1" x14ac:dyDescent="0.3">
      <c r="B217" s="39"/>
      <c r="D217" s="152"/>
    </row>
    <row r="218" spans="2:4" ht="15.75" customHeight="1" x14ac:dyDescent="0.3">
      <c r="B218" s="39"/>
      <c r="D218" s="152"/>
    </row>
    <row r="219" spans="2:4" ht="15.75" customHeight="1" x14ac:dyDescent="0.3">
      <c r="B219" s="39"/>
      <c r="D219" s="152"/>
    </row>
    <row r="220" spans="2:4" ht="15.75" customHeight="1" x14ac:dyDescent="0.3">
      <c r="B220" s="39"/>
      <c r="D220" s="152"/>
    </row>
    <row r="221" spans="2:4" ht="15.75" customHeight="1" x14ac:dyDescent="0.3">
      <c r="B221" s="39"/>
      <c r="D221" s="152"/>
    </row>
    <row r="222" spans="2:4" ht="15.75" customHeight="1" x14ac:dyDescent="0.3">
      <c r="B222" s="39"/>
      <c r="D222" s="152"/>
    </row>
    <row r="223" spans="2:4" ht="15.75" customHeight="1" x14ac:dyDescent="0.3">
      <c r="B223" s="39"/>
      <c r="D223" s="152"/>
    </row>
    <row r="224" spans="2:4" ht="15.75" customHeight="1" x14ac:dyDescent="0.3">
      <c r="B224" s="39"/>
      <c r="D224" s="152"/>
    </row>
    <row r="225" spans="2:4" ht="15.75" customHeight="1" x14ac:dyDescent="0.3">
      <c r="B225" s="39"/>
      <c r="D225" s="152"/>
    </row>
    <row r="226" spans="2:4" ht="15.75" customHeight="1" x14ac:dyDescent="0.3">
      <c r="B226" s="39"/>
      <c r="D226" s="152"/>
    </row>
    <row r="227" spans="2:4" ht="15.75" customHeight="1" x14ac:dyDescent="0.3">
      <c r="B227" s="39"/>
      <c r="D227" s="152"/>
    </row>
    <row r="228" spans="2:4" ht="15.75" customHeight="1" x14ac:dyDescent="0.3">
      <c r="B228" s="39"/>
      <c r="D228" s="152"/>
    </row>
    <row r="229" spans="2:4" ht="15.75" customHeight="1" x14ac:dyDescent="0.3">
      <c r="B229" s="39"/>
      <c r="D229" s="152"/>
    </row>
    <row r="230" spans="2:4" ht="15.75" customHeight="1" x14ac:dyDescent="0.3">
      <c r="B230" s="39"/>
      <c r="D230" s="152"/>
    </row>
    <row r="231" spans="2:4" ht="15.75" customHeight="1" x14ac:dyDescent="0.3">
      <c r="B231" s="39"/>
      <c r="D231" s="152"/>
    </row>
    <row r="232" spans="2:4" ht="15.75" customHeight="1" x14ac:dyDescent="0.3">
      <c r="B232" s="39"/>
      <c r="D232" s="152"/>
    </row>
    <row r="233" spans="2:4" ht="15.75" customHeight="1" x14ac:dyDescent="0.3">
      <c r="B233" s="39"/>
      <c r="D233" s="152"/>
    </row>
    <row r="234" spans="2:4" ht="15.75" customHeight="1" x14ac:dyDescent="0.3">
      <c r="B234" s="39"/>
      <c r="D234" s="152"/>
    </row>
    <row r="235" spans="2:4" ht="15.75" customHeight="1" x14ac:dyDescent="0.3">
      <c r="B235" s="39"/>
      <c r="D235" s="152"/>
    </row>
    <row r="236" spans="2:4" ht="15.75" customHeight="1" x14ac:dyDescent="0.3">
      <c r="B236" s="39"/>
      <c r="D236" s="152"/>
    </row>
    <row r="237" spans="2:4" ht="15.75" customHeight="1" x14ac:dyDescent="0.3">
      <c r="B237" s="39"/>
      <c r="D237" s="152"/>
    </row>
    <row r="238" spans="2:4" ht="15.75" customHeight="1" x14ac:dyDescent="0.3">
      <c r="B238" s="39"/>
      <c r="D238" s="152"/>
    </row>
    <row r="239" spans="2:4" ht="15.75" customHeight="1" x14ac:dyDescent="0.3">
      <c r="B239" s="39"/>
      <c r="D239" s="152"/>
    </row>
    <row r="240" spans="2:4" ht="15.75" customHeight="1" x14ac:dyDescent="0.3">
      <c r="B240" s="39"/>
      <c r="D240" s="152"/>
    </row>
    <row r="241" spans="2:4" ht="15.75" customHeight="1" x14ac:dyDescent="0.3">
      <c r="B241" s="39"/>
      <c r="D241" s="152"/>
    </row>
    <row r="242" spans="2:4" ht="15.75" customHeight="1" x14ac:dyDescent="0.3">
      <c r="B242" s="39"/>
      <c r="D242" s="152"/>
    </row>
    <row r="243" spans="2:4" ht="15.75" customHeight="1" x14ac:dyDescent="0.3">
      <c r="B243" s="39"/>
      <c r="D243" s="152"/>
    </row>
    <row r="244" spans="2:4" ht="15.75" customHeight="1" x14ac:dyDescent="0.3">
      <c r="B244" s="39"/>
      <c r="D244" s="152"/>
    </row>
    <row r="245" spans="2:4" ht="15.75" customHeight="1" x14ac:dyDescent="0.3">
      <c r="B245" s="39"/>
      <c r="D245" s="152"/>
    </row>
    <row r="246" spans="2:4" ht="15.75" customHeight="1" x14ac:dyDescent="0.3">
      <c r="B246" s="39"/>
      <c r="D246" s="152"/>
    </row>
    <row r="247" spans="2:4" ht="15.75" customHeight="1" x14ac:dyDescent="0.3">
      <c r="B247" s="39"/>
      <c r="D247" s="152"/>
    </row>
    <row r="248" spans="2:4" ht="15.75" customHeight="1" x14ac:dyDescent="0.3">
      <c r="B248" s="39"/>
      <c r="D248" s="152"/>
    </row>
    <row r="249" spans="2:4" ht="15.75" customHeight="1" x14ac:dyDescent="0.3">
      <c r="B249" s="39"/>
      <c r="D249" s="152"/>
    </row>
    <row r="250" spans="2:4" ht="15.75" customHeight="1" x14ac:dyDescent="0.3">
      <c r="B250" s="39"/>
      <c r="D250" s="152"/>
    </row>
    <row r="251" spans="2:4" ht="15.75" customHeight="1" x14ac:dyDescent="0.3">
      <c r="B251" s="39"/>
      <c r="D251" s="152"/>
    </row>
    <row r="252" spans="2:4" ht="15.75" customHeight="1" x14ac:dyDescent="0.3">
      <c r="B252" s="39"/>
      <c r="D252" s="152"/>
    </row>
    <row r="253" spans="2:4" ht="15.75" customHeight="1" x14ac:dyDescent="0.3">
      <c r="B253" s="39"/>
      <c r="D253" s="152"/>
    </row>
    <row r="254" spans="2:4" ht="15.75" customHeight="1" x14ac:dyDescent="0.3">
      <c r="B254" s="39"/>
      <c r="D254" s="152"/>
    </row>
    <row r="255" spans="2:4" ht="15.75" customHeight="1" x14ac:dyDescent="0.3">
      <c r="B255" s="39"/>
      <c r="D255" s="152"/>
    </row>
    <row r="256" spans="2:4" ht="15.75" customHeight="1" x14ac:dyDescent="0.3">
      <c r="B256" s="39"/>
      <c r="D256" s="152"/>
    </row>
    <row r="257" spans="2:4" ht="15.75" customHeight="1" x14ac:dyDescent="0.3">
      <c r="B257" s="39"/>
      <c r="D257" s="152"/>
    </row>
    <row r="258" spans="2:4" ht="15.75" customHeight="1" x14ac:dyDescent="0.3">
      <c r="B258" s="39"/>
      <c r="D258" s="152"/>
    </row>
    <row r="259" spans="2:4" ht="15.75" customHeight="1" x14ac:dyDescent="0.3">
      <c r="B259" s="39"/>
      <c r="D259" s="152"/>
    </row>
    <row r="260" spans="2:4" ht="15.75" customHeight="1" x14ac:dyDescent="0.3">
      <c r="B260" s="39"/>
      <c r="D260" s="152"/>
    </row>
    <row r="261" spans="2:4" ht="15.75" customHeight="1" x14ac:dyDescent="0.3">
      <c r="B261" s="39"/>
      <c r="D261" s="152"/>
    </row>
    <row r="262" spans="2:4" ht="15.75" customHeight="1" x14ac:dyDescent="0.3">
      <c r="B262" s="39"/>
      <c r="D262" s="152"/>
    </row>
    <row r="263" spans="2:4" ht="15.75" customHeight="1" x14ac:dyDescent="0.3">
      <c r="B263" s="39"/>
      <c r="D263" s="152"/>
    </row>
    <row r="264" spans="2:4" ht="15.75" customHeight="1" x14ac:dyDescent="0.3">
      <c r="B264" s="39"/>
      <c r="D264" s="152"/>
    </row>
    <row r="265" spans="2:4" ht="15.75" customHeight="1" x14ac:dyDescent="0.3">
      <c r="B265" s="39"/>
      <c r="D265" s="152"/>
    </row>
    <row r="266" spans="2:4" ht="15.75" customHeight="1" x14ac:dyDescent="0.3">
      <c r="B266" s="39"/>
      <c r="D266" s="152"/>
    </row>
    <row r="267" spans="2:4" ht="15.75" customHeight="1" x14ac:dyDescent="0.3">
      <c r="B267" s="39"/>
      <c r="D267" s="152"/>
    </row>
    <row r="268" spans="2:4" ht="15.75" customHeight="1" x14ac:dyDescent="0.3">
      <c r="B268" s="39"/>
      <c r="D268" s="152"/>
    </row>
    <row r="269" spans="2:4" ht="15.75" customHeight="1" x14ac:dyDescent="0.3">
      <c r="B269" s="39"/>
      <c r="D269" s="152"/>
    </row>
    <row r="270" spans="2:4" ht="15.75" customHeight="1" x14ac:dyDescent="0.3">
      <c r="B270" s="39"/>
      <c r="D270" s="152"/>
    </row>
    <row r="271" spans="2:4" ht="15.75" customHeight="1" x14ac:dyDescent="0.3">
      <c r="B271" s="39"/>
      <c r="D271" s="152"/>
    </row>
    <row r="272" spans="2:4" ht="15.75" customHeight="1" x14ac:dyDescent="0.3">
      <c r="B272" s="39"/>
      <c r="D272" s="152"/>
    </row>
    <row r="273" spans="2:4" ht="15.75" customHeight="1" x14ac:dyDescent="0.3">
      <c r="B273" s="39"/>
      <c r="D273" s="152"/>
    </row>
    <row r="274" spans="2:4" ht="15.75" customHeight="1" x14ac:dyDescent="0.3">
      <c r="B274" s="39"/>
      <c r="D274" s="152"/>
    </row>
    <row r="275" spans="2:4" ht="15.75" customHeight="1" x14ac:dyDescent="0.3">
      <c r="B275" s="39"/>
      <c r="D275" s="152"/>
    </row>
    <row r="276" spans="2:4" ht="15.75" customHeight="1" x14ac:dyDescent="0.3">
      <c r="B276" s="39"/>
      <c r="D276" s="152"/>
    </row>
    <row r="277" spans="2:4" ht="15.75" customHeight="1" x14ac:dyDescent="0.3">
      <c r="B277" s="39"/>
      <c r="D277" s="152"/>
    </row>
    <row r="278" spans="2:4" ht="15.75" customHeight="1" x14ac:dyDescent="0.3">
      <c r="B278" s="39"/>
      <c r="D278" s="152"/>
    </row>
    <row r="279" spans="2:4" ht="15.75" customHeight="1" x14ac:dyDescent="0.3">
      <c r="B279" s="39"/>
      <c r="D279" s="152"/>
    </row>
    <row r="280" spans="2:4" ht="15.75" customHeight="1" x14ac:dyDescent="0.3">
      <c r="B280" s="39"/>
      <c r="D280" s="152"/>
    </row>
    <row r="281" spans="2:4" ht="15.75" customHeight="1" x14ac:dyDescent="0.3">
      <c r="B281" s="39"/>
      <c r="D281" s="152"/>
    </row>
    <row r="282" spans="2:4" ht="15.75" customHeight="1" x14ac:dyDescent="0.3">
      <c r="B282" s="39"/>
      <c r="D282" s="152"/>
    </row>
    <row r="283" spans="2:4" ht="15.75" customHeight="1" x14ac:dyDescent="0.3">
      <c r="B283" s="39"/>
      <c r="D283" s="152"/>
    </row>
    <row r="284" spans="2:4" ht="15.75" customHeight="1" x14ac:dyDescent="0.3">
      <c r="B284" s="39"/>
      <c r="D284" s="152"/>
    </row>
    <row r="285" spans="2:4" ht="15.75" customHeight="1" x14ac:dyDescent="0.3">
      <c r="B285" s="39"/>
      <c r="D285" s="152"/>
    </row>
    <row r="286" spans="2:4" ht="15.75" customHeight="1" x14ac:dyDescent="0.3">
      <c r="B286" s="39"/>
      <c r="D286" s="152"/>
    </row>
    <row r="287" spans="2:4" ht="15.75" customHeight="1" x14ac:dyDescent="0.3">
      <c r="B287" s="39"/>
      <c r="D287" s="152"/>
    </row>
    <row r="288" spans="2:4" ht="15.75" customHeight="1" x14ac:dyDescent="0.3">
      <c r="B288" s="39"/>
      <c r="D288" s="152"/>
    </row>
    <row r="289" spans="2:4" ht="15.75" customHeight="1" x14ac:dyDescent="0.3">
      <c r="B289" s="39"/>
      <c r="D289" s="152"/>
    </row>
    <row r="290" spans="2:4" ht="15.75" customHeight="1" x14ac:dyDescent="0.3">
      <c r="B290" s="39"/>
      <c r="D290" s="152"/>
    </row>
    <row r="291" spans="2:4" ht="15.75" customHeight="1" x14ac:dyDescent="0.3">
      <c r="B291" s="39"/>
      <c r="D291" s="152"/>
    </row>
    <row r="292" spans="2:4" ht="15.75" customHeight="1" x14ac:dyDescent="0.3">
      <c r="B292" s="39"/>
      <c r="D292" s="152"/>
    </row>
    <row r="293" spans="2:4" ht="15.75" customHeight="1" x14ac:dyDescent="0.3">
      <c r="B293" s="39"/>
      <c r="D293" s="152"/>
    </row>
    <row r="294" spans="2:4" ht="15.75" customHeight="1" x14ac:dyDescent="0.3">
      <c r="B294" s="39"/>
      <c r="D294" s="152"/>
    </row>
    <row r="295" spans="2:4" ht="15.75" customHeight="1" x14ac:dyDescent="0.3">
      <c r="B295" s="39"/>
      <c r="D295" s="152"/>
    </row>
    <row r="296" spans="2:4" ht="15.75" customHeight="1" x14ac:dyDescent="0.3">
      <c r="B296" s="39"/>
      <c r="D296" s="152"/>
    </row>
    <row r="297" spans="2:4" ht="15.75" customHeight="1" x14ac:dyDescent="0.3">
      <c r="B297" s="39"/>
      <c r="D297" s="152"/>
    </row>
    <row r="298" spans="2:4" ht="15.75" customHeight="1" x14ac:dyDescent="0.3">
      <c r="B298" s="39"/>
      <c r="D298" s="152"/>
    </row>
    <row r="299" spans="2:4" ht="15.75" customHeight="1" x14ac:dyDescent="0.3">
      <c r="B299" s="39"/>
      <c r="D299" s="152"/>
    </row>
    <row r="300" spans="2:4" ht="15.75" customHeight="1" x14ac:dyDescent="0.3">
      <c r="B300" s="39"/>
      <c r="D300" s="152"/>
    </row>
    <row r="301" spans="2:4" ht="15.75" customHeight="1" x14ac:dyDescent="0.3">
      <c r="B301" s="39"/>
      <c r="D301" s="152"/>
    </row>
    <row r="302" spans="2:4" ht="15.75" customHeight="1" x14ac:dyDescent="0.3">
      <c r="B302" s="39"/>
      <c r="D302" s="152"/>
    </row>
    <row r="303" spans="2:4" ht="15.75" customHeight="1" x14ac:dyDescent="0.3">
      <c r="B303" s="39"/>
      <c r="D303" s="152"/>
    </row>
    <row r="304" spans="2:4" ht="15.75" customHeight="1" x14ac:dyDescent="0.3">
      <c r="B304" s="39"/>
      <c r="D304" s="152"/>
    </row>
    <row r="305" spans="2:4" ht="15.75" customHeight="1" x14ac:dyDescent="0.3">
      <c r="B305" s="39"/>
      <c r="D305" s="152"/>
    </row>
    <row r="306" spans="2:4" ht="15.75" customHeight="1" x14ac:dyDescent="0.3">
      <c r="B306" s="39"/>
      <c r="D306" s="152"/>
    </row>
    <row r="307" spans="2:4" ht="15.75" customHeight="1" x14ac:dyDescent="0.3">
      <c r="B307" s="39"/>
      <c r="D307" s="152"/>
    </row>
    <row r="308" spans="2:4" ht="15.75" customHeight="1" x14ac:dyDescent="0.3">
      <c r="B308" s="39"/>
      <c r="D308" s="152"/>
    </row>
    <row r="309" spans="2:4" ht="15.75" customHeight="1" x14ac:dyDescent="0.3">
      <c r="B309" s="39"/>
      <c r="D309" s="152"/>
    </row>
    <row r="310" spans="2:4" ht="15.75" customHeight="1" x14ac:dyDescent="0.3">
      <c r="B310" s="39"/>
      <c r="D310" s="152"/>
    </row>
    <row r="311" spans="2:4" ht="15.75" customHeight="1" x14ac:dyDescent="0.3">
      <c r="B311" s="39"/>
      <c r="D311" s="152"/>
    </row>
    <row r="312" spans="2:4" ht="15.75" customHeight="1" x14ac:dyDescent="0.3">
      <c r="B312" s="39"/>
      <c r="D312" s="152"/>
    </row>
    <row r="313" spans="2:4" ht="15.75" customHeight="1" x14ac:dyDescent="0.3">
      <c r="B313" s="39"/>
      <c r="D313" s="152"/>
    </row>
    <row r="314" spans="2:4" ht="15.75" customHeight="1" x14ac:dyDescent="0.3">
      <c r="B314" s="39"/>
      <c r="D314" s="152"/>
    </row>
    <row r="315" spans="2:4" ht="15.75" customHeight="1" x14ac:dyDescent="0.3">
      <c r="B315" s="39"/>
      <c r="D315" s="152"/>
    </row>
    <row r="316" spans="2:4" ht="15.75" customHeight="1" x14ac:dyDescent="0.3">
      <c r="B316" s="39"/>
      <c r="D316" s="152"/>
    </row>
    <row r="317" spans="2:4" ht="15.75" customHeight="1" x14ac:dyDescent="0.3">
      <c r="B317" s="39"/>
      <c r="D317" s="152"/>
    </row>
    <row r="318" spans="2:4" ht="15.75" customHeight="1" x14ac:dyDescent="0.3">
      <c r="B318" s="39"/>
      <c r="D318" s="152"/>
    </row>
    <row r="319" spans="2:4" ht="15.75" customHeight="1" x14ac:dyDescent="0.3">
      <c r="B319" s="39"/>
      <c r="D319" s="152"/>
    </row>
    <row r="320" spans="2:4" ht="15.75" customHeight="1" x14ac:dyDescent="0.3">
      <c r="B320" s="39"/>
      <c r="D320" s="152"/>
    </row>
    <row r="321" spans="2:4" ht="15.75" customHeight="1" x14ac:dyDescent="0.3">
      <c r="B321" s="39"/>
      <c r="D321" s="152"/>
    </row>
    <row r="322" spans="2:4" ht="15.75" customHeight="1" x14ac:dyDescent="0.3">
      <c r="B322" s="39"/>
      <c r="D322" s="152"/>
    </row>
    <row r="323" spans="2:4" ht="15.75" customHeight="1" x14ac:dyDescent="0.3">
      <c r="B323" s="39"/>
      <c r="D323" s="152"/>
    </row>
    <row r="324" spans="2:4" ht="15.75" customHeight="1" x14ac:dyDescent="0.3">
      <c r="B324" s="39"/>
      <c r="D324" s="152"/>
    </row>
    <row r="325" spans="2:4" ht="15.75" customHeight="1" x14ac:dyDescent="0.3">
      <c r="B325" s="39"/>
      <c r="D325" s="152"/>
    </row>
    <row r="326" spans="2:4" ht="15.75" customHeight="1" x14ac:dyDescent="0.3">
      <c r="B326" s="39"/>
      <c r="D326" s="152"/>
    </row>
    <row r="327" spans="2:4" ht="15.75" customHeight="1" x14ac:dyDescent="0.3">
      <c r="B327" s="39"/>
      <c r="D327" s="152"/>
    </row>
    <row r="328" spans="2:4" ht="15.75" customHeight="1" x14ac:dyDescent="0.3">
      <c r="B328" s="39"/>
      <c r="D328" s="152"/>
    </row>
    <row r="329" spans="2:4" ht="15.75" customHeight="1" x14ac:dyDescent="0.3">
      <c r="B329" s="39"/>
      <c r="D329" s="152"/>
    </row>
    <row r="330" spans="2:4" ht="15.75" customHeight="1" x14ac:dyDescent="0.3">
      <c r="B330" s="39"/>
      <c r="D330" s="152"/>
    </row>
    <row r="331" spans="2:4" ht="15.75" customHeight="1" x14ac:dyDescent="0.3">
      <c r="B331" s="39"/>
      <c r="D331" s="152"/>
    </row>
    <row r="332" spans="2:4" ht="15.75" customHeight="1" x14ac:dyDescent="0.3">
      <c r="B332" s="39"/>
      <c r="D332" s="152"/>
    </row>
    <row r="333" spans="2:4" ht="15.75" customHeight="1" x14ac:dyDescent="0.3">
      <c r="B333" s="39"/>
      <c r="D333" s="152"/>
    </row>
    <row r="334" spans="2:4" ht="15.75" customHeight="1" x14ac:dyDescent="0.3">
      <c r="B334" s="39"/>
      <c r="D334" s="152"/>
    </row>
    <row r="335" spans="2:4" ht="15.75" customHeight="1" x14ac:dyDescent="0.3">
      <c r="B335" s="39"/>
      <c r="D335" s="152"/>
    </row>
    <row r="336" spans="2:4" ht="15.75" customHeight="1" x14ac:dyDescent="0.3">
      <c r="B336" s="39"/>
      <c r="D336" s="152"/>
    </row>
    <row r="337" spans="2:4" ht="15.75" customHeight="1" x14ac:dyDescent="0.3">
      <c r="B337" s="39"/>
      <c r="D337" s="152"/>
    </row>
    <row r="338" spans="2:4" ht="15.75" customHeight="1" x14ac:dyDescent="0.3">
      <c r="B338" s="39"/>
      <c r="D338" s="152"/>
    </row>
    <row r="339" spans="2:4" ht="15.75" customHeight="1" x14ac:dyDescent="0.3">
      <c r="B339" s="39"/>
      <c r="D339" s="152"/>
    </row>
    <row r="340" spans="2:4" ht="15.75" customHeight="1" x14ac:dyDescent="0.3">
      <c r="B340" s="39"/>
      <c r="D340" s="152"/>
    </row>
    <row r="341" spans="2:4" ht="15.75" customHeight="1" x14ac:dyDescent="0.3">
      <c r="B341" s="39"/>
      <c r="D341" s="152"/>
    </row>
    <row r="342" spans="2:4" ht="15.75" customHeight="1" x14ac:dyDescent="0.3">
      <c r="B342" s="39"/>
      <c r="D342" s="152"/>
    </row>
    <row r="343" spans="2:4" ht="15.75" customHeight="1" x14ac:dyDescent="0.3">
      <c r="B343" s="39"/>
      <c r="D343" s="152"/>
    </row>
    <row r="344" spans="2:4" ht="15.75" customHeight="1" x14ac:dyDescent="0.3">
      <c r="B344" s="39"/>
      <c r="D344" s="152"/>
    </row>
    <row r="345" spans="2:4" ht="15.75" customHeight="1" x14ac:dyDescent="0.3">
      <c r="B345" s="39"/>
      <c r="D345" s="152"/>
    </row>
    <row r="346" spans="2:4" ht="15.75" customHeight="1" x14ac:dyDescent="0.3">
      <c r="B346" s="39"/>
      <c r="D346" s="152"/>
    </row>
    <row r="347" spans="2:4" ht="15.75" customHeight="1" x14ac:dyDescent="0.3">
      <c r="B347" s="39"/>
      <c r="D347" s="152"/>
    </row>
    <row r="348" spans="2:4" ht="15.75" customHeight="1" x14ac:dyDescent="0.3">
      <c r="B348" s="39"/>
      <c r="D348" s="152"/>
    </row>
    <row r="349" spans="2:4" ht="15.75" customHeight="1" x14ac:dyDescent="0.3">
      <c r="B349" s="39"/>
      <c r="D349" s="152"/>
    </row>
    <row r="350" spans="2:4" ht="15.75" customHeight="1" x14ac:dyDescent="0.3">
      <c r="B350" s="39"/>
      <c r="D350" s="152"/>
    </row>
    <row r="351" spans="2:4" ht="15.75" customHeight="1" x14ac:dyDescent="0.3">
      <c r="B351" s="39"/>
      <c r="D351" s="152"/>
    </row>
    <row r="352" spans="2:4" ht="15.75" customHeight="1" x14ac:dyDescent="0.3">
      <c r="B352" s="39"/>
      <c r="D352" s="152"/>
    </row>
    <row r="353" spans="2:4" ht="15.75" customHeight="1" x14ac:dyDescent="0.3">
      <c r="B353" s="39"/>
      <c r="D353" s="152"/>
    </row>
    <row r="354" spans="2:4" ht="15.75" customHeight="1" x14ac:dyDescent="0.3">
      <c r="B354" s="39"/>
      <c r="D354" s="152"/>
    </row>
    <row r="355" spans="2:4" ht="15.75" customHeight="1" x14ac:dyDescent="0.3">
      <c r="B355" s="39"/>
      <c r="D355" s="152"/>
    </row>
    <row r="356" spans="2:4" ht="15.75" customHeight="1" x14ac:dyDescent="0.3">
      <c r="B356" s="39"/>
      <c r="D356" s="152"/>
    </row>
    <row r="357" spans="2:4" ht="15.75" customHeight="1" x14ac:dyDescent="0.3">
      <c r="B357" s="39"/>
      <c r="D357" s="152"/>
    </row>
    <row r="358" spans="2:4" ht="15.75" customHeight="1" x14ac:dyDescent="0.3">
      <c r="B358" s="39"/>
      <c r="D358" s="152"/>
    </row>
    <row r="359" spans="2:4" ht="15.75" customHeight="1" x14ac:dyDescent="0.3">
      <c r="B359" s="39"/>
      <c r="D359" s="152"/>
    </row>
    <row r="360" spans="2:4" ht="15.75" customHeight="1" x14ac:dyDescent="0.3">
      <c r="B360" s="39"/>
      <c r="D360" s="152"/>
    </row>
    <row r="361" spans="2:4" ht="15.75" customHeight="1" x14ac:dyDescent="0.3">
      <c r="B361" s="39"/>
      <c r="D361" s="152"/>
    </row>
    <row r="362" spans="2:4" ht="15.75" customHeight="1" x14ac:dyDescent="0.3">
      <c r="B362" s="39"/>
      <c r="D362" s="152"/>
    </row>
    <row r="363" spans="2:4" ht="15.75" customHeight="1" x14ac:dyDescent="0.3">
      <c r="B363" s="39"/>
      <c r="D363" s="152"/>
    </row>
    <row r="364" spans="2:4" ht="15.75" customHeight="1" x14ac:dyDescent="0.3">
      <c r="B364" s="39"/>
      <c r="D364" s="152"/>
    </row>
    <row r="365" spans="2:4" ht="15.75" customHeight="1" x14ac:dyDescent="0.3">
      <c r="B365" s="39"/>
      <c r="D365" s="152"/>
    </row>
    <row r="366" spans="2:4" ht="15.75" customHeight="1" x14ac:dyDescent="0.3">
      <c r="B366" s="39"/>
      <c r="D366" s="152"/>
    </row>
    <row r="367" spans="2:4" ht="15.75" customHeight="1" x14ac:dyDescent="0.3">
      <c r="B367" s="39"/>
      <c r="D367" s="152"/>
    </row>
    <row r="368" spans="2:4" ht="15.75" customHeight="1" x14ac:dyDescent="0.3">
      <c r="B368" s="39"/>
      <c r="D368" s="152"/>
    </row>
    <row r="369" spans="2:4" ht="15.75" customHeight="1" x14ac:dyDescent="0.3">
      <c r="B369" s="39"/>
      <c r="D369" s="152"/>
    </row>
    <row r="370" spans="2:4" ht="15.75" customHeight="1" x14ac:dyDescent="0.3">
      <c r="B370" s="39"/>
      <c r="D370" s="152"/>
    </row>
    <row r="371" spans="2:4" ht="15.75" customHeight="1" x14ac:dyDescent="0.3">
      <c r="B371" s="39"/>
      <c r="D371" s="152"/>
    </row>
    <row r="372" spans="2:4" ht="15.75" customHeight="1" x14ac:dyDescent="0.3">
      <c r="B372" s="39"/>
      <c r="D372" s="152"/>
    </row>
    <row r="373" spans="2:4" ht="15.75" customHeight="1" x14ac:dyDescent="0.3">
      <c r="B373" s="39"/>
      <c r="D373" s="152"/>
    </row>
    <row r="374" spans="2:4" ht="15.75" customHeight="1" x14ac:dyDescent="0.3">
      <c r="B374" s="39"/>
      <c r="D374" s="152"/>
    </row>
    <row r="375" spans="2:4" ht="15.75" customHeight="1" x14ac:dyDescent="0.3">
      <c r="B375" s="39"/>
      <c r="D375" s="152"/>
    </row>
    <row r="376" spans="2:4" ht="15.75" customHeight="1" x14ac:dyDescent="0.3">
      <c r="B376" s="39"/>
      <c r="D376" s="152"/>
    </row>
    <row r="377" spans="2:4" ht="15.75" customHeight="1" x14ac:dyDescent="0.3">
      <c r="B377" s="39"/>
      <c r="D377" s="152"/>
    </row>
    <row r="378" spans="2:4" ht="15.75" customHeight="1" x14ac:dyDescent="0.3">
      <c r="B378" s="39"/>
      <c r="D378" s="152"/>
    </row>
    <row r="379" spans="2:4" ht="15.75" customHeight="1" x14ac:dyDescent="0.3">
      <c r="B379" s="39"/>
      <c r="D379" s="152"/>
    </row>
    <row r="380" spans="2:4" ht="15.75" customHeight="1" x14ac:dyDescent="0.3">
      <c r="B380" s="39"/>
      <c r="D380" s="152"/>
    </row>
    <row r="381" spans="2:4" ht="15.75" customHeight="1" x14ac:dyDescent="0.3">
      <c r="B381" s="39"/>
      <c r="D381" s="152"/>
    </row>
    <row r="382" spans="2:4" ht="15.75" customHeight="1" x14ac:dyDescent="0.3">
      <c r="B382" s="39"/>
      <c r="D382" s="152"/>
    </row>
    <row r="383" spans="2:4" ht="15.75" customHeight="1" x14ac:dyDescent="0.3">
      <c r="B383" s="39"/>
      <c r="D383" s="152"/>
    </row>
    <row r="384" spans="2:4" ht="15.75" customHeight="1" x14ac:dyDescent="0.3">
      <c r="B384" s="39"/>
      <c r="D384" s="152"/>
    </row>
    <row r="385" spans="2:4" ht="15.75" customHeight="1" x14ac:dyDescent="0.3">
      <c r="B385" s="39"/>
      <c r="D385" s="152"/>
    </row>
    <row r="386" spans="2:4" ht="15.75" customHeight="1" x14ac:dyDescent="0.3">
      <c r="B386" s="39"/>
      <c r="D386" s="152"/>
    </row>
    <row r="387" spans="2:4" ht="15.75" customHeight="1" x14ac:dyDescent="0.3">
      <c r="B387" s="39"/>
      <c r="D387" s="152"/>
    </row>
    <row r="388" spans="2:4" ht="15.75" customHeight="1" x14ac:dyDescent="0.3">
      <c r="B388" s="39"/>
      <c r="D388" s="152"/>
    </row>
    <row r="389" spans="2:4" ht="15.75" customHeight="1" x14ac:dyDescent="0.3">
      <c r="B389" s="39"/>
      <c r="D389" s="152"/>
    </row>
    <row r="390" spans="2:4" ht="15.75" customHeight="1" x14ac:dyDescent="0.3">
      <c r="B390" s="39"/>
      <c r="D390" s="152"/>
    </row>
    <row r="391" spans="2:4" ht="15.75" customHeight="1" x14ac:dyDescent="0.3">
      <c r="B391" s="39"/>
      <c r="D391" s="152"/>
    </row>
    <row r="392" spans="2:4" ht="15.75" customHeight="1" x14ac:dyDescent="0.3">
      <c r="B392" s="39"/>
      <c r="D392" s="152"/>
    </row>
    <row r="393" spans="2:4" ht="15.75" customHeight="1" x14ac:dyDescent="0.3">
      <c r="B393" s="39"/>
      <c r="D393" s="152"/>
    </row>
    <row r="394" spans="2:4" ht="15.75" customHeight="1" x14ac:dyDescent="0.3">
      <c r="B394" s="39"/>
      <c r="D394" s="152"/>
    </row>
    <row r="395" spans="2:4" ht="15.75" customHeight="1" x14ac:dyDescent="0.3">
      <c r="B395" s="39"/>
      <c r="D395" s="152"/>
    </row>
    <row r="396" spans="2:4" ht="15.75" customHeight="1" x14ac:dyDescent="0.3">
      <c r="B396" s="39"/>
      <c r="D396" s="152"/>
    </row>
    <row r="397" spans="2:4" ht="15.75" customHeight="1" x14ac:dyDescent="0.3">
      <c r="B397" s="39"/>
      <c r="D397" s="152"/>
    </row>
    <row r="398" spans="2:4" ht="15.75" customHeight="1" x14ac:dyDescent="0.3">
      <c r="B398" s="39"/>
      <c r="D398" s="152"/>
    </row>
    <row r="399" spans="2:4" ht="15.75" customHeight="1" x14ac:dyDescent="0.3">
      <c r="B399" s="39"/>
      <c r="D399" s="152"/>
    </row>
    <row r="400" spans="2:4" ht="15.75" customHeight="1" x14ac:dyDescent="0.3">
      <c r="B400" s="39"/>
      <c r="D400" s="152"/>
    </row>
    <row r="401" spans="2:4" ht="15.75" customHeight="1" x14ac:dyDescent="0.3">
      <c r="B401" s="39"/>
      <c r="D401" s="152"/>
    </row>
    <row r="402" spans="2:4" ht="15.75" customHeight="1" x14ac:dyDescent="0.3">
      <c r="B402" s="39"/>
      <c r="D402" s="152"/>
    </row>
    <row r="403" spans="2:4" ht="15.75" customHeight="1" x14ac:dyDescent="0.3">
      <c r="B403" s="39"/>
      <c r="D403" s="152"/>
    </row>
    <row r="404" spans="2:4" ht="15.75" customHeight="1" x14ac:dyDescent="0.3">
      <c r="B404" s="39"/>
      <c r="D404" s="152"/>
    </row>
    <row r="405" spans="2:4" ht="15.75" customHeight="1" x14ac:dyDescent="0.3">
      <c r="B405" s="39"/>
      <c r="D405" s="152"/>
    </row>
    <row r="406" spans="2:4" ht="15.75" customHeight="1" x14ac:dyDescent="0.3">
      <c r="B406" s="39"/>
      <c r="D406" s="152"/>
    </row>
    <row r="407" spans="2:4" ht="15.75" customHeight="1" x14ac:dyDescent="0.3">
      <c r="B407" s="39"/>
      <c r="D407" s="152"/>
    </row>
    <row r="408" spans="2:4" ht="15.75" customHeight="1" x14ac:dyDescent="0.3">
      <c r="B408" s="39"/>
      <c r="D408" s="152"/>
    </row>
    <row r="409" spans="2:4" ht="15.75" customHeight="1" x14ac:dyDescent="0.3">
      <c r="B409" s="39"/>
      <c r="D409" s="152"/>
    </row>
    <row r="410" spans="2:4" ht="15.75" customHeight="1" x14ac:dyDescent="0.3">
      <c r="B410" s="39"/>
      <c r="D410" s="152"/>
    </row>
    <row r="411" spans="2:4" ht="15.75" customHeight="1" x14ac:dyDescent="0.3">
      <c r="B411" s="39"/>
      <c r="D411" s="152"/>
    </row>
    <row r="412" spans="2:4" ht="15.75" customHeight="1" x14ac:dyDescent="0.3">
      <c r="B412" s="39"/>
      <c r="D412" s="152"/>
    </row>
    <row r="413" spans="2:4" ht="15.75" customHeight="1" x14ac:dyDescent="0.3">
      <c r="B413" s="39"/>
      <c r="D413" s="152"/>
    </row>
    <row r="414" spans="2:4" ht="15.75" customHeight="1" x14ac:dyDescent="0.3">
      <c r="B414" s="39"/>
      <c r="D414" s="152"/>
    </row>
    <row r="415" spans="2:4" ht="15.75" customHeight="1" x14ac:dyDescent="0.3">
      <c r="B415" s="39"/>
      <c r="D415" s="152"/>
    </row>
    <row r="416" spans="2:4" ht="15.75" customHeight="1" x14ac:dyDescent="0.3">
      <c r="B416" s="39"/>
      <c r="D416" s="152"/>
    </row>
    <row r="417" spans="2:4" ht="15.75" customHeight="1" x14ac:dyDescent="0.3">
      <c r="B417" s="39"/>
      <c r="D417" s="152"/>
    </row>
    <row r="418" spans="2:4" ht="15.75" customHeight="1" x14ac:dyDescent="0.3">
      <c r="B418" s="39"/>
      <c r="D418" s="152"/>
    </row>
    <row r="419" spans="2:4" ht="15.75" customHeight="1" x14ac:dyDescent="0.3">
      <c r="B419" s="39"/>
      <c r="D419" s="152"/>
    </row>
    <row r="420" spans="2:4" ht="15.75" customHeight="1" x14ac:dyDescent="0.3">
      <c r="B420" s="39"/>
      <c r="D420" s="152"/>
    </row>
    <row r="421" spans="2:4" ht="15.75" customHeight="1" x14ac:dyDescent="0.3">
      <c r="B421" s="39"/>
      <c r="D421" s="152"/>
    </row>
    <row r="422" spans="2:4" ht="15.75" customHeight="1" x14ac:dyDescent="0.3">
      <c r="B422" s="39"/>
      <c r="D422" s="152"/>
    </row>
    <row r="423" spans="2:4" ht="15.75" customHeight="1" x14ac:dyDescent="0.3">
      <c r="B423" s="39"/>
      <c r="D423" s="152"/>
    </row>
    <row r="424" spans="2:4" ht="15.75" customHeight="1" x14ac:dyDescent="0.3">
      <c r="B424" s="39"/>
      <c r="D424" s="152"/>
    </row>
    <row r="425" spans="2:4" ht="15.75" customHeight="1" x14ac:dyDescent="0.3">
      <c r="B425" s="39"/>
      <c r="D425" s="152"/>
    </row>
    <row r="426" spans="2:4" ht="15.75" customHeight="1" x14ac:dyDescent="0.3">
      <c r="B426" s="39"/>
      <c r="D426" s="152"/>
    </row>
    <row r="427" spans="2:4" ht="15.75" customHeight="1" x14ac:dyDescent="0.3">
      <c r="B427" s="39"/>
      <c r="D427" s="152"/>
    </row>
    <row r="428" spans="2:4" ht="15.75" customHeight="1" x14ac:dyDescent="0.3">
      <c r="B428" s="39"/>
      <c r="D428" s="152"/>
    </row>
    <row r="429" spans="2:4" ht="15.75" customHeight="1" x14ac:dyDescent="0.3">
      <c r="B429" s="39"/>
      <c r="D429" s="152"/>
    </row>
    <row r="430" spans="2:4" ht="15.75" customHeight="1" x14ac:dyDescent="0.3">
      <c r="B430" s="39"/>
      <c r="D430" s="152"/>
    </row>
    <row r="431" spans="2:4" ht="15.75" customHeight="1" x14ac:dyDescent="0.3">
      <c r="B431" s="39"/>
      <c r="D431" s="152"/>
    </row>
    <row r="432" spans="2:4" ht="15.75" customHeight="1" x14ac:dyDescent="0.3">
      <c r="B432" s="39"/>
      <c r="D432" s="152"/>
    </row>
    <row r="433" spans="2:4" ht="15.75" customHeight="1" x14ac:dyDescent="0.3">
      <c r="B433" s="39"/>
      <c r="D433" s="152"/>
    </row>
    <row r="434" spans="2:4" ht="15.75" customHeight="1" x14ac:dyDescent="0.3">
      <c r="B434" s="39"/>
      <c r="D434" s="152"/>
    </row>
    <row r="435" spans="2:4" ht="15.75" customHeight="1" x14ac:dyDescent="0.3">
      <c r="B435" s="39"/>
      <c r="D435" s="152"/>
    </row>
    <row r="436" spans="2:4" ht="15.75" customHeight="1" x14ac:dyDescent="0.3">
      <c r="B436" s="39"/>
      <c r="D436" s="152"/>
    </row>
    <row r="437" spans="2:4" ht="15.75" customHeight="1" x14ac:dyDescent="0.3">
      <c r="B437" s="39"/>
      <c r="D437" s="152"/>
    </row>
    <row r="438" spans="2:4" ht="15.75" customHeight="1" x14ac:dyDescent="0.3">
      <c r="B438" s="39"/>
      <c r="D438" s="152"/>
    </row>
    <row r="439" spans="2:4" ht="15.75" customHeight="1" x14ac:dyDescent="0.3">
      <c r="B439" s="39"/>
      <c r="D439" s="152"/>
    </row>
    <row r="440" spans="2:4" ht="15.75" customHeight="1" x14ac:dyDescent="0.3">
      <c r="B440" s="39"/>
      <c r="D440" s="152"/>
    </row>
    <row r="441" spans="2:4" ht="15.75" customHeight="1" x14ac:dyDescent="0.3">
      <c r="B441" s="39"/>
      <c r="D441" s="152"/>
    </row>
    <row r="442" spans="2:4" ht="15.75" customHeight="1" x14ac:dyDescent="0.3">
      <c r="B442" s="39"/>
      <c r="D442" s="152"/>
    </row>
    <row r="443" spans="2:4" ht="15.75" customHeight="1" x14ac:dyDescent="0.3">
      <c r="B443" s="39"/>
      <c r="D443" s="152"/>
    </row>
    <row r="444" spans="2:4" ht="15.75" customHeight="1" x14ac:dyDescent="0.3">
      <c r="B444" s="39"/>
      <c r="D444" s="152"/>
    </row>
    <row r="445" spans="2:4" ht="15.75" customHeight="1" x14ac:dyDescent="0.3">
      <c r="B445" s="39"/>
      <c r="D445" s="152"/>
    </row>
    <row r="446" spans="2:4" ht="15.75" customHeight="1" x14ac:dyDescent="0.3">
      <c r="B446" s="39"/>
      <c r="D446" s="152"/>
    </row>
    <row r="447" spans="2:4" ht="15.75" customHeight="1" x14ac:dyDescent="0.3">
      <c r="B447" s="39"/>
      <c r="D447" s="152"/>
    </row>
    <row r="448" spans="2:4" ht="15.75" customHeight="1" x14ac:dyDescent="0.3">
      <c r="B448" s="39"/>
      <c r="D448" s="152"/>
    </row>
    <row r="449" spans="2:4" ht="15.75" customHeight="1" x14ac:dyDescent="0.3">
      <c r="B449" s="39"/>
      <c r="D449" s="152"/>
    </row>
    <row r="450" spans="2:4" ht="15.75" customHeight="1" x14ac:dyDescent="0.3">
      <c r="B450" s="39"/>
      <c r="D450" s="152"/>
    </row>
    <row r="451" spans="2:4" ht="15.75" customHeight="1" x14ac:dyDescent="0.3">
      <c r="B451" s="39"/>
      <c r="D451" s="152"/>
    </row>
    <row r="452" spans="2:4" ht="15.75" customHeight="1" x14ac:dyDescent="0.3">
      <c r="B452" s="39"/>
      <c r="D452" s="152"/>
    </row>
    <row r="453" spans="2:4" ht="15.75" customHeight="1" x14ac:dyDescent="0.3">
      <c r="B453" s="39"/>
      <c r="D453" s="152"/>
    </row>
    <row r="454" spans="2:4" ht="15.75" customHeight="1" x14ac:dyDescent="0.3">
      <c r="B454" s="39"/>
      <c r="D454" s="152"/>
    </row>
    <row r="455" spans="2:4" ht="15.75" customHeight="1" x14ac:dyDescent="0.3">
      <c r="B455" s="39"/>
      <c r="D455" s="152"/>
    </row>
    <row r="456" spans="2:4" ht="15.75" customHeight="1" x14ac:dyDescent="0.3">
      <c r="B456" s="39"/>
      <c r="D456" s="152"/>
    </row>
    <row r="457" spans="2:4" ht="15.75" customHeight="1" x14ac:dyDescent="0.3">
      <c r="B457" s="39"/>
      <c r="D457" s="152"/>
    </row>
    <row r="458" spans="2:4" ht="15.75" customHeight="1" x14ac:dyDescent="0.3">
      <c r="B458" s="39"/>
      <c r="D458" s="152"/>
    </row>
    <row r="459" spans="2:4" ht="15.75" customHeight="1" x14ac:dyDescent="0.3">
      <c r="B459" s="39"/>
      <c r="D459" s="152"/>
    </row>
    <row r="460" spans="2:4" ht="15.75" customHeight="1" x14ac:dyDescent="0.3">
      <c r="B460" s="39"/>
      <c r="D460" s="152"/>
    </row>
    <row r="461" spans="2:4" ht="15.75" customHeight="1" x14ac:dyDescent="0.3">
      <c r="B461" s="39"/>
      <c r="D461" s="152"/>
    </row>
    <row r="462" spans="2:4" ht="15.75" customHeight="1" x14ac:dyDescent="0.3">
      <c r="B462" s="39"/>
      <c r="D462" s="152"/>
    </row>
    <row r="463" spans="2:4" ht="15.75" customHeight="1" x14ac:dyDescent="0.3">
      <c r="B463" s="39"/>
      <c r="D463" s="152"/>
    </row>
    <row r="464" spans="2:4" ht="15.75" customHeight="1" x14ac:dyDescent="0.3">
      <c r="B464" s="39"/>
      <c r="D464" s="152"/>
    </row>
    <row r="465" spans="2:4" ht="15.75" customHeight="1" x14ac:dyDescent="0.3">
      <c r="B465" s="39"/>
      <c r="D465" s="152"/>
    </row>
    <row r="466" spans="2:4" ht="15.75" customHeight="1" x14ac:dyDescent="0.3">
      <c r="B466" s="39"/>
      <c r="D466" s="152"/>
    </row>
    <row r="467" spans="2:4" ht="15.75" customHeight="1" x14ac:dyDescent="0.3">
      <c r="B467" s="39"/>
      <c r="D467" s="152"/>
    </row>
    <row r="468" spans="2:4" ht="15.75" customHeight="1" x14ac:dyDescent="0.3">
      <c r="B468" s="39"/>
      <c r="D468" s="152"/>
    </row>
    <row r="469" spans="2:4" ht="15.75" customHeight="1" x14ac:dyDescent="0.3">
      <c r="B469" s="39"/>
      <c r="D469" s="152"/>
    </row>
    <row r="470" spans="2:4" ht="15.75" customHeight="1" x14ac:dyDescent="0.3">
      <c r="B470" s="39"/>
      <c r="D470" s="152"/>
    </row>
    <row r="471" spans="2:4" ht="15.75" customHeight="1" x14ac:dyDescent="0.3">
      <c r="B471" s="39"/>
      <c r="D471" s="152"/>
    </row>
    <row r="472" spans="2:4" ht="15.75" customHeight="1" x14ac:dyDescent="0.3">
      <c r="B472" s="39"/>
      <c r="D472" s="152"/>
    </row>
    <row r="473" spans="2:4" ht="15.75" customHeight="1" x14ac:dyDescent="0.3">
      <c r="B473" s="39"/>
      <c r="D473" s="152"/>
    </row>
    <row r="474" spans="2:4" ht="15.75" customHeight="1" x14ac:dyDescent="0.3">
      <c r="B474" s="39"/>
      <c r="D474" s="152"/>
    </row>
    <row r="475" spans="2:4" ht="15.75" customHeight="1" x14ac:dyDescent="0.3">
      <c r="B475" s="39"/>
      <c r="D475" s="152"/>
    </row>
    <row r="476" spans="2:4" ht="15.75" customHeight="1" x14ac:dyDescent="0.3">
      <c r="B476" s="39"/>
      <c r="D476" s="152"/>
    </row>
    <row r="477" spans="2:4" ht="15.75" customHeight="1" x14ac:dyDescent="0.3">
      <c r="B477" s="39"/>
      <c r="D477" s="152"/>
    </row>
    <row r="478" spans="2:4" ht="15.75" customHeight="1" x14ac:dyDescent="0.3">
      <c r="B478" s="39"/>
      <c r="D478" s="152"/>
    </row>
    <row r="479" spans="2:4" ht="15.75" customHeight="1" x14ac:dyDescent="0.3">
      <c r="B479" s="39"/>
      <c r="D479" s="152"/>
    </row>
    <row r="480" spans="2:4" ht="15.75" customHeight="1" x14ac:dyDescent="0.3">
      <c r="B480" s="39"/>
      <c r="D480" s="152"/>
    </row>
    <row r="481" spans="2:4" ht="15.75" customHeight="1" x14ac:dyDescent="0.3">
      <c r="B481" s="39"/>
      <c r="D481" s="152"/>
    </row>
    <row r="482" spans="2:4" ht="15.75" customHeight="1" x14ac:dyDescent="0.3">
      <c r="B482" s="39"/>
      <c r="D482" s="152"/>
    </row>
    <row r="483" spans="2:4" ht="15.75" customHeight="1" x14ac:dyDescent="0.3">
      <c r="B483" s="39"/>
      <c r="D483" s="152"/>
    </row>
    <row r="484" spans="2:4" ht="15.75" customHeight="1" x14ac:dyDescent="0.3">
      <c r="B484" s="39"/>
      <c r="D484" s="152"/>
    </row>
    <row r="485" spans="2:4" ht="15.75" customHeight="1" x14ac:dyDescent="0.3">
      <c r="B485" s="39"/>
      <c r="D485" s="152"/>
    </row>
    <row r="486" spans="2:4" ht="15.75" customHeight="1" x14ac:dyDescent="0.3">
      <c r="B486" s="39"/>
      <c r="D486" s="152"/>
    </row>
    <row r="487" spans="2:4" ht="15.75" customHeight="1" x14ac:dyDescent="0.3">
      <c r="B487" s="39"/>
      <c r="D487" s="152"/>
    </row>
    <row r="488" spans="2:4" ht="15.75" customHeight="1" x14ac:dyDescent="0.3">
      <c r="B488" s="39"/>
      <c r="D488" s="152"/>
    </row>
    <row r="489" spans="2:4" ht="15.75" customHeight="1" x14ac:dyDescent="0.3">
      <c r="B489" s="39"/>
      <c r="D489" s="152"/>
    </row>
    <row r="490" spans="2:4" ht="15.75" customHeight="1" x14ac:dyDescent="0.3">
      <c r="B490" s="39"/>
      <c r="D490" s="152"/>
    </row>
    <row r="491" spans="2:4" ht="15.75" customHeight="1" x14ac:dyDescent="0.3">
      <c r="B491" s="39"/>
      <c r="D491" s="152"/>
    </row>
    <row r="492" spans="2:4" ht="15.75" customHeight="1" x14ac:dyDescent="0.3">
      <c r="B492" s="39"/>
      <c r="D492" s="152"/>
    </row>
    <row r="493" spans="2:4" ht="15.75" customHeight="1" x14ac:dyDescent="0.3">
      <c r="B493" s="39"/>
      <c r="D493" s="152"/>
    </row>
    <row r="494" spans="2:4" ht="15.75" customHeight="1" x14ac:dyDescent="0.3">
      <c r="B494" s="39"/>
      <c r="D494" s="152"/>
    </row>
    <row r="495" spans="2:4" ht="15.75" customHeight="1" x14ac:dyDescent="0.3">
      <c r="B495" s="39"/>
      <c r="D495" s="152"/>
    </row>
    <row r="496" spans="2:4" ht="15.75" customHeight="1" x14ac:dyDescent="0.3">
      <c r="B496" s="39"/>
      <c r="D496" s="152"/>
    </row>
    <row r="497" spans="2:4" ht="15.75" customHeight="1" x14ac:dyDescent="0.3">
      <c r="B497" s="39"/>
      <c r="D497" s="152"/>
    </row>
    <row r="498" spans="2:4" ht="15.75" customHeight="1" x14ac:dyDescent="0.3">
      <c r="B498" s="39"/>
      <c r="D498" s="152"/>
    </row>
    <row r="499" spans="2:4" ht="15.75" customHeight="1" x14ac:dyDescent="0.3">
      <c r="B499" s="39"/>
      <c r="D499" s="152"/>
    </row>
    <row r="500" spans="2:4" ht="15.75" customHeight="1" x14ac:dyDescent="0.3">
      <c r="B500" s="39"/>
      <c r="D500" s="152"/>
    </row>
    <row r="501" spans="2:4" ht="15.75" customHeight="1" x14ac:dyDescent="0.3">
      <c r="B501" s="39"/>
      <c r="D501" s="152"/>
    </row>
    <row r="502" spans="2:4" ht="15.75" customHeight="1" x14ac:dyDescent="0.3">
      <c r="B502" s="39"/>
      <c r="D502" s="152"/>
    </row>
    <row r="503" spans="2:4" ht="15.75" customHeight="1" x14ac:dyDescent="0.3">
      <c r="B503" s="39"/>
      <c r="D503" s="152"/>
    </row>
    <row r="504" spans="2:4" ht="15.75" customHeight="1" x14ac:dyDescent="0.3">
      <c r="B504" s="39"/>
      <c r="D504" s="152"/>
    </row>
    <row r="505" spans="2:4" ht="15.75" customHeight="1" x14ac:dyDescent="0.3">
      <c r="B505" s="39"/>
      <c r="D505" s="152"/>
    </row>
    <row r="506" spans="2:4" ht="15.75" customHeight="1" x14ac:dyDescent="0.3">
      <c r="B506" s="39"/>
      <c r="D506" s="152"/>
    </row>
    <row r="507" spans="2:4" ht="15.75" customHeight="1" x14ac:dyDescent="0.3">
      <c r="B507" s="39"/>
      <c r="D507" s="152"/>
    </row>
    <row r="508" spans="2:4" ht="15.75" customHeight="1" x14ac:dyDescent="0.3">
      <c r="B508" s="39"/>
      <c r="D508" s="152"/>
    </row>
    <row r="509" spans="2:4" ht="15.75" customHeight="1" x14ac:dyDescent="0.3">
      <c r="B509" s="39"/>
      <c r="D509" s="152"/>
    </row>
    <row r="510" spans="2:4" ht="15.75" customHeight="1" x14ac:dyDescent="0.3">
      <c r="B510" s="39"/>
      <c r="D510" s="152"/>
    </row>
    <row r="511" spans="2:4" ht="15.75" customHeight="1" x14ac:dyDescent="0.3">
      <c r="B511" s="39"/>
      <c r="D511" s="152"/>
    </row>
    <row r="512" spans="2:4" ht="15.75" customHeight="1" x14ac:dyDescent="0.3">
      <c r="B512" s="39"/>
      <c r="D512" s="152"/>
    </row>
    <row r="513" spans="2:4" ht="15.75" customHeight="1" x14ac:dyDescent="0.3">
      <c r="B513" s="39"/>
      <c r="D513" s="152"/>
    </row>
    <row r="514" spans="2:4" ht="15.75" customHeight="1" x14ac:dyDescent="0.3">
      <c r="B514" s="39"/>
      <c r="D514" s="152"/>
    </row>
    <row r="515" spans="2:4" ht="15.75" customHeight="1" x14ac:dyDescent="0.3">
      <c r="B515" s="39"/>
      <c r="D515" s="152"/>
    </row>
    <row r="516" spans="2:4" ht="15.75" customHeight="1" x14ac:dyDescent="0.3">
      <c r="B516" s="39"/>
      <c r="D516" s="152"/>
    </row>
    <row r="517" spans="2:4" ht="15.75" customHeight="1" x14ac:dyDescent="0.3">
      <c r="B517" s="39"/>
      <c r="D517" s="152"/>
    </row>
    <row r="518" spans="2:4" ht="15.75" customHeight="1" x14ac:dyDescent="0.3">
      <c r="B518" s="39"/>
      <c r="D518" s="152"/>
    </row>
    <row r="519" spans="2:4" ht="15.75" customHeight="1" x14ac:dyDescent="0.3">
      <c r="B519" s="39"/>
      <c r="D519" s="152"/>
    </row>
    <row r="520" spans="2:4" ht="15.75" customHeight="1" x14ac:dyDescent="0.3">
      <c r="B520" s="39"/>
      <c r="D520" s="152"/>
    </row>
    <row r="521" spans="2:4" ht="15.75" customHeight="1" x14ac:dyDescent="0.3">
      <c r="B521" s="39"/>
      <c r="D521" s="152"/>
    </row>
    <row r="522" spans="2:4" ht="15.75" customHeight="1" x14ac:dyDescent="0.3">
      <c r="B522" s="39"/>
      <c r="D522" s="152"/>
    </row>
    <row r="523" spans="2:4" ht="15.75" customHeight="1" x14ac:dyDescent="0.3">
      <c r="B523" s="39"/>
      <c r="D523" s="152"/>
    </row>
    <row r="524" spans="2:4" ht="15.75" customHeight="1" x14ac:dyDescent="0.3">
      <c r="B524" s="39"/>
      <c r="D524" s="152"/>
    </row>
    <row r="525" spans="2:4" ht="15.75" customHeight="1" x14ac:dyDescent="0.3">
      <c r="B525" s="39"/>
      <c r="D525" s="152"/>
    </row>
    <row r="526" spans="2:4" ht="15.75" customHeight="1" x14ac:dyDescent="0.3">
      <c r="B526" s="39"/>
      <c r="D526" s="152"/>
    </row>
    <row r="527" spans="2:4" ht="15.75" customHeight="1" x14ac:dyDescent="0.3">
      <c r="B527" s="39"/>
      <c r="D527" s="152"/>
    </row>
    <row r="528" spans="2:4" ht="15.75" customHeight="1" x14ac:dyDescent="0.3">
      <c r="B528" s="39"/>
      <c r="D528" s="152"/>
    </row>
    <row r="529" spans="2:4" ht="15.75" customHeight="1" x14ac:dyDescent="0.3">
      <c r="B529" s="39"/>
      <c r="D529" s="152"/>
    </row>
    <row r="530" spans="2:4" ht="15.75" customHeight="1" x14ac:dyDescent="0.3">
      <c r="B530" s="39"/>
      <c r="D530" s="152"/>
    </row>
    <row r="531" spans="2:4" ht="15.75" customHeight="1" x14ac:dyDescent="0.3">
      <c r="B531" s="39"/>
      <c r="D531" s="152"/>
    </row>
    <row r="532" spans="2:4" ht="15.75" customHeight="1" x14ac:dyDescent="0.3">
      <c r="B532" s="39"/>
      <c r="D532" s="152"/>
    </row>
    <row r="533" spans="2:4" ht="15.75" customHeight="1" x14ac:dyDescent="0.3">
      <c r="B533" s="39"/>
      <c r="D533" s="152"/>
    </row>
    <row r="534" spans="2:4" ht="15.75" customHeight="1" x14ac:dyDescent="0.3">
      <c r="B534" s="39"/>
      <c r="D534" s="152"/>
    </row>
    <row r="535" spans="2:4" ht="15.75" customHeight="1" x14ac:dyDescent="0.3">
      <c r="B535" s="39"/>
      <c r="D535" s="152"/>
    </row>
    <row r="536" spans="2:4" ht="15.75" customHeight="1" x14ac:dyDescent="0.3">
      <c r="B536" s="39"/>
      <c r="D536" s="152"/>
    </row>
    <row r="537" spans="2:4" ht="15.75" customHeight="1" x14ac:dyDescent="0.3">
      <c r="B537" s="39"/>
      <c r="D537" s="152"/>
    </row>
    <row r="538" spans="2:4" ht="15.75" customHeight="1" x14ac:dyDescent="0.3">
      <c r="B538" s="39"/>
      <c r="D538" s="152"/>
    </row>
    <row r="539" spans="2:4" ht="15.75" customHeight="1" x14ac:dyDescent="0.3">
      <c r="B539" s="39"/>
      <c r="D539" s="152"/>
    </row>
    <row r="540" spans="2:4" ht="15.75" customHeight="1" x14ac:dyDescent="0.3">
      <c r="B540" s="39"/>
      <c r="D540" s="152"/>
    </row>
    <row r="541" spans="2:4" ht="15.75" customHeight="1" x14ac:dyDescent="0.3">
      <c r="B541" s="39"/>
      <c r="D541" s="152"/>
    </row>
    <row r="542" spans="2:4" ht="15.75" customHeight="1" x14ac:dyDescent="0.3">
      <c r="B542" s="39"/>
      <c r="D542" s="152"/>
    </row>
    <row r="543" spans="2:4" ht="15.75" customHeight="1" x14ac:dyDescent="0.3">
      <c r="B543" s="39"/>
      <c r="D543" s="152"/>
    </row>
    <row r="544" spans="2:4" ht="15.75" customHeight="1" x14ac:dyDescent="0.3">
      <c r="B544" s="39"/>
      <c r="D544" s="152"/>
    </row>
    <row r="545" spans="2:4" ht="15.75" customHeight="1" x14ac:dyDescent="0.3">
      <c r="B545" s="39"/>
      <c r="D545" s="152"/>
    </row>
    <row r="546" spans="2:4" ht="15.75" customHeight="1" x14ac:dyDescent="0.3">
      <c r="B546" s="39"/>
      <c r="D546" s="152"/>
    </row>
    <row r="547" spans="2:4" ht="15.75" customHeight="1" x14ac:dyDescent="0.3">
      <c r="B547" s="39"/>
      <c r="D547" s="152"/>
    </row>
    <row r="548" spans="2:4" ht="15.75" customHeight="1" x14ac:dyDescent="0.3">
      <c r="B548" s="39"/>
      <c r="D548" s="152"/>
    </row>
    <row r="549" spans="2:4" ht="15.75" customHeight="1" x14ac:dyDescent="0.3">
      <c r="B549" s="39"/>
      <c r="D549" s="152"/>
    </row>
    <row r="550" spans="2:4" ht="15.75" customHeight="1" x14ac:dyDescent="0.3">
      <c r="B550" s="39"/>
      <c r="D550" s="152"/>
    </row>
    <row r="551" spans="2:4" ht="15.75" customHeight="1" x14ac:dyDescent="0.3">
      <c r="B551" s="39"/>
      <c r="D551" s="152"/>
    </row>
    <row r="552" spans="2:4" ht="15.75" customHeight="1" x14ac:dyDescent="0.3">
      <c r="B552" s="39"/>
      <c r="D552" s="152"/>
    </row>
    <row r="553" spans="2:4" ht="15.75" customHeight="1" x14ac:dyDescent="0.3">
      <c r="B553" s="39"/>
      <c r="D553" s="152"/>
    </row>
    <row r="554" spans="2:4" ht="15.75" customHeight="1" x14ac:dyDescent="0.3">
      <c r="B554" s="39"/>
      <c r="D554" s="152"/>
    </row>
    <row r="555" spans="2:4" ht="15.75" customHeight="1" x14ac:dyDescent="0.3">
      <c r="B555" s="39"/>
      <c r="D555" s="152"/>
    </row>
    <row r="556" spans="2:4" ht="15.75" customHeight="1" x14ac:dyDescent="0.3">
      <c r="B556" s="39"/>
      <c r="D556" s="152"/>
    </row>
    <row r="557" spans="2:4" ht="15.75" customHeight="1" x14ac:dyDescent="0.3">
      <c r="B557" s="39"/>
      <c r="D557" s="152"/>
    </row>
    <row r="558" spans="2:4" ht="15.75" customHeight="1" x14ac:dyDescent="0.3">
      <c r="B558" s="39"/>
      <c r="D558" s="152"/>
    </row>
    <row r="559" spans="2:4" ht="15.75" customHeight="1" x14ac:dyDescent="0.3">
      <c r="B559" s="39"/>
      <c r="D559" s="152"/>
    </row>
    <row r="560" spans="2:4" ht="15.75" customHeight="1" x14ac:dyDescent="0.3">
      <c r="B560" s="39"/>
      <c r="D560" s="152"/>
    </row>
    <row r="561" spans="2:4" ht="15.75" customHeight="1" x14ac:dyDescent="0.3">
      <c r="B561" s="39"/>
      <c r="D561" s="152"/>
    </row>
    <row r="562" spans="2:4" ht="15.75" customHeight="1" x14ac:dyDescent="0.3">
      <c r="B562" s="39"/>
      <c r="D562" s="152"/>
    </row>
    <row r="563" spans="2:4" ht="15.75" customHeight="1" x14ac:dyDescent="0.3">
      <c r="B563" s="39"/>
      <c r="D563" s="152"/>
    </row>
    <row r="564" spans="2:4" ht="15.75" customHeight="1" x14ac:dyDescent="0.3">
      <c r="B564" s="39"/>
      <c r="D564" s="152"/>
    </row>
    <row r="565" spans="2:4" ht="15.75" customHeight="1" x14ac:dyDescent="0.3">
      <c r="B565" s="39"/>
      <c r="D565" s="152"/>
    </row>
    <row r="566" spans="2:4" ht="15.75" customHeight="1" x14ac:dyDescent="0.3">
      <c r="B566" s="39"/>
      <c r="D566" s="152"/>
    </row>
    <row r="567" spans="2:4" ht="15.75" customHeight="1" x14ac:dyDescent="0.3">
      <c r="B567" s="39"/>
      <c r="D567" s="152"/>
    </row>
    <row r="568" spans="2:4" ht="15.75" customHeight="1" x14ac:dyDescent="0.3">
      <c r="B568" s="39"/>
      <c r="D568" s="152"/>
    </row>
    <row r="569" spans="2:4" ht="15.75" customHeight="1" x14ac:dyDescent="0.3">
      <c r="B569" s="39"/>
      <c r="D569" s="152"/>
    </row>
    <row r="570" spans="2:4" ht="15.75" customHeight="1" x14ac:dyDescent="0.3">
      <c r="B570" s="39"/>
      <c r="D570" s="152"/>
    </row>
    <row r="571" spans="2:4" ht="15.75" customHeight="1" x14ac:dyDescent="0.3">
      <c r="B571" s="39"/>
      <c r="D571" s="152"/>
    </row>
    <row r="572" spans="2:4" ht="15.75" customHeight="1" x14ac:dyDescent="0.3">
      <c r="B572" s="39"/>
      <c r="D572" s="152"/>
    </row>
    <row r="573" spans="2:4" ht="15.75" customHeight="1" x14ac:dyDescent="0.3">
      <c r="B573" s="39"/>
      <c r="D573" s="152"/>
    </row>
    <row r="574" spans="2:4" ht="15.75" customHeight="1" x14ac:dyDescent="0.3">
      <c r="B574" s="39"/>
      <c r="D574" s="152"/>
    </row>
    <row r="575" spans="2:4" ht="15.75" customHeight="1" x14ac:dyDescent="0.3">
      <c r="B575" s="39"/>
      <c r="D575" s="152"/>
    </row>
    <row r="576" spans="2:4" ht="15.75" customHeight="1" x14ac:dyDescent="0.3">
      <c r="B576" s="39"/>
      <c r="D576" s="152"/>
    </row>
    <row r="577" spans="2:4" ht="15.75" customHeight="1" x14ac:dyDescent="0.3">
      <c r="B577" s="39"/>
      <c r="D577" s="152"/>
    </row>
    <row r="578" spans="2:4" ht="15.75" customHeight="1" x14ac:dyDescent="0.3">
      <c r="B578" s="39"/>
      <c r="D578" s="152"/>
    </row>
    <row r="579" spans="2:4" ht="15.75" customHeight="1" x14ac:dyDescent="0.3">
      <c r="B579" s="39"/>
      <c r="D579" s="152"/>
    </row>
    <row r="580" spans="2:4" ht="15.75" customHeight="1" x14ac:dyDescent="0.3">
      <c r="B580" s="39"/>
      <c r="D580" s="152"/>
    </row>
    <row r="581" spans="2:4" ht="15.75" customHeight="1" x14ac:dyDescent="0.3">
      <c r="B581" s="39"/>
      <c r="D581" s="152"/>
    </row>
    <row r="582" spans="2:4" ht="15.75" customHeight="1" x14ac:dyDescent="0.3">
      <c r="B582" s="39"/>
      <c r="D582" s="152"/>
    </row>
    <row r="583" spans="2:4" ht="15.75" customHeight="1" x14ac:dyDescent="0.3">
      <c r="B583" s="39"/>
      <c r="D583" s="152"/>
    </row>
    <row r="584" spans="2:4" ht="15.75" customHeight="1" x14ac:dyDescent="0.3">
      <c r="B584" s="39"/>
      <c r="D584" s="152"/>
    </row>
    <row r="585" spans="2:4" ht="15.75" customHeight="1" x14ac:dyDescent="0.3">
      <c r="B585" s="39"/>
      <c r="D585" s="152"/>
    </row>
    <row r="586" spans="2:4" ht="15.75" customHeight="1" x14ac:dyDescent="0.3">
      <c r="B586" s="39"/>
      <c r="D586" s="152"/>
    </row>
    <row r="587" spans="2:4" ht="15.75" customHeight="1" x14ac:dyDescent="0.3">
      <c r="B587" s="39"/>
      <c r="D587" s="152"/>
    </row>
    <row r="588" spans="2:4" ht="15.75" customHeight="1" x14ac:dyDescent="0.3">
      <c r="B588" s="39"/>
      <c r="D588" s="152"/>
    </row>
    <row r="589" spans="2:4" ht="15.75" customHeight="1" x14ac:dyDescent="0.3">
      <c r="B589" s="39"/>
      <c r="D589" s="152"/>
    </row>
    <row r="590" spans="2:4" ht="15.75" customHeight="1" x14ac:dyDescent="0.3">
      <c r="B590" s="39"/>
      <c r="D590" s="152"/>
    </row>
    <row r="591" spans="2:4" ht="15.75" customHeight="1" x14ac:dyDescent="0.3">
      <c r="B591" s="39"/>
      <c r="D591" s="152"/>
    </row>
    <row r="592" spans="2:4" ht="15.75" customHeight="1" x14ac:dyDescent="0.3">
      <c r="B592" s="39"/>
      <c r="D592" s="152"/>
    </row>
    <row r="593" spans="2:4" ht="15.75" customHeight="1" x14ac:dyDescent="0.3">
      <c r="B593" s="39"/>
      <c r="D593" s="152"/>
    </row>
    <row r="594" spans="2:4" ht="15.75" customHeight="1" x14ac:dyDescent="0.3">
      <c r="B594" s="39"/>
      <c r="D594" s="152"/>
    </row>
    <row r="595" spans="2:4" ht="15.75" customHeight="1" x14ac:dyDescent="0.3">
      <c r="B595" s="39"/>
      <c r="D595" s="152"/>
    </row>
    <row r="596" spans="2:4" ht="15.75" customHeight="1" x14ac:dyDescent="0.3">
      <c r="B596" s="39"/>
      <c r="D596" s="152"/>
    </row>
    <row r="597" spans="2:4" ht="15.75" customHeight="1" x14ac:dyDescent="0.3">
      <c r="B597" s="39"/>
      <c r="D597" s="152"/>
    </row>
    <row r="598" spans="2:4" ht="15.75" customHeight="1" x14ac:dyDescent="0.3">
      <c r="B598" s="39"/>
      <c r="D598" s="152"/>
    </row>
    <row r="599" spans="2:4" ht="15.75" customHeight="1" x14ac:dyDescent="0.3">
      <c r="B599" s="39"/>
      <c r="D599" s="152"/>
    </row>
    <row r="600" spans="2:4" ht="15.75" customHeight="1" x14ac:dyDescent="0.3">
      <c r="B600" s="39"/>
      <c r="D600" s="152"/>
    </row>
    <row r="601" spans="2:4" ht="15.75" customHeight="1" x14ac:dyDescent="0.3">
      <c r="B601" s="39"/>
      <c r="D601" s="152"/>
    </row>
    <row r="602" spans="2:4" ht="15.75" customHeight="1" x14ac:dyDescent="0.3">
      <c r="B602" s="39"/>
      <c r="D602" s="152"/>
    </row>
    <row r="603" spans="2:4" ht="15.75" customHeight="1" x14ac:dyDescent="0.3">
      <c r="B603" s="39"/>
      <c r="D603" s="152"/>
    </row>
    <row r="604" spans="2:4" ht="15.75" customHeight="1" x14ac:dyDescent="0.3">
      <c r="B604" s="39"/>
      <c r="D604" s="152"/>
    </row>
    <row r="605" spans="2:4" ht="15.75" customHeight="1" x14ac:dyDescent="0.3">
      <c r="B605" s="39"/>
      <c r="D605" s="152"/>
    </row>
    <row r="606" spans="2:4" ht="15.75" customHeight="1" x14ac:dyDescent="0.3">
      <c r="B606" s="39"/>
      <c r="D606" s="152"/>
    </row>
    <row r="607" spans="2:4" ht="15.75" customHeight="1" x14ac:dyDescent="0.3">
      <c r="B607" s="39"/>
      <c r="D607" s="152"/>
    </row>
    <row r="608" spans="2:4" ht="15.75" customHeight="1" x14ac:dyDescent="0.3">
      <c r="B608" s="39"/>
      <c r="D608" s="152"/>
    </row>
    <row r="609" spans="2:4" ht="15.75" customHeight="1" x14ac:dyDescent="0.3">
      <c r="B609" s="39"/>
      <c r="D609" s="152"/>
    </row>
    <row r="610" spans="2:4" ht="15.75" customHeight="1" x14ac:dyDescent="0.3">
      <c r="B610" s="39"/>
      <c r="D610" s="152"/>
    </row>
    <row r="611" spans="2:4" ht="15.75" customHeight="1" x14ac:dyDescent="0.3">
      <c r="B611" s="39"/>
      <c r="D611" s="152"/>
    </row>
    <row r="612" spans="2:4" ht="15.75" customHeight="1" x14ac:dyDescent="0.3">
      <c r="B612" s="39"/>
      <c r="D612" s="152"/>
    </row>
    <row r="613" spans="2:4" ht="15.75" customHeight="1" x14ac:dyDescent="0.3">
      <c r="B613" s="39"/>
      <c r="D613" s="152"/>
    </row>
    <row r="614" spans="2:4" ht="15.75" customHeight="1" x14ac:dyDescent="0.3">
      <c r="B614" s="39"/>
      <c r="D614" s="152"/>
    </row>
    <row r="615" spans="2:4" ht="15.75" customHeight="1" x14ac:dyDescent="0.3">
      <c r="B615" s="39"/>
      <c r="D615" s="152"/>
    </row>
    <row r="616" spans="2:4" ht="15.75" customHeight="1" x14ac:dyDescent="0.3">
      <c r="B616" s="39"/>
      <c r="D616" s="152"/>
    </row>
    <row r="617" spans="2:4" ht="15.75" customHeight="1" x14ac:dyDescent="0.3">
      <c r="B617" s="39"/>
      <c r="D617" s="152"/>
    </row>
    <row r="618" spans="2:4" ht="15.75" customHeight="1" x14ac:dyDescent="0.3">
      <c r="B618" s="39"/>
      <c r="D618" s="152"/>
    </row>
    <row r="619" spans="2:4" ht="15.75" customHeight="1" x14ac:dyDescent="0.3">
      <c r="B619" s="39"/>
      <c r="D619" s="152"/>
    </row>
    <row r="620" spans="2:4" ht="15.75" customHeight="1" x14ac:dyDescent="0.3">
      <c r="B620" s="39"/>
      <c r="D620" s="152"/>
    </row>
    <row r="621" spans="2:4" ht="15.75" customHeight="1" x14ac:dyDescent="0.3">
      <c r="B621" s="39"/>
      <c r="D621" s="152"/>
    </row>
    <row r="622" spans="2:4" ht="15.75" customHeight="1" x14ac:dyDescent="0.3">
      <c r="B622" s="39"/>
      <c r="D622" s="152"/>
    </row>
    <row r="623" spans="2:4" ht="15.75" customHeight="1" x14ac:dyDescent="0.3">
      <c r="B623" s="39"/>
      <c r="D623" s="152"/>
    </row>
    <row r="624" spans="2:4" ht="15.75" customHeight="1" x14ac:dyDescent="0.3">
      <c r="B624" s="39"/>
      <c r="D624" s="152"/>
    </row>
    <row r="625" spans="2:4" ht="15.75" customHeight="1" x14ac:dyDescent="0.3">
      <c r="B625" s="39"/>
      <c r="D625" s="152"/>
    </row>
    <row r="626" spans="2:4" ht="15.75" customHeight="1" x14ac:dyDescent="0.3">
      <c r="B626" s="39"/>
      <c r="D626" s="152"/>
    </row>
    <row r="627" spans="2:4" ht="15.75" customHeight="1" x14ac:dyDescent="0.3">
      <c r="B627" s="39"/>
      <c r="D627" s="152"/>
    </row>
    <row r="628" spans="2:4" ht="15.75" customHeight="1" x14ac:dyDescent="0.3">
      <c r="B628" s="39"/>
      <c r="D628" s="152"/>
    </row>
    <row r="629" spans="2:4" ht="15.75" customHeight="1" x14ac:dyDescent="0.3">
      <c r="B629" s="39"/>
      <c r="D629" s="152"/>
    </row>
    <row r="630" spans="2:4" ht="15.75" customHeight="1" x14ac:dyDescent="0.3">
      <c r="B630" s="39"/>
      <c r="D630" s="152"/>
    </row>
    <row r="631" spans="2:4" ht="15.75" customHeight="1" x14ac:dyDescent="0.3">
      <c r="B631" s="39"/>
      <c r="D631" s="152"/>
    </row>
    <row r="632" spans="2:4" ht="15.75" customHeight="1" x14ac:dyDescent="0.3">
      <c r="B632" s="39"/>
      <c r="D632" s="152"/>
    </row>
    <row r="633" spans="2:4" ht="15.75" customHeight="1" x14ac:dyDescent="0.3">
      <c r="B633" s="39"/>
      <c r="D633" s="152"/>
    </row>
    <row r="634" spans="2:4" ht="15.75" customHeight="1" x14ac:dyDescent="0.3">
      <c r="B634" s="39"/>
      <c r="D634" s="152"/>
    </row>
    <row r="635" spans="2:4" ht="15.75" customHeight="1" x14ac:dyDescent="0.3">
      <c r="B635" s="39"/>
      <c r="D635" s="152"/>
    </row>
    <row r="636" spans="2:4" ht="15.75" customHeight="1" x14ac:dyDescent="0.3">
      <c r="B636" s="39"/>
      <c r="D636" s="152"/>
    </row>
    <row r="637" spans="2:4" ht="15.75" customHeight="1" x14ac:dyDescent="0.3">
      <c r="B637" s="39"/>
      <c r="D637" s="152"/>
    </row>
    <row r="638" spans="2:4" ht="15.75" customHeight="1" x14ac:dyDescent="0.3">
      <c r="B638" s="39"/>
      <c r="D638" s="152"/>
    </row>
    <row r="639" spans="2:4" ht="15.75" customHeight="1" x14ac:dyDescent="0.3">
      <c r="B639" s="39"/>
      <c r="D639" s="152"/>
    </row>
    <row r="640" spans="2:4" ht="15.75" customHeight="1" x14ac:dyDescent="0.3">
      <c r="B640" s="39"/>
      <c r="D640" s="152"/>
    </row>
    <row r="641" spans="2:4" ht="15.75" customHeight="1" x14ac:dyDescent="0.3">
      <c r="B641" s="39"/>
      <c r="D641" s="152"/>
    </row>
    <row r="642" spans="2:4" ht="15.75" customHeight="1" x14ac:dyDescent="0.3">
      <c r="B642" s="39"/>
      <c r="D642" s="152"/>
    </row>
    <row r="643" spans="2:4" ht="15.75" customHeight="1" x14ac:dyDescent="0.3">
      <c r="B643" s="39"/>
      <c r="D643" s="152"/>
    </row>
    <row r="644" spans="2:4" ht="15.75" customHeight="1" x14ac:dyDescent="0.3">
      <c r="B644" s="39"/>
      <c r="D644" s="152"/>
    </row>
    <row r="645" spans="2:4" ht="15.75" customHeight="1" x14ac:dyDescent="0.3">
      <c r="B645" s="39"/>
      <c r="D645" s="152"/>
    </row>
    <row r="646" spans="2:4" ht="15.75" customHeight="1" x14ac:dyDescent="0.3">
      <c r="B646" s="39"/>
      <c r="D646" s="152"/>
    </row>
    <row r="647" spans="2:4" ht="15.75" customHeight="1" x14ac:dyDescent="0.3">
      <c r="B647" s="39"/>
      <c r="D647" s="152"/>
    </row>
    <row r="648" spans="2:4" ht="15.75" customHeight="1" x14ac:dyDescent="0.3">
      <c r="B648" s="39"/>
      <c r="D648" s="152"/>
    </row>
    <row r="649" spans="2:4" ht="15.75" customHeight="1" x14ac:dyDescent="0.3">
      <c r="B649" s="39"/>
      <c r="D649" s="152"/>
    </row>
    <row r="650" spans="2:4" ht="15.75" customHeight="1" x14ac:dyDescent="0.3">
      <c r="B650" s="39"/>
      <c r="D650" s="152"/>
    </row>
    <row r="651" spans="2:4" ht="15.75" customHeight="1" x14ac:dyDescent="0.3">
      <c r="B651" s="39"/>
      <c r="D651" s="152"/>
    </row>
    <row r="652" spans="2:4" ht="15.75" customHeight="1" x14ac:dyDescent="0.3">
      <c r="B652" s="39"/>
      <c r="D652" s="152"/>
    </row>
    <row r="653" spans="2:4" ht="15.75" customHeight="1" x14ac:dyDescent="0.3">
      <c r="B653" s="39"/>
      <c r="D653" s="152"/>
    </row>
    <row r="654" spans="2:4" ht="15.75" customHeight="1" x14ac:dyDescent="0.3">
      <c r="B654" s="39"/>
      <c r="D654" s="152"/>
    </row>
    <row r="655" spans="2:4" ht="15.75" customHeight="1" x14ac:dyDescent="0.3">
      <c r="B655" s="39"/>
      <c r="D655" s="152"/>
    </row>
    <row r="656" spans="2:4" ht="15.75" customHeight="1" x14ac:dyDescent="0.3">
      <c r="B656" s="39"/>
      <c r="D656" s="152"/>
    </row>
    <row r="657" spans="2:4" ht="15.75" customHeight="1" x14ac:dyDescent="0.3">
      <c r="B657" s="39"/>
      <c r="D657" s="152"/>
    </row>
    <row r="658" spans="2:4" ht="15.75" customHeight="1" x14ac:dyDescent="0.3">
      <c r="B658" s="39"/>
      <c r="D658" s="152"/>
    </row>
    <row r="659" spans="2:4" ht="15.75" customHeight="1" x14ac:dyDescent="0.3">
      <c r="B659" s="39"/>
      <c r="D659" s="152"/>
    </row>
    <row r="660" spans="2:4" ht="15.75" customHeight="1" x14ac:dyDescent="0.3">
      <c r="B660" s="39"/>
      <c r="D660" s="152"/>
    </row>
    <row r="661" spans="2:4" ht="15.75" customHeight="1" x14ac:dyDescent="0.3">
      <c r="B661" s="39"/>
      <c r="D661" s="152"/>
    </row>
    <row r="662" spans="2:4" ht="15.75" customHeight="1" x14ac:dyDescent="0.3">
      <c r="B662" s="39"/>
      <c r="D662" s="152"/>
    </row>
    <row r="663" spans="2:4" ht="15.75" customHeight="1" x14ac:dyDescent="0.3">
      <c r="B663" s="39"/>
      <c r="D663" s="152"/>
    </row>
    <row r="664" spans="2:4" ht="15.75" customHeight="1" x14ac:dyDescent="0.3">
      <c r="B664" s="39"/>
      <c r="D664" s="152"/>
    </row>
    <row r="665" spans="2:4" ht="15.75" customHeight="1" x14ac:dyDescent="0.3">
      <c r="B665" s="39"/>
      <c r="D665" s="152"/>
    </row>
    <row r="666" spans="2:4" ht="15.75" customHeight="1" x14ac:dyDescent="0.3">
      <c r="B666" s="39"/>
      <c r="D666" s="152"/>
    </row>
    <row r="667" spans="2:4" ht="15.75" customHeight="1" x14ac:dyDescent="0.3">
      <c r="B667" s="39"/>
      <c r="D667" s="152"/>
    </row>
    <row r="668" spans="2:4" ht="15.75" customHeight="1" x14ac:dyDescent="0.3">
      <c r="B668" s="39"/>
      <c r="D668" s="152"/>
    </row>
    <row r="669" spans="2:4" ht="15.75" customHeight="1" x14ac:dyDescent="0.3">
      <c r="B669" s="39"/>
      <c r="D669" s="152"/>
    </row>
    <row r="670" spans="2:4" ht="15.75" customHeight="1" x14ac:dyDescent="0.3">
      <c r="B670" s="39"/>
      <c r="D670" s="152"/>
    </row>
    <row r="671" spans="2:4" ht="15.75" customHeight="1" x14ac:dyDescent="0.3">
      <c r="B671" s="39"/>
      <c r="D671" s="152"/>
    </row>
    <row r="672" spans="2:4" ht="15.75" customHeight="1" x14ac:dyDescent="0.3">
      <c r="B672" s="39"/>
      <c r="D672" s="152"/>
    </row>
    <row r="673" spans="2:4" ht="15.75" customHeight="1" x14ac:dyDescent="0.3">
      <c r="B673" s="39"/>
      <c r="D673" s="152"/>
    </row>
    <row r="674" spans="2:4" ht="15.75" customHeight="1" x14ac:dyDescent="0.3">
      <c r="B674" s="39"/>
      <c r="D674" s="152"/>
    </row>
    <row r="675" spans="2:4" ht="15.75" customHeight="1" x14ac:dyDescent="0.3">
      <c r="B675" s="39"/>
      <c r="D675" s="152"/>
    </row>
    <row r="676" spans="2:4" ht="15.75" customHeight="1" x14ac:dyDescent="0.3">
      <c r="B676" s="39"/>
      <c r="D676" s="152"/>
    </row>
    <row r="677" spans="2:4" ht="15.75" customHeight="1" x14ac:dyDescent="0.3">
      <c r="B677" s="39"/>
      <c r="D677" s="152"/>
    </row>
    <row r="678" spans="2:4" ht="15.75" customHeight="1" x14ac:dyDescent="0.3">
      <c r="B678" s="39"/>
      <c r="D678" s="152"/>
    </row>
    <row r="679" spans="2:4" ht="15.75" customHeight="1" x14ac:dyDescent="0.3">
      <c r="B679" s="39"/>
      <c r="D679" s="152"/>
    </row>
    <row r="680" spans="2:4" ht="15.75" customHeight="1" x14ac:dyDescent="0.3">
      <c r="B680" s="39"/>
      <c r="D680" s="152"/>
    </row>
    <row r="681" spans="2:4" ht="15.75" customHeight="1" x14ac:dyDescent="0.3">
      <c r="B681" s="39"/>
      <c r="D681" s="152"/>
    </row>
    <row r="682" spans="2:4" ht="15.75" customHeight="1" x14ac:dyDescent="0.3">
      <c r="B682" s="39"/>
      <c r="D682" s="152"/>
    </row>
    <row r="683" spans="2:4" ht="15.75" customHeight="1" x14ac:dyDescent="0.3">
      <c r="B683" s="39"/>
      <c r="D683" s="152"/>
    </row>
    <row r="684" spans="2:4" ht="15.75" customHeight="1" x14ac:dyDescent="0.3">
      <c r="B684" s="39"/>
      <c r="D684" s="152"/>
    </row>
    <row r="685" spans="2:4" ht="15.75" customHeight="1" x14ac:dyDescent="0.3">
      <c r="B685" s="39"/>
      <c r="D685" s="152"/>
    </row>
    <row r="686" spans="2:4" ht="15.75" customHeight="1" x14ac:dyDescent="0.3">
      <c r="B686" s="39"/>
      <c r="D686" s="152"/>
    </row>
    <row r="687" spans="2:4" ht="15.75" customHeight="1" x14ac:dyDescent="0.3">
      <c r="B687" s="39"/>
      <c r="D687" s="152"/>
    </row>
    <row r="688" spans="2:4" ht="15.75" customHeight="1" x14ac:dyDescent="0.3">
      <c r="B688" s="39"/>
      <c r="D688" s="152"/>
    </row>
    <row r="689" spans="2:4" ht="15.75" customHeight="1" x14ac:dyDescent="0.3">
      <c r="B689" s="39"/>
      <c r="D689" s="152"/>
    </row>
    <row r="690" spans="2:4" ht="15.75" customHeight="1" x14ac:dyDescent="0.3">
      <c r="B690" s="39"/>
      <c r="D690" s="152"/>
    </row>
    <row r="691" spans="2:4" ht="15.75" customHeight="1" x14ac:dyDescent="0.3">
      <c r="B691" s="39"/>
      <c r="D691" s="152"/>
    </row>
    <row r="692" spans="2:4" ht="15.75" customHeight="1" x14ac:dyDescent="0.3">
      <c r="B692" s="39"/>
      <c r="D692" s="152"/>
    </row>
    <row r="693" spans="2:4" ht="15.75" customHeight="1" x14ac:dyDescent="0.3">
      <c r="B693" s="39"/>
      <c r="D693" s="152"/>
    </row>
    <row r="694" spans="2:4" ht="15.75" customHeight="1" x14ac:dyDescent="0.3">
      <c r="B694" s="39"/>
      <c r="D694" s="152"/>
    </row>
    <row r="695" spans="2:4" ht="15.75" customHeight="1" x14ac:dyDescent="0.3">
      <c r="B695" s="39"/>
      <c r="D695" s="152"/>
    </row>
    <row r="696" spans="2:4" ht="15.75" customHeight="1" x14ac:dyDescent="0.3">
      <c r="B696" s="39"/>
      <c r="D696" s="152"/>
    </row>
    <row r="697" spans="2:4" ht="15.75" customHeight="1" x14ac:dyDescent="0.3">
      <c r="B697" s="39"/>
      <c r="D697" s="152"/>
    </row>
    <row r="698" spans="2:4" ht="15.75" customHeight="1" x14ac:dyDescent="0.3">
      <c r="B698" s="39"/>
      <c r="D698" s="152"/>
    </row>
    <row r="699" spans="2:4" ht="15.75" customHeight="1" x14ac:dyDescent="0.3">
      <c r="B699" s="39"/>
      <c r="D699" s="152"/>
    </row>
    <row r="700" spans="2:4" ht="15.75" customHeight="1" x14ac:dyDescent="0.3">
      <c r="B700" s="39"/>
      <c r="D700" s="152"/>
    </row>
    <row r="701" spans="2:4" ht="15.75" customHeight="1" x14ac:dyDescent="0.3">
      <c r="B701" s="39"/>
      <c r="D701" s="152"/>
    </row>
    <row r="702" spans="2:4" ht="15.75" customHeight="1" x14ac:dyDescent="0.3">
      <c r="B702" s="39"/>
      <c r="D702" s="152"/>
    </row>
    <row r="703" spans="2:4" ht="15.75" customHeight="1" x14ac:dyDescent="0.3">
      <c r="B703" s="39"/>
      <c r="D703" s="152"/>
    </row>
    <row r="704" spans="2:4" ht="15.75" customHeight="1" x14ac:dyDescent="0.3">
      <c r="B704" s="39"/>
      <c r="D704" s="152"/>
    </row>
    <row r="705" spans="2:4" ht="15.75" customHeight="1" x14ac:dyDescent="0.3">
      <c r="B705" s="39"/>
      <c r="D705" s="152"/>
    </row>
    <row r="706" spans="2:4" ht="15.75" customHeight="1" x14ac:dyDescent="0.3">
      <c r="B706" s="39"/>
      <c r="D706" s="152"/>
    </row>
    <row r="707" spans="2:4" ht="15.75" customHeight="1" x14ac:dyDescent="0.3">
      <c r="B707" s="39"/>
      <c r="D707" s="152"/>
    </row>
    <row r="708" spans="2:4" ht="15.75" customHeight="1" x14ac:dyDescent="0.3">
      <c r="B708" s="39"/>
      <c r="D708" s="152"/>
    </row>
    <row r="709" spans="2:4" ht="15.75" customHeight="1" x14ac:dyDescent="0.3">
      <c r="B709" s="39"/>
      <c r="D709" s="152"/>
    </row>
    <row r="710" spans="2:4" ht="15.75" customHeight="1" x14ac:dyDescent="0.3">
      <c r="B710" s="39"/>
      <c r="D710" s="152"/>
    </row>
    <row r="711" spans="2:4" ht="15.75" customHeight="1" x14ac:dyDescent="0.3">
      <c r="B711" s="39"/>
      <c r="D711" s="152"/>
    </row>
    <row r="712" spans="2:4" ht="15.75" customHeight="1" x14ac:dyDescent="0.3">
      <c r="B712" s="39"/>
      <c r="D712" s="152"/>
    </row>
    <row r="713" spans="2:4" ht="15.75" customHeight="1" x14ac:dyDescent="0.3">
      <c r="B713" s="39"/>
      <c r="D713" s="152"/>
    </row>
    <row r="714" spans="2:4" ht="15.75" customHeight="1" x14ac:dyDescent="0.3">
      <c r="B714" s="39"/>
      <c r="D714" s="152"/>
    </row>
    <row r="715" spans="2:4" ht="15.75" customHeight="1" x14ac:dyDescent="0.3">
      <c r="B715" s="39"/>
      <c r="D715" s="152"/>
    </row>
    <row r="716" spans="2:4" ht="15.75" customHeight="1" x14ac:dyDescent="0.3">
      <c r="B716" s="39"/>
      <c r="D716" s="152"/>
    </row>
    <row r="717" spans="2:4" ht="15.75" customHeight="1" x14ac:dyDescent="0.3">
      <c r="B717" s="39"/>
      <c r="D717" s="152"/>
    </row>
    <row r="718" spans="2:4" ht="15.75" customHeight="1" x14ac:dyDescent="0.3">
      <c r="B718" s="39"/>
      <c r="D718" s="152"/>
    </row>
    <row r="719" spans="2:4" ht="15.75" customHeight="1" x14ac:dyDescent="0.3">
      <c r="B719" s="39"/>
      <c r="D719" s="152"/>
    </row>
    <row r="720" spans="2:4" ht="15.75" customHeight="1" x14ac:dyDescent="0.3">
      <c r="B720" s="39"/>
      <c r="D720" s="152"/>
    </row>
    <row r="721" spans="2:4" ht="15.75" customHeight="1" x14ac:dyDescent="0.3">
      <c r="B721" s="39"/>
      <c r="D721" s="152"/>
    </row>
    <row r="722" spans="2:4" ht="15.75" customHeight="1" x14ac:dyDescent="0.3">
      <c r="B722" s="39"/>
      <c r="D722" s="152"/>
    </row>
    <row r="723" spans="2:4" ht="15.75" customHeight="1" x14ac:dyDescent="0.3">
      <c r="B723" s="39"/>
      <c r="D723" s="152"/>
    </row>
    <row r="724" spans="2:4" ht="15.75" customHeight="1" x14ac:dyDescent="0.3">
      <c r="B724" s="39"/>
      <c r="D724" s="152"/>
    </row>
    <row r="725" spans="2:4" ht="15.75" customHeight="1" x14ac:dyDescent="0.3">
      <c r="B725" s="39"/>
      <c r="D725" s="152"/>
    </row>
    <row r="726" spans="2:4" ht="15.75" customHeight="1" x14ac:dyDescent="0.3">
      <c r="B726" s="39"/>
      <c r="D726" s="152"/>
    </row>
    <row r="727" spans="2:4" ht="15.75" customHeight="1" x14ac:dyDescent="0.3">
      <c r="B727" s="39"/>
      <c r="D727" s="152"/>
    </row>
    <row r="728" spans="2:4" ht="15.75" customHeight="1" x14ac:dyDescent="0.3">
      <c r="B728" s="39"/>
      <c r="D728" s="152"/>
    </row>
    <row r="729" spans="2:4" ht="15.75" customHeight="1" x14ac:dyDescent="0.3">
      <c r="B729" s="39"/>
      <c r="D729" s="152"/>
    </row>
    <row r="730" spans="2:4" ht="15.75" customHeight="1" x14ac:dyDescent="0.3">
      <c r="B730" s="39"/>
      <c r="D730" s="152"/>
    </row>
    <row r="731" spans="2:4" ht="15.75" customHeight="1" x14ac:dyDescent="0.3">
      <c r="B731" s="39"/>
      <c r="D731" s="152"/>
    </row>
    <row r="732" spans="2:4" ht="15.75" customHeight="1" x14ac:dyDescent="0.3">
      <c r="B732" s="39"/>
      <c r="D732" s="152"/>
    </row>
    <row r="733" spans="2:4" ht="15.75" customHeight="1" x14ac:dyDescent="0.3">
      <c r="B733" s="39"/>
      <c r="D733" s="152"/>
    </row>
    <row r="734" spans="2:4" ht="15.75" customHeight="1" x14ac:dyDescent="0.3">
      <c r="B734" s="39"/>
      <c r="D734" s="152"/>
    </row>
    <row r="735" spans="2:4" ht="15.75" customHeight="1" x14ac:dyDescent="0.3">
      <c r="B735" s="39"/>
      <c r="D735" s="152"/>
    </row>
    <row r="736" spans="2:4" ht="15.75" customHeight="1" x14ac:dyDescent="0.3">
      <c r="B736" s="39"/>
      <c r="D736" s="152"/>
    </row>
    <row r="737" spans="2:4" ht="15.75" customHeight="1" x14ac:dyDescent="0.3">
      <c r="B737" s="39"/>
      <c r="D737" s="152"/>
    </row>
    <row r="738" spans="2:4" ht="15.75" customHeight="1" x14ac:dyDescent="0.3">
      <c r="B738" s="39"/>
      <c r="D738" s="152"/>
    </row>
    <row r="739" spans="2:4" ht="15.75" customHeight="1" x14ac:dyDescent="0.3">
      <c r="B739" s="39"/>
      <c r="D739" s="152"/>
    </row>
    <row r="740" spans="2:4" ht="15.75" customHeight="1" x14ac:dyDescent="0.3">
      <c r="B740" s="39"/>
      <c r="D740" s="152"/>
    </row>
    <row r="741" spans="2:4" ht="15.75" customHeight="1" x14ac:dyDescent="0.3">
      <c r="B741" s="39"/>
      <c r="D741" s="152"/>
    </row>
    <row r="742" spans="2:4" ht="15.75" customHeight="1" x14ac:dyDescent="0.3">
      <c r="B742" s="39"/>
      <c r="D742" s="152"/>
    </row>
    <row r="743" spans="2:4" ht="15.75" customHeight="1" x14ac:dyDescent="0.3">
      <c r="B743" s="39"/>
      <c r="D743" s="152"/>
    </row>
    <row r="744" spans="2:4" ht="15.75" customHeight="1" x14ac:dyDescent="0.3">
      <c r="B744" s="39"/>
      <c r="D744" s="152"/>
    </row>
    <row r="745" spans="2:4" ht="15.75" customHeight="1" x14ac:dyDescent="0.3">
      <c r="B745" s="39"/>
      <c r="D745" s="152"/>
    </row>
    <row r="746" spans="2:4" ht="15.75" customHeight="1" x14ac:dyDescent="0.3">
      <c r="B746" s="39"/>
      <c r="D746" s="152"/>
    </row>
    <row r="747" spans="2:4" ht="15.75" customHeight="1" x14ac:dyDescent="0.3">
      <c r="B747" s="39"/>
      <c r="D747" s="152"/>
    </row>
    <row r="748" spans="2:4" ht="15.75" customHeight="1" x14ac:dyDescent="0.3">
      <c r="B748" s="39"/>
      <c r="D748" s="152"/>
    </row>
    <row r="749" spans="2:4" ht="15.75" customHeight="1" x14ac:dyDescent="0.3">
      <c r="B749" s="39"/>
      <c r="D749" s="152"/>
    </row>
    <row r="750" spans="2:4" ht="15.75" customHeight="1" x14ac:dyDescent="0.3">
      <c r="B750" s="39"/>
      <c r="D750" s="152"/>
    </row>
    <row r="751" spans="2:4" ht="15.75" customHeight="1" x14ac:dyDescent="0.3">
      <c r="B751" s="39"/>
      <c r="D751" s="152"/>
    </row>
    <row r="752" spans="2:4" ht="15.75" customHeight="1" x14ac:dyDescent="0.3">
      <c r="B752" s="39"/>
      <c r="D752" s="152"/>
    </row>
    <row r="753" spans="2:4" ht="15.75" customHeight="1" x14ac:dyDescent="0.3">
      <c r="B753" s="39"/>
      <c r="D753" s="152"/>
    </row>
    <row r="754" spans="2:4" ht="15.75" customHeight="1" x14ac:dyDescent="0.3">
      <c r="B754" s="39"/>
      <c r="D754" s="152"/>
    </row>
    <row r="755" spans="2:4" ht="15.75" customHeight="1" x14ac:dyDescent="0.3">
      <c r="B755" s="39"/>
      <c r="D755" s="152"/>
    </row>
    <row r="756" spans="2:4" ht="15.75" customHeight="1" x14ac:dyDescent="0.3">
      <c r="B756" s="39"/>
      <c r="D756" s="152"/>
    </row>
    <row r="757" spans="2:4" ht="15.75" customHeight="1" x14ac:dyDescent="0.3">
      <c r="B757" s="39"/>
      <c r="D757" s="152"/>
    </row>
    <row r="758" spans="2:4" ht="15.75" customHeight="1" x14ac:dyDescent="0.3">
      <c r="B758" s="39"/>
      <c r="D758" s="152"/>
    </row>
    <row r="759" spans="2:4" ht="15.75" customHeight="1" x14ac:dyDescent="0.3">
      <c r="B759" s="39"/>
      <c r="D759" s="152"/>
    </row>
    <row r="760" spans="2:4" ht="15.75" customHeight="1" x14ac:dyDescent="0.3">
      <c r="B760" s="39"/>
      <c r="D760" s="152"/>
    </row>
    <row r="761" spans="2:4" ht="15.75" customHeight="1" x14ac:dyDescent="0.3">
      <c r="B761" s="39"/>
      <c r="D761" s="152"/>
    </row>
    <row r="762" spans="2:4" ht="15.75" customHeight="1" x14ac:dyDescent="0.3">
      <c r="B762" s="39"/>
      <c r="D762" s="152"/>
    </row>
    <row r="763" spans="2:4" ht="15.75" customHeight="1" x14ac:dyDescent="0.3">
      <c r="B763" s="39"/>
      <c r="D763" s="152"/>
    </row>
    <row r="764" spans="2:4" ht="15.75" customHeight="1" x14ac:dyDescent="0.3">
      <c r="B764" s="39"/>
      <c r="D764" s="152"/>
    </row>
    <row r="765" spans="2:4" ht="15.75" customHeight="1" x14ac:dyDescent="0.3">
      <c r="B765" s="39"/>
      <c r="D765" s="152"/>
    </row>
    <row r="766" spans="2:4" ht="15.75" customHeight="1" x14ac:dyDescent="0.3">
      <c r="B766" s="39"/>
      <c r="D766" s="152"/>
    </row>
    <row r="767" spans="2:4" ht="15.75" customHeight="1" x14ac:dyDescent="0.3">
      <c r="B767" s="39"/>
      <c r="D767" s="152"/>
    </row>
    <row r="768" spans="2:4" ht="15.75" customHeight="1" x14ac:dyDescent="0.3">
      <c r="B768" s="39"/>
      <c r="D768" s="152"/>
    </row>
    <row r="769" spans="2:4" ht="15.75" customHeight="1" x14ac:dyDescent="0.3">
      <c r="B769" s="39"/>
      <c r="D769" s="152"/>
    </row>
    <row r="770" spans="2:4" ht="15.75" customHeight="1" x14ac:dyDescent="0.3">
      <c r="B770" s="39"/>
      <c r="D770" s="152"/>
    </row>
    <row r="771" spans="2:4" ht="15.75" customHeight="1" x14ac:dyDescent="0.3">
      <c r="B771" s="39"/>
      <c r="D771" s="152"/>
    </row>
    <row r="772" spans="2:4" ht="15.75" customHeight="1" x14ac:dyDescent="0.3">
      <c r="B772" s="39"/>
      <c r="D772" s="152"/>
    </row>
    <row r="773" spans="2:4" ht="15.75" customHeight="1" x14ac:dyDescent="0.3">
      <c r="B773" s="39"/>
      <c r="D773" s="152"/>
    </row>
    <row r="774" spans="2:4" ht="15.75" customHeight="1" x14ac:dyDescent="0.3">
      <c r="B774" s="39"/>
      <c r="D774" s="152"/>
    </row>
    <row r="775" spans="2:4" ht="15.75" customHeight="1" x14ac:dyDescent="0.3">
      <c r="B775" s="39"/>
      <c r="D775" s="152"/>
    </row>
    <row r="776" spans="2:4" ht="15.75" customHeight="1" x14ac:dyDescent="0.3">
      <c r="B776" s="39"/>
      <c r="D776" s="152"/>
    </row>
    <row r="777" spans="2:4" ht="15.75" customHeight="1" x14ac:dyDescent="0.3">
      <c r="B777" s="39"/>
      <c r="D777" s="152"/>
    </row>
    <row r="778" spans="2:4" ht="15.75" customHeight="1" x14ac:dyDescent="0.3">
      <c r="B778" s="39"/>
      <c r="D778" s="152"/>
    </row>
    <row r="779" spans="2:4" ht="15.75" customHeight="1" x14ac:dyDescent="0.3">
      <c r="B779" s="39"/>
      <c r="D779" s="152"/>
    </row>
    <row r="780" spans="2:4" ht="15.75" customHeight="1" x14ac:dyDescent="0.3">
      <c r="B780" s="39"/>
      <c r="D780" s="152"/>
    </row>
    <row r="781" spans="2:4" ht="15.75" customHeight="1" x14ac:dyDescent="0.3">
      <c r="B781" s="39"/>
      <c r="D781" s="152"/>
    </row>
    <row r="782" spans="2:4" ht="15.75" customHeight="1" x14ac:dyDescent="0.3">
      <c r="B782" s="39"/>
      <c r="D782" s="152"/>
    </row>
    <row r="783" spans="2:4" ht="15.75" customHeight="1" x14ac:dyDescent="0.3">
      <c r="B783" s="39"/>
      <c r="D783" s="152"/>
    </row>
    <row r="784" spans="2:4" ht="15.75" customHeight="1" x14ac:dyDescent="0.3">
      <c r="B784" s="39"/>
      <c r="D784" s="152"/>
    </row>
    <row r="785" spans="2:4" ht="15.75" customHeight="1" x14ac:dyDescent="0.3">
      <c r="B785" s="39"/>
      <c r="D785" s="152"/>
    </row>
    <row r="786" spans="2:4" ht="15.75" customHeight="1" x14ac:dyDescent="0.3">
      <c r="B786" s="39"/>
      <c r="D786" s="152"/>
    </row>
    <row r="787" spans="2:4" ht="15.75" customHeight="1" x14ac:dyDescent="0.3">
      <c r="B787" s="39"/>
      <c r="D787" s="152"/>
    </row>
    <row r="788" spans="2:4" ht="15.75" customHeight="1" x14ac:dyDescent="0.3">
      <c r="B788" s="39"/>
      <c r="D788" s="152"/>
    </row>
    <row r="789" spans="2:4" ht="15.75" customHeight="1" x14ac:dyDescent="0.3">
      <c r="B789" s="39"/>
      <c r="D789" s="152"/>
    </row>
    <row r="790" spans="2:4" ht="15.75" customHeight="1" x14ac:dyDescent="0.3">
      <c r="B790" s="39"/>
      <c r="D790" s="152"/>
    </row>
    <row r="791" spans="2:4" ht="15.75" customHeight="1" x14ac:dyDescent="0.3">
      <c r="B791" s="39"/>
      <c r="D791" s="152"/>
    </row>
    <row r="792" spans="2:4" ht="15.75" customHeight="1" x14ac:dyDescent="0.3">
      <c r="B792" s="39"/>
      <c r="D792" s="152"/>
    </row>
    <row r="793" spans="2:4" ht="15.75" customHeight="1" x14ac:dyDescent="0.3">
      <c r="B793" s="39"/>
      <c r="D793" s="152"/>
    </row>
    <row r="794" spans="2:4" ht="15.75" customHeight="1" x14ac:dyDescent="0.3">
      <c r="B794" s="39"/>
      <c r="D794" s="152"/>
    </row>
    <row r="795" spans="2:4" ht="15.75" customHeight="1" x14ac:dyDescent="0.3">
      <c r="B795" s="39"/>
      <c r="D795" s="152"/>
    </row>
    <row r="796" spans="2:4" ht="15.75" customHeight="1" x14ac:dyDescent="0.3">
      <c r="B796" s="39"/>
      <c r="D796" s="152"/>
    </row>
    <row r="797" spans="2:4" ht="15.75" customHeight="1" x14ac:dyDescent="0.3">
      <c r="B797" s="39"/>
      <c r="D797" s="152"/>
    </row>
    <row r="798" spans="2:4" ht="15.75" customHeight="1" x14ac:dyDescent="0.3">
      <c r="B798" s="39"/>
      <c r="D798" s="152"/>
    </row>
    <row r="799" spans="2:4" ht="15.75" customHeight="1" x14ac:dyDescent="0.3">
      <c r="B799" s="39"/>
      <c r="D799" s="152"/>
    </row>
    <row r="800" spans="2:4" ht="15.75" customHeight="1" x14ac:dyDescent="0.3">
      <c r="B800" s="39"/>
      <c r="D800" s="152"/>
    </row>
    <row r="801" spans="2:4" ht="15.75" customHeight="1" x14ac:dyDescent="0.3">
      <c r="B801" s="39"/>
      <c r="D801" s="152"/>
    </row>
    <row r="802" spans="2:4" ht="15.75" customHeight="1" x14ac:dyDescent="0.3">
      <c r="B802" s="39"/>
      <c r="D802" s="152"/>
    </row>
    <row r="803" spans="2:4" ht="15.75" customHeight="1" x14ac:dyDescent="0.3">
      <c r="B803" s="39"/>
      <c r="D803" s="152"/>
    </row>
    <row r="804" spans="2:4" ht="15.75" customHeight="1" x14ac:dyDescent="0.3">
      <c r="B804" s="39"/>
      <c r="D804" s="152"/>
    </row>
    <row r="805" spans="2:4" ht="15.75" customHeight="1" x14ac:dyDescent="0.3">
      <c r="B805" s="39"/>
      <c r="D805" s="152"/>
    </row>
    <row r="806" spans="2:4" ht="15.75" customHeight="1" x14ac:dyDescent="0.3">
      <c r="B806" s="39"/>
      <c r="D806" s="152"/>
    </row>
    <row r="807" spans="2:4" ht="15.75" customHeight="1" x14ac:dyDescent="0.3">
      <c r="B807" s="39"/>
      <c r="D807" s="152"/>
    </row>
    <row r="808" spans="2:4" ht="15.75" customHeight="1" x14ac:dyDescent="0.3">
      <c r="B808" s="39"/>
      <c r="D808" s="152"/>
    </row>
    <row r="809" spans="2:4" ht="15.75" customHeight="1" x14ac:dyDescent="0.3">
      <c r="B809" s="39"/>
      <c r="D809" s="152"/>
    </row>
    <row r="810" spans="2:4" ht="15.75" customHeight="1" x14ac:dyDescent="0.3">
      <c r="B810" s="39"/>
      <c r="D810" s="152"/>
    </row>
    <row r="811" spans="2:4" ht="15.75" customHeight="1" x14ac:dyDescent="0.3">
      <c r="B811" s="39"/>
      <c r="D811" s="152"/>
    </row>
    <row r="812" spans="2:4" ht="15.75" customHeight="1" x14ac:dyDescent="0.3">
      <c r="B812" s="39"/>
      <c r="D812" s="152"/>
    </row>
    <row r="813" spans="2:4" ht="15.75" customHeight="1" x14ac:dyDescent="0.3">
      <c r="B813" s="39"/>
      <c r="D813" s="152"/>
    </row>
    <row r="814" spans="2:4" ht="15.75" customHeight="1" x14ac:dyDescent="0.3">
      <c r="B814" s="39"/>
      <c r="D814" s="152"/>
    </row>
    <row r="815" spans="2:4" ht="15.75" customHeight="1" x14ac:dyDescent="0.3">
      <c r="B815" s="39"/>
      <c r="D815" s="152"/>
    </row>
    <row r="816" spans="2:4" ht="15.75" customHeight="1" x14ac:dyDescent="0.3">
      <c r="B816" s="39"/>
      <c r="D816" s="152"/>
    </row>
    <row r="817" spans="2:4" ht="15.75" customHeight="1" x14ac:dyDescent="0.3">
      <c r="B817" s="39"/>
      <c r="D817" s="152"/>
    </row>
    <row r="818" spans="2:4" ht="15.75" customHeight="1" x14ac:dyDescent="0.3">
      <c r="B818" s="39"/>
      <c r="D818" s="152"/>
    </row>
    <row r="819" spans="2:4" ht="15.75" customHeight="1" x14ac:dyDescent="0.3">
      <c r="B819" s="39"/>
      <c r="D819" s="152"/>
    </row>
    <row r="820" spans="2:4" ht="15.75" customHeight="1" x14ac:dyDescent="0.3">
      <c r="B820" s="39"/>
      <c r="D820" s="152"/>
    </row>
    <row r="821" spans="2:4" ht="15.75" customHeight="1" x14ac:dyDescent="0.3">
      <c r="B821" s="39"/>
      <c r="D821" s="152"/>
    </row>
    <row r="822" spans="2:4" ht="15.75" customHeight="1" x14ac:dyDescent="0.3">
      <c r="B822" s="39"/>
      <c r="D822" s="152"/>
    </row>
    <row r="823" spans="2:4" ht="15.75" customHeight="1" x14ac:dyDescent="0.3">
      <c r="B823" s="39"/>
      <c r="D823" s="152"/>
    </row>
    <row r="824" spans="2:4" ht="15.75" customHeight="1" x14ac:dyDescent="0.3">
      <c r="B824" s="39"/>
      <c r="D824" s="152"/>
    </row>
    <row r="825" spans="2:4" ht="15.75" customHeight="1" x14ac:dyDescent="0.3">
      <c r="B825" s="39"/>
      <c r="D825" s="152"/>
    </row>
    <row r="826" spans="2:4" ht="15.75" customHeight="1" x14ac:dyDescent="0.3">
      <c r="B826" s="39"/>
      <c r="D826" s="152"/>
    </row>
    <row r="827" spans="2:4" ht="15.75" customHeight="1" x14ac:dyDescent="0.3">
      <c r="B827" s="39"/>
      <c r="D827" s="152"/>
    </row>
    <row r="828" spans="2:4" ht="15.75" customHeight="1" x14ac:dyDescent="0.3">
      <c r="B828" s="39"/>
      <c r="D828" s="152"/>
    </row>
    <row r="829" spans="2:4" ht="15.75" customHeight="1" x14ac:dyDescent="0.3">
      <c r="B829" s="39"/>
      <c r="D829" s="152"/>
    </row>
    <row r="830" spans="2:4" ht="15.75" customHeight="1" x14ac:dyDescent="0.3">
      <c r="B830" s="39"/>
      <c r="D830" s="152"/>
    </row>
    <row r="831" spans="2:4" ht="15.75" customHeight="1" x14ac:dyDescent="0.3">
      <c r="B831" s="39"/>
      <c r="D831" s="152"/>
    </row>
    <row r="832" spans="2:4" ht="15.75" customHeight="1" x14ac:dyDescent="0.3">
      <c r="B832" s="39"/>
      <c r="D832" s="152"/>
    </row>
    <row r="833" spans="2:4" ht="15.75" customHeight="1" x14ac:dyDescent="0.3">
      <c r="B833" s="39"/>
      <c r="D833" s="152"/>
    </row>
    <row r="834" spans="2:4" ht="15.75" customHeight="1" x14ac:dyDescent="0.3">
      <c r="B834" s="39"/>
      <c r="D834" s="152"/>
    </row>
    <row r="835" spans="2:4" ht="15.75" customHeight="1" x14ac:dyDescent="0.3">
      <c r="B835" s="39"/>
      <c r="D835" s="152"/>
    </row>
    <row r="836" spans="2:4" ht="15.75" customHeight="1" x14ac:dyDescent="0.3">
      <c r="B836" s="39"/>
      <c r="D836" s="152"/>
    </row>
    <row r="837" spans="2:4" ht="15.75" customHeight="1" x14ac:dyDescent="0.3">
      <c r="B837" s="39"/>
      <c r="D837" s="152"/>
    </row>
    <row r="838" spans="2:4" ht="15.75" customHeight="1" x14ac:dyDescent="0.3">
      <c r="B838" s="39"/>
      <c r="D838" s="152"/>
    </row>
    <row r="839" spans="2:4" ht="15.75" customHeight="1" x14ac:dyDescent="0.3">
      <c r="B839" s="39"/>
      <c r="D839" s="152"/>
    </row>
    <row r="840" spans="2:4" ht="15.75" customHeight="1" x14ac:dyDescent="0.3">
      <c r="B840" s="39"/>
      <c r="D840" s="152"/>
    </row>
    <row r="841" spans="2:4" ht="15.75" customHeight="1" x14ac:dyDescent="0.3">
      <c r="B841" s="39"/>
      <c r="D841" s="152"/>
    </row>
    <row r="842" spans="2:4" ht="15.75" customHeight="1" x14ac:dyDescent="0.3">
      <c r="B842" s="39"/>
      <c r="D842" s="152"/>
    </row>
    <row r="843" spans="2:4" ht="15.75" customHeight="1" x14ac:dyDescent="0.3">
      <c r="B843" s="39"/>
      <c r="D843" s="152"/>
    </row>
    <row r="844" spans="2:4" ht="15.75" customHeight="1" x14ac:dyDescent="0.3">
      <c r="B844" s="39"/>
      <c r="D844" s="152"/>
    </row>
    <row r="845" spans="2:4" ht="15.75" customHeight="1" x14ac:dyDescent="0.3">
      <c r="B845" s="39"/>
      <c r="D845" s="152"/>
    </row>
    <row r="846" spans="2:4" ht="15.75" customHeight="1" x14ac:dyDescent="0.3">
      <c r="B846" s="39"/>
      <c r="D846" s="152"/>
    </row>
    <row r="847" spans="2:4" ht="15.75" customHeight="1" x14ac:dyDescent="0.3">
      <c r="B847" s="39"/>
      <c r="D847" s="152"/>
    </row>
    <row r="848" spans="2:4" ht="15.75" customHeight="1" x14ac:dyDescent="0.3">
      <c r="B848" s="39"/>
      <c r="D848" s="152"/>
    </row>
    <row r="849" spans="2:4" ht="15.75" customHeight="1" x14ac:dyDescent="0.3">
      <c r="B849" s="39"/>
      <c r="D849" s="152"/>
    </row>
    <row r="850" spans="2:4" ht="15.75" customHeight="1" x14ac:dyDescent="0.3">
      <c r="B850" s="39"/>
      <c r="D850" s="152"/>
    </row>
    <row r="851" spans="2:4" ht="15.75" customHeight="1" x14ac:dyDescent="0.3">
      <c r="B851" s="39"/>
      <c r="D851" s="152"/>
    </row>
    <row r="852" spans="2:4" ht="15.75" customHeight="1" x14ac:dyDescent="0.3">
      <c r="B852" s="39"/>
      <c r="D852" s="152"/>
    </row>
    <row r="853" spans="2:4" ht="15.75" customHeight="1" x14ac:dyDescent="0.3">
      <c r="B853" s="39"/>
      <c r="D853" s="152"/>
    </row>
    <row r="854" spans="2:4" ht="15.75" customHeight="1" x14ac:dyDescent="0.3">
      <c r="B854" s="39"/>
      <c r="D854" s="152"/>
    </row>
    <row r="855" spans="2:4" ht="15.75" customHeight="1" x14ac:dyDescent="0.3">
      <c r="B855" s="39"/>
      <c r="D855" s="152"/>
    </row>
    <row r="856" spans="2:4" ht="15.75" customHeight="1" x14ac:dyDescent="0.3">
      <c r="B856" s="39"/>
      <c r="D856" s="152"/>
    </row>
    <row r="857" spans="2:4" ht="15.75" customHeight="1" x14ac:dyDescent="0.3">
      <c r="B857" s="39"/>
      <c r="D857" s="152"/>
    </row>
    <row r="858" spans="2:4" ht="15.75" customHeight="1" x14ac:dyDescent="0.3">
      <c r="B858" s="39"/>
      <c r="D858" s="152"/>
    </row>
    <row r="859" spans="2:4" ht="15.75" customHeight="1" x14ac:dyDescent="0.3">
      <c r="B859" s="39"/>
      <c r="D859" s="152"/>
    </row>
    <row r="860" spans="2:4" ht="15.75" customHeight="1" x14ac:dyDescent="0.3">
      <c r="B860" s="39"/>
      <c r="D860" s="152"/>
    </row>
    <row r="861" spans="2:4" ht="15.75" customHeight="1" x14ac:dyDescent="0.3">
      <c r="B861" s="39"/>
      <c r="D861" s="152"/>
    </row>
    <row r="862" spans="2:4" ht="15.75" customHeight="1" x14ac:dyDescent="0.3">
      <c r="B862" s="39"/>
      <c r="D862" s="152"/>
    </row>
    <row r="863" spans="2:4" ht="15.75" customHeight="1" x14ac:dyDescent="0.3">
      <c r="B863" s="39"/>
      <c r="D863" s="152"/>
    </row>
    <row r="864" spans="2:4" ht="15.75" customHeight="1" x14ac:dyDescent="0.3">
      <c r="B864" s="39"/>
      <c r="D864" s="152"/>
    </row>
    <row r="865" spans="2:4" ht="15.75" customHeight="1" x14ac:dyDescent="0.3">
      <c r="B865" s="39"/>
      <c r="D865" s="152"/>
    </row>
    <row r="866" spans="2:4" ht="15.75" customHeight="1" x14ac:dyDescent="0.3">
      <c r="B866" s="39"/>
      <c r="D866" s="152"/>
    </row>
    <row r="867" spans="2:4" ht="15.75" customHeight="1" x14ac:dyDescent="0.3">
      <c r="B867" s="39"/>
      <c r="D867" s="152"/>
    </row>
    <row r="868" spans="2:4" ht="15.75" customHeight="1" x14ac:dyDescent="0.3">
      <c r="B868" s="39"/>
      <c r="D868" s="152"/>
    </row>
    <row r="869" spans="2:4" ht="15.75" customHeight="1" x14ac:dyDescent="0.3">
      <c r="B869" s="39"/>
      <c r="D869" s="152"/>
    </row>
    <row r="870" spans="2:4" ht="15.75" customHeight="1" x14ac:dyDescent="0.3">
      <c r="B870" s="39"/>
      <c r="D870" s="152"/>
    </row>
    <row r="871" spans="2:4" ht="15.75" customHeight="1" x14ac:dyDescent="0.3">
      <c r="B871" s="39"/>
      <c r="D871" s="152"/>
    </row>
    <row r="872" spans="2:4" ht="15.75" customHeight="1" x14ac:dyDescent="0.3">
      <c r="B872" s="39"/>
      <c r="D872" s="152"/>
    </row>
    <row r="873" spans="2:4" ht="15.75" customHeight="1" x14ac:dyDescent="0.3">
      <c r="B873" s="39"/>
      <c r="D873" s="152"/>
    </row>
    <row r="874" spans="2:4" ht="15.75" customHeight="1" x14ac:dyDescent="0.3">
      <c r="B874" s="39"/>
      <c r="D874" s="152"/>
    </row>
    <row r="875" spans="2:4" ht="15.75" customHeight="1" x14ac:dyDescent="0.3">
      <c r="B875" s="39"/>
      <c r="D875" s="152"/>
    </row>
    <row r="876" spans="2:4" ht="15.75" customHeight="1" x14ac:dyDescent="0.3">
      <c r="B876" s="39"/>
      <c r="D876" s="152"/>
    </row>
    <row r="877" spans="2:4" ht="15.75" customHeight="1" x14ac:dyDescent="0.3">
      <c r="B877" s="39"/>
      <c r="D877" s="152"/>
    </row>
    <row r="878" spans="2:4" ht="15.75" customHeight="1" x14ac:dyDescent="0.3">
      <c r="B878" s="39"/>
      <c r="D878" s="152"/>
    </row>
    <row r="879" spans="2:4" ht="15.75" customHeight="1" x14ac:dyDescent="0.3">
      <c r="B879" s="39"/>
      <c r="D879" s="152"/>
    </row>
    <row r="880" spans="2:4" ht="15.75" customHeight="1" x14ac:dyDescent="0.3">
      <c r="B880" s="39"/>
      <c r="D880" s="152"/>
    </row>
    <row r="881" spans="2:4" ht="15.75" customHeight="1" x14ac:dyDescent="0.3">
      <c r="B881" s="39"/>
      <c r="D881" s="152"/>
    </row>
    <row r="882" spans="2:4" ht="15.75" customHeight="1" x14ac:dyDescent="0.3">
      <c r="B882" s="39"/>
      <c r="D882" s="152"/>
    </row>
    <row r="883" spans="2:4" ht="15.75" customHeight="1" x14ac:dyDescent="0.3">
      <c r="B883" s="39"/>
      <c r="D883" s="152"/>
    </row>
    <row r="884" spans="2:4" ht="15.75" customHeight="1" x14ac:dyDescent="0.3">
      <c r="B884" s="39"/>
      <c r="D884" s="152"/>
    </row>
    <row r="885" spans="2:4" ht="15.75" customHeight="1" x14ac:dyDescent="0.3">
      <c r="B885" s="39"/>
      <c r="D885" s="152"/>
    </row>
    <row r="886" spans="2:4" ht="15.75" customHeight="1" x14ac:dyDescent="0.3">
      <c r="B886" s="39"/>
      <c r="D886" s="152"/>
    </row>
    <row r="887" spans="2:4" ht="15.75" customHeight="1" x14ac:dyDescent="0.3">
      <c r="B887" s="39"/>
      <c r="D887" s="152"/>
    </row>
    <row r="888" spans="2:4" ht="15.75" customHeight="1" x14ac:dyDescent="0.3">
      <c r="B888" s="39"/>
      <c r="D888" s="152"/>
    </row>
    <row r="889" spans="2:4" ht="15.75" customHeight="1" x14ac:dyDescent="0.3">
      <c r="B889" s="39"/>
      <c r="D889" s="152"/>
    </row>
    <row r="890" spans="2:4" ht="15.75" customHeight="1" x14ac:dyDescent="0.3">
      <c r="B890" s="39"/>
      <c r="D890" s="152"/>
    </row>
    <row r="891" spans="2:4" ht="15.75" customHeight="1" x14ac:dyDescent="0.3">
      <c r="B891" s="39"/>
      <c r="D891" s="152"/>
    </row>
    <row r="892" spans="2:4" ht="15.75" customHeight="1" x14ac:dyDescent="0.3">
      <c r="B892" s="39"/>
      <c r="D892" s="152"/>
    </row>
    <row r="893" spans="2:4" ht="15.75" customHeight="1" x14ac:dyDescent="0.3">
      <c r="B893" s="39"/>
      <c r="D893" s="152"/>
    </row>
    <row r="894" spans="2:4" ht="15.75" customHeight="1" x14ac:dyDescent="0.3">
      <c r="B894" s="39"/>
      <c r="D894" s="152"/>
    </row>
    <row r="895" spans="2:4" ht="15.75" customHeight="1" x14ac:dyDescent="0.3">
      <c r="B895" s="39"/>
      <c r="D895" s="152"/>
    </row>
    <row r="896" spans="2:4" ht="15.75" customHeight="1" x14ac:dyDescent="0.3">
      <c r="B896" s="39"/>
      <c r="D896" s="152"/>
    </row>
    <row r="897" spans="2:4" ht="15.75" customHeight="1" x14ac:dyDescent="0.3">
      <c r="B897" s="39"/>
      <c r="D897" s="152"/>
    </row>
    <row r="898" spans="2:4" ht="15.75" customHeight="1" x14ac:dyDescent="0.3">
      <c r="B898" s="39"/>
      <c r="D898" s="152"/>
    </row>
    <row r="899" spans="2:4" ht="15.75" customHeight="1" x14ac:dyDescent="0.3">
      <c r="B899" s="39"/>
      <c r="D899" s="152"/>
    </row>
    <row r="900" spans="2:4" ht="15.75" customHeight="1" x14ac:dyDescent="0.3">
      <c r="B900" s="39"/>
      <c r="D900" s="152"/>
    </row>
    <row r="901" spans="2:4" ht="15.75" customHeight="1" x14ac:dyDescent="0.3">
      <c r="B901" s="39"/>
      <c r="D901" s="152"/>
    </row>
    <row r="902" spans="2:4" ht="15.75" customHeight="1" x14ac:dyDescent="0.3">
      <c r="B902" s="39"/>
      <c r="D902" s="152"/>
    </row>
    <row r="903" spans="2:4" ht="15.75" customHeight="1" x14ac:dyDescent="0.3">
      <c r="B903" s="39"/>
      <c r="D903" s="152"/>
    </row>
    <row r="904" spans="2:4" ht="15.75" customHeight="1" x14ac:dyDescent="0.3">
      <c r="B904" s="39"/>
      <c r="D904" s="152"/>
    </row>
    <row r="905" spans="2:4" ht="15.75" customHeight="1" x14ac:dyDescent="0.3">
      <c r="B905" s="39"/>
      <c r="D905" s="152"/>
    </row>
    <row r="906" spans="2:4" ht="15.75" customHeight="1" x14ac:dyDescent="0.3">
      <c r="B906" s="39"/>
      <c r="D906" s="152"/>
    </row>
    <row r="907" spans="2:4" ht="15.75" customHeight="1" x14ac:dyDescent="0.3">
      <c r="B907" s="39"/>
      <c r="D907" s="152"/>
    </row>
    <row r="908" spans="2:4" ht="15.75" customHeight="1" x14ac:dyDescent="0.3">
      <c r="B908" s="39"/>
      <c r="D908" s="152"/>
    </row>
    <row r="909" spans="2:4" ht="15.75" customHeight="1" x14ac:dyDescent="0.3">
      <c r="B909" s="39"/>
      <c r="D909" s="152"/>
    </row>
    <row r="910" spans="2:4" ht="15.75" customHeight="1" x14ac:dyDescent="0.3">
      <c r="B910" s="39"/>
      <c r="D910" s="152"/>
    </row>
    <row r="911" spans="2:4" ht="15.75" customHeight="1" x14ac:dyDescent="0.3">
      <c r="B911" s="39"/>
      <c r="D911" s="152"/>
    </row>
    <row r="912" spans="2:4" ht="15.75" customHeight="1" x14ac:dyDescent="0.3">
      <c r="B912" s="39"/>
      <c r="D912" s="152"/>
    </row>
    <row r="913" spans="2:4" ht="15.75" customHeight="1" x14ac:dyDescent="0.3">
      <c r="B913" s="39"/>
      <c r="D913" s="152"/>
    </row>
    <row r="914" spans="2:4" ht="15.75" customHeight="1" x14ac:dyDescent="0.3">
      <c r="B914" s="39"/>
      <c r="D914" s="152"/>
    </row>
    <row r="915" spans="2:4" ht="15.75" customHeight="1" x14ac:dyDescent="0.3">
      <c r="B915" s="39"/>
      <c r="D915" s="152"/>
    </row>
    <row r="916" spans="2:4" ht="15.75" customHeight="1" x14ac:dyDescent="0.3">
      <c r="B916" s="39"/>
      <c r="D916" s="152"/>
    </row>
    <row r="917" spans="2:4" ht="15.75" customHeight="1" x14ac:dyDescent="0.3">
      <c r="B917" s="39"/>
      <c r="D917" s="152"/>
    </row>
    <row r="918" spans="2:4" ht="15.75" customHeight="1" x14ac:dyDescent="0.3">
      <c r="B918" s="39"/>
      <c r="D918" s="152"/>
    </row>
    <row r="919" spans="2:4" ht="15.75" customHeight="1" x14ac:dyDescent="0.3">
      <c r="B919" s="39"/>
      <c r="D919" s="152"/>
    </row>
    <row r="920" spans="2:4" ht="15.75" customHeight="1" x14ac:dyDescent="0.3">
      <c r="B920" s="39"/>
      <c r="D920" s="152"/>
    </row>
    <row r="921" spans="2:4" ht="15.75" customHeight="1" x14ac:dyDescent="0.3">
      <c r="B921" s="39"/>
      <c r="D921" s="152"/>
    </row>
    <row r="922" spans="2:4" ht="15.75" customHeight="1" x14ac:dyDescent="0.3">
      <c r="B922" s="39"/>
      <c r="D922" s="152"/>
    </row>
    <row r="923" spans="2:4" ht="15.75" customHeight="1" x14ac:dyDescent="0.3">
      <c r="B923" s="39"/>
      <c r="D923" s="152"/>
    </row>
    <row r="924" spans="2:4" ht="15.75" customHeight="1" x14ac:dyDescent="0.3">
      <c r="B924" s="39"/>
      <c r="D924" s="152"/>
    </row>
    <row r="925" spans="2:4" ht="15.75" customHeight="1" x14ac:dyDescent="0.3">
      <c r="B925" s="39"/>
      <c r="D925" s="152"/>
    </row>
    <row r="926" spans="2:4" ht="15.75" customHeight="1" x14ac:dyDescent="0.3">
      <c r="B926" s="39"/>
      <c r="D926" s="152"/>
    </row>
    <row r="927" spans="2:4" ht="15.75" customHeight="1" x14ac:dyDescent="0.3">
      <c r="B927" s="39"/>
      <c r="D927" s="152"/>
    </row>
    <row r="928" spans="2:4" ht="15.75" customHeight="1" x14ac:dyDescent="0.3">
      <c r="B928" s="39"/>
      <c r="D928" s="152"/>
    </row>
    <row r="929" spans="2:4" ht="15.75" customHeight="1" x14ac:dyDescent="0.3">
      <c r="B929" s="39"/>
      <c r="D929" s="152"/>
    </row>
    <row r="930" spans="2:4" ht="15.75" customHeight="1" x14ac:dyDescent="0.3">
      <c r="B930" s="39"/>
      <c r="D930" s="152"/>
    </row>
    <row r="931" spans="2:4" ht="15.75" customHeight="1" x14ac:dyDescent="0.3">
      <c r="B931" s="39"/>
      <c r="D931" s="152"/>
    </row>
    <row r="932" spans="2:4" ht="15.75" customHeight="1" x14ac:dyDescent="0.3">
      <c r="B932" s="39"/>
      <c r="D932" s="152"/>
    </row>
    <row r="933" spans="2:4" ht="15.75" customHeight="1" x14ac:dyDescent="0.3">
      <c r="B933" s="39"/>
      <c r="D933" s="152"/>
    </row>
    <row r="934" spans="2:4" ht="15.75" customHeight="1" x14ac:dyDescent="0.3">
      <c r="B934" s="39"/>
      <c r="D934" s="152"/>
    </row>
    <row r="935" spans="2:4" ht="15.75" customHeight="1" x14ac:dyDescent="0.3">
      <c r="B935" s="39"/>
      <c r="D935" s="152"/>
    </row>
    <row r="936" spans="2:4" ht="15.75" customHeight="1" x14ac:dyDescent="0.3">
      <c r="B936" s="39"/>
      <c r="D936" s="152"/>
    </row>
    <row r="937" spans="2:4" ht="15.75" customHeight="1" x14ac:dyDescent="0.3">
      <c r="B937" s="39"/>
      <c r="D937" s="152"/>
    </row>
    <row r="938" spans="2:4" ht="15.75" customHeight="1" x14ac:dyDescent="0.3">
      <c r="B938" s="39"/>
      <c r="D938" s="152"/>
    </row>
    <row r="939" spans="2:4" ht="15.75" customHeight="1" x14ac:dyDescent="0.3">
      <c r="B939" s="39"/>
      <c r="D939" s="152"/>
    </row>
    <row r="940" spans="2:4" ht="15.75" customHeight="1" x14ac:dyDescent="0.3">
      <c r="B940" s="39"/>
      <c r="D940" s="152"/>
    </row>
    <row r="941" spans="2:4" ht="15.75" customHeight="1" x14ac:dyDescent="0.3">
      <c r="B941" s="39"/>
      <c r="D941" s="152"/>
    </row>
    <row r="942" spans="2:4" ht="15.75" customHeight="1" x14ac:dyDescent="0.3">
      <c r="B942" s="39"/>
      <c r="D942" s="152"/>
    </row>
    <row r="943" spans="2:4" ht="15.75" customHeight="1" x14ac:dyDescent="0.3">
      <c r="B943" s="39"/>
      <c r="D943" s="152"/>
    </row>
    <row r="944" spans="2:4" ht="15.75" customHeight="1" x14ac:dyDescent="0.3">
      <c r="B944" s="39"/>
      <c r="D944" s="152"/>
    </row>
    <row r="945" spans="2:4" ht="15.75" customHeight="1" x14ac:dyDescent="0.3">
      <c r="B945" s="39"/>
      <c r="D945" s="152"/>
    </row>
    <row r="946" spans="2:4" ht="15.75" customHeight="1" x14ac:dyDescent="0.3">
      <c r="B946" s="39"/>
      <c r="D946" s="152"/>
    </row>
    <row r="947" spans="2:4" ht="15.75" customHeight="1" x14ac:dyDescent="0.3">
      <c r="B947" s="39"/>
      <c r="D947" s="152"/>
    </row>
    <row r="948" spans="2:4" ht="15.75" customHeight="1" x14ac:dyDescent="0.3">
      <c r="B948" s="39"/>
      <c r="D948" s="152"/>
    </row>
    <row r="949" spans="2:4" ht="15.75" customHeight="1" x14ac:dyDescent="0.3">
      <c r="B949" s="39"/>
      <c r="D949" s="152"/>
    </row>
    <row r="950" spans="2:4" ht="15.75" customHeight="1" x14ac:dyDescent="0.3">
      <c r="B950" s="39"/>
      <c r="D950" s="152"/>
    </row>
    <row r="951" spans="2:4" ht="15.75" customHeight="1" x14ac:dyDescent="0.3">
      <c r="B951" s="39"/>
      <c r="D951" s="152"/>
    </row>
    <row r="952" spans="2:4" ht="15.75" customHeight="1" x14ac:dyDescent="0.3">
      <c r="B952" s="39"/>
      <c r="D952" s="152"/>
    </row>
    <row r="953" spans="2:4" ht="15.75" customHeight="1" x14ac:dyDescent="0.3">
      <c r="B953" s="39"/>
      <c r="D953" s="152"/>
    </row>
    <row r="954" spans="2:4" ht="15.75" customHeight="1" x14ac:dyDescent="0.3">
      <c r="B954" s="39"/>
      <c r="D954" s="152"/>
    </row>
    <row r="955" spans="2:4" ht="15.75" customHeight="1" x14ac:dyDescent="0.3">
      <c r="B955" s="39"/>
      <c r="D955" s="152"/>
    </row>
    <row r="956" spans="2:4" ht="15.75" customHeight="1" x14ac:dyDescent="0.3">
      <c r="B956" s="39"/>
      <c r="D956" s="152"/>
    </row>
    <row r="957" spans="2:4" ht="15.75" customHeight="1" x14ac:dyDescent="0.3">
      <c r="B957" s="39"/>
      <c r="D957" s="152"/>
    </row>
    <row r="958" spans="2:4" ht="15.75" customHeight="1" x14ac:dyDescent="0.3">
      <c r="B958" s="39"/>
      <c r="D958" s="152"/>
    </row>
    <row r="959" spans="2:4" ht="15.75" customHeight="1" x14ac:dyDescent="0.3">
      <c r="B959" s="39"/>
      <c r="D959" s="152"/>
    </row>
    <row r="960" spans="2:4" ht="15.75" customHeight="1" x14ac:dyDescent="0.3">
      <c r="B960" s="39"/>
      <c r="D960" s="152"/>
    </row>
    <row r="961" spans="2:4" ht="15.75" customHeight="1" x14ac:dyDescent="0.3">
      <c r="B961" s="39"/>
      <c r="D961" s="152"/>
    </row>
    <row r="962" spans="2:4" ht="15.75" customHeight="1" x14ac:dyDescent="0.3">
      <c r="B962" s="39"/>
      <c r="D962" s="152"/>
    </row>
    <row r="963" spans="2:4" ht="15.75" customHeight="1" x14ac:dyDescent="0.3">
      <c r="B963" s="39"/>
      <c r="D963" s="152"/>
    </row>
    <row r="964" spans="2:4" ht="15.75" customHeight="1" x14ac:dyDescent="0.3">
      <c r="B964" s="39"/>
      <c r="D964" s="152"/>
    </row>
    <row r="965" spans="2:4" ht="15.75" customHeight="1" x14ac:dyDescent="0.3">
      <c r="B965" s="39"/>
      <c r="D965" s="152"/>
    </row>
    <row r="966" spans="2:4" ht="15.75" customHeight="1" x14ac:dyDescent="0.3">
      <c r="B966" s="39"/>
      <c r="D966" s="152"/>
    </row>
    <row r="967" spans="2:4" ht="15.75" customHeight="1" x14ac:dyDescent="0.3">
      <c r="B967" s="39"/>
      <c r="D967" s="152"/>
    </row>
    <row r="968" spans="2:4" ht="15.75" customHeight="1" x14ac:dyDescent="0.3">
      <c r="B968" s="39"/>
      <c r="D968" s="152"/>
    </row>
    <row r="969" spans="2:4" ht="15.75" customHeight="1" x14ac:dyDescent="0.3">
      <c r="B969" s="39"/>
      <c r="D969" s="152"/>
    </row>
    <row r="970" spans="2:4" ht="15.75" customHeight="1" x14ac:dyDescent="0.3">
      <c r="B970" s="39"/>
      <c r="D970" s="152"/>
    </row>
    <row r="971" spans="2:4" ht="15.75" customHeight="1" x14ac:dyDescent="0.3">
      <c r="B971" s="39"/>
      <c r="D971" s="152"/>
    </row>
    <row r="972" spans="2:4" ht="15.75" customHeight="1" x14ac:dyDescent="0.3">
      <c r="B972" s="39"/>
      <c r="D972" s="152"/>
    </row>
    <row r="973" spans="2:4" ht="15.75" customHeight="1" x14ac:dyDescent="0.3">
      <c r="B973" s="39"/>
      <c r="D973" s="152"/>
    </row>
    <row r="974" spans="2:4" ht="15.75" customHeight="1" x14ac:dyDescent="0.3">
      <c r="B974" s="39"/>
      <c r="D974" s="152"/>
    </row>
    <row r="975" spans="2:4" ht="15.75" customHeight="1" x14ac:dyDescent="0.3">
      <c r="B975" s="39"/>
      <c r="D975" s="152"/>
    </row>
    <row r="976" spans="2:4" ht="15.75" customHeight="1" x14ac:dyDescent="0.3">
      <c r="B976" s="39"/>
      <c r="D976" s="152"/>
    </row>
    <row r="977" spans="2:4" ht="15.75" customHeight="1" x14ac:dyDescent="0.3">
      <c r="B977" s="39"/>
      <c r="D977" s="152"/>
    </row>
    <row r="978" spans="2:4" ht="15.75" customHeight="1" x14ac:dyDescent="0.3">
      <c r="B978" s="39"/>
      <c r="D978" s="152"/>
    </row>
    <row r="979" spans="2:4" ht="15.75" customHeight="1" x14ac:dyDescent="0.3">
      <c r="B979" s="39"/>
      <c r="D979" s="152"/>
    </row>
    <row r="980" spans="2:4" ht="15.75" customHeight="1" x14ac:dyDescent="0.3">
      <c r="B980" s="39"/>
      <c r="D980" s="152"/>
    </row>
    <row r="981" spans="2:4" ht="15.75" customHeight="1" x14ac:dyDescent="0.3">
      <c r="B981" s="39"/>
      <c r="D981" s="152"/>
    </row>
    <row r="982" spans="2:4" ht="15.75" customHeight="1" x14ac:dyDescent="0.3">
      <c r="B982" s="39"/>
      <c r="D982" s="152"/>
    </row>
    <row r="983" spans="2:4" ht="15.75" customHeight="1" x14ac:dyDescent="0.3">
      <c r="B983" s="39"/>
      <c r="D983" s="152"/>
    </row>
    <row r="984" spans="2:4" ht="15.75" customHeight="1" x14ac:dyDescent="0.3">
      <c r="B984" s="39"/>
      <c r="D984" s="152"/>
    </row>
    <row r="985" spans="2:4" ht="15.75" customHeight="1" x14ac:dyDescent="0.3">
      <c r="B985" s="39"/>
      <c r="D985" s="152"/>
    </row>
    <row r="986" spans="2:4" ht="15.75" customHeight="1" x14ac:dyDescent="0.3">
      <c r="B986" s="39"/>
      <c r="D986" s="152"/>
    </row>
    <row r="987" spans="2:4" ht="15.75" customHeight="1" x14ac:dyDescent="0.3">
      <c r="B987" s="39"/>
      <c r="D987" s="152"/>
    </row>
    <row r="988" spans="2:4" ht="15.75" customHeight="1" x14ac:dyDescent="0.3">
      <c r="B988" s="39"/>
      <c r="D988" s="152"/>
    </row>
    <row r="989" spans="2:4" ht="15.75" customHeight="1" x14ac:dyDescent="0.3">
      <c r="B989" s="39"/>
      <c r="D989" s="152"/>
    </row>
    <row r="990" spans="2:4" ht="15.75" customHeight="1" x14ac:dyDescent="0.3">
      <c r="B990" s="39"/>
      <c r="D990" s="152"/>
    </row>
    <row r="991" spans="2:4" ht="15.75" customHeight="1" x14ac:dyDescent="0.3">
      <c r="B991" s="39"/>
      <c r="D991" s="152"/>
    </row>
    <row r="992" spans="2:4" ht="15.75" customHeight="1" x14ac:dyDescent="0.3">
      <c r="B992" s="39"/>
      <c r="D992" s="152"/>
    </row>
    <row r="993" spans="2:4" ht="15.75" customHeight="1" x14ac:dyDescent="0.3">
      <c r="B993" s="39"/>
      <c r="D993" s="152"/>
    </row>
    <row r="994" spans="2:4" ht="15.75" customHeight="1" x14ac:dyDescent="0.3">
      <c r="B994" s="39"/>
      <c r="D994" s="152"/>
    </row>
    <row r="995" spans="2:4" ht="15.75" customHeight="1" x14ac:dyDescent="0.3">
      <c r="B995" s="39"/>
      <c r="D995" s="152"/>
    </row>
    <row r="996" spans="2:4" ht="15.75" customHeight="1" x14ac:dyDescent="0.3">
      <c r="B996" s="39"/>
      <c r="D996" s="152"/>
    </row>
    <row r="997" spans="2:4" ht="15.75" customHeight="1" x14ac:dyDescent="0.3">
      <c r="B997" s="39"/>
      <c r="D997" s="152"/>
    </row>
    <row r="998" spans="2:4" ht="15.75" customHeight="1" x14ac:dyDescent="0.3">
      <c r="B998" s="39"/>
      <c r="D998" s="152"/>
    </row>
    <row r="999" spans="2:4" ht="15.75" customHeight="1" x14ac:dyDescent="0.3">
      <c r="B999" s="39"/>
      <c r="D999" s="152"/>
    </row>
    <row r="1000" spans="2:4" ht="15.75" customHeight="1" x14ac:dyDescent="0.3">
      <c r="B1000" s="39"/>
      <c r="D1000" s="152"/>
    </row>
  </sheetData>
  <mergeCells count="8">
    <mergeCell ref="A2:R2"/>
    <mergeCell ref="A3:B3"/>
    <mergeCell ref="A5:A6"/>
    <mergeCell ref="B5:B6"/>
    <mergeCell ref="C5:C6"/>
    <mergeCell ref="D5:D6"/>
    <mergeCell ref="E5:E6"/>
    <mergeCell ref="F5:R5"/>
  </mergeCells>
  <pageMargins left="0.7" right="0.7" top="0.75" bottom="0.75" header="0" footer="0"/>
  <pageSetup paperSize="9" orientation="portrait"/>
  <headerFooter>
    <oddFooter>&amp;L000000Open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pane xSplit="4" ySplit="6" topLeftCell="E85" activePane="bottomRight" state="frozen"/>
      <selection pane="topRight" activeCell="E1" sqref="E1"/>
      <selection pane="bottomLeft" activeCell="A7" sqref="A7"/>
      <selection pane="bottomRight" activeCell="C94" sqref="C94"/>
    </sheetView>
  </sheetViews>
  <sheetFormatPr defaultColWidth="14.44140625" defaultRowHeight="15" customHeight="1" x14ac:dyDescent="0.3"/>
  <cols>
    <col min="1" max="1" width="6.6640625" style="148" customWidth="1"/>
    <col min="2" max="2" width="10.6640625" style="148" customWidth="1"/>
    <col min="3" max="3" width="45.33203125" customWidth="1"/>
    <col min="4" max="4" width="9.44140625" customWidth="1"/>
    <col min="5" max="5" width="13.109375" customWidth="1"/>
    <col min="6" max="6" width="4" customWidth="1"/>
    <col min="7" max="7" width="3.88671875" customWidth="1"/>
    <col min="8" max="8" width="4.33203125" customWidth="1"/>
    <col min="9" max="9" width="3.6640625" customWidth="1"/>
    <col min="10" max="10" width="4.44140625" customWidth="1"/>
    <col min="11" max="13" width="4" customWidth="1"/>
    <col min="14" max="15" width="3.88671875" customWidth="1"/>
    <col min="16" max="16" width="4.33203125" customWidth="1"/>
    <col min="17" max="17" width="4.109375" customWidth="1"/>
    <col min="18" max="19" width="6.6640625" customWidth="1"/>
    <col min="20" max="22" width="8.88671875" customWidth="1"/>
    <col min="23" max="23" width="11.44140625" customWidth="1"/>
    <col min="24" max="26" width="8.88671875" customWidth="1"/>
  </cols>
  <sheetData>
    <row r="1" spans="1:25" ht="14.4" x14ac:dyDescent="0.3">
      <c r="B1" s="152"/>
      <c r="D1" s="39"/>
    </row>
    <row r="2" spans="1:25" ht="21" x14ac:dyDescent="0.4">
      <c r="A2" s="376" t="s">
        <v>686</v>
      </c>
      <c r="B2" s="377"/>
      <c r="C2" s="377"/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40"/>
    </row>
    <row r="3" spans="1:25" ht="21" x14ac:dyDescent="0.4">
      <c r="A3" s="376" t="s">
        <v>687</v>
      </c>
      <c r="B3" s="377"/>
      <c r="C3" s="41">
        <f>E143+R143</f>
        <v>5840</v>
      </c>
      <c r="D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V3" s="20" t="e">
        <f>#REF!</f>
        <v>#REF!</v>
      </c>
      <c r="W3" s="42" t="e">
        <f>V3-C3</f>
        <v>#REF!</v>
      </c>
      <c r="Y3" s="20">
        <v>4360</v>
      </c>
    </row>
    <row r="4" spans="1:25" ht="14.4" x14ac:dyDescent="0.3">
      <c r="B4" s="152"/>
      <c r="D4" s="39"/>
      <c r="Y4" s="20">
        <v>408</v>
      </c>
    </row>
    <row r="5" spans="1:25" ht="14.4" x14ac:dyDescent="0.3">
      <c r="A5" s="378" t="s">
        <v>3</v>
      </c>
      <c r="B5" s="380" t="s">
        <v>688</v>
      </c>
      <c r="C5" s="378" t="s">
        <v>689</v>
      </c>
      <c r="D5" s="380" t="s">
        <v>690</v>
      </c>
      <c r="E5" s="378" t="s">
        <v>691</v>
      </c>
      <c r="F5" s="382" t="s">
        <v>692</v>
      </c>
      <c r="G5" s="383"/>
      <c r="H5" s="383"/>
      <c r="I5" s="383"/>
      <c r="J5" s="383"/>
      <c r="K5" s="383"/>
      <c r="L5" s="383"/>
      <c r="M5" s="383"/>
      <c r="N5" s="383"/>
      <c r="O5" s="383"/>
      <c r="P5" s="383"/>
      <c r="Q5" s="383"/>
      <c r="R5" s="384"/>
      <c r="S5" s="63"/>
    </row>
    <row r="6" spans="1:25" ht="14.4" x14ac:dyDescent="0.3">
      <c r="A6" s="381"/>
      <c r="B6" s="381"/>
      <c r="C6" s="379"/>
      <c r="D6" s="379"/>
      <c r="E6" s="379"/>
      <c r="F6" s="43" t="s">
        <v>693</v>
      </c>
      <c r="G6" s="43" t="s">
        <v>694</v>
      </c>
      <c r="H6" s="43" t="s">
        <v>695</v>
      </c>
      <c r="I6" s="43" t="s">
        <v>696</v>
      </c>
      <c r="J6" s="43" t="s">
        <v>697</v>
      </c>
      <c r="K6" s="43" t="s">
        <v>698</v>
      </c>
      <c r="L6" s="43" t="s">
        <v>699</v>
      </c>
      <c r="M6" s="43" t="s">
        <v>700</v>
      </c>
      <c r="N6" s="43" t="s">
        <v>701</v>
      </c>
      <c r="O6" s="43" t="s">
        <v>702</v>
      </c>
      <c r="P6" s="43" t="s">
        <v>703</v>
      </c>
      <c r="Q6" s="43" t="s">
        <v>704</v>
      </c>
      <c r="R6" s="43" t="s">
        <v>705</v>
      </c>
      <c r="S6" s="64"/>
      <c r="Y6" s="20">
        <f>Y3+Y4+Y5</f>
        <v>4768</v>
      </c>
    </row>
    <row r="7" spans="1:25" ht="14.4" x14ac:dyDescent="0.3">
      <c r="A7" s="120">
        <v>1</v>
      </c>
      <c r="B7" s="206" t="s">
        <v>636</v>
      </c>
      <c r="C7" s="14" t="s">
        <v>638</v>
      </c>
      <c r="D7" s="47" t="s">
        <v>706</v>
      </c>
      <c r="E7" s="44"/>
      <c r="F7" s="44">
        <v>10</v>
      </c>
      <c r="G7" s="44">
        <v>10</v>
      </c>
      <c r="H7" s="44">
        <v>10</v>
      </c>
      <c r="I7" s="44">
        <v>10</v>
      </c>
      <c r="J7" s="44">
        <v>10</v>
      </c>
      <c r="K7" s="44">
        <v>10</v>
      </c>
      <c r="L7" s="44">
        <v>10</v>
      </c>
      <c r="M7" s="44">
        <v>10</v>
      </c>
      <c r="N7" s="44">
        <v>10</v>
      </c>
      <c r="O7" s="44">
        <v>10</v>
      </c>
      <c r="P7" s="44">
        <v>10</v>
      </c>
      <c r="Q7" s="44">
        <v>10</v>
      </c>
      <c r="R7" s="44">
        <f t="shared" ref="R7:R11" si="0">SUM(F7:Q7)</f>
        <v>120</v>
      </c>
      <c r="S7" s="53"/>
      <c r="U7" s="20">
        <f t="shared" ref="U7:U8" si="1">IF(R7=120,(R7+E7),0)</f>
        <v>120</v>
      </c>
      <c r="V7" s="20" t="s">
        <v>934</v>
      </c>
      <c r="Y7" s="20">
        <v>276.8</v>
      </c>
    </row>
    <row r="8" spans="1:25" ht="14.4" x14ac:dyDescent="0.3">
      <c r="A8" s="120">
        <v>2</v>
      </c>
      <c r="B8" s="206" t="s">
        <v>455</v>
      </c>
      <c r="C8" s="44" t="s">
        <v>708</v>
      </c>
      <c r="D8" s="47" t="s">
        <v>709</v>
      </c>
      <c r="E8" s="44"/>
      <c r="F8" s="44">
        <v>10</v>
      </c>
      <c r="G8" s="44">
        <v>10</v>
      </c>
      <c r="H8" s="44">
        <v>10</v>
      </c>
      <c r="I8" s="44">
        <v>10</v>
      </c>
      <c r="J8" s="44">
        <v>10</v>
      </c>
      <c r="K8" s="44">
        <v>10</v>
      </c>
      <c r="L8" s="44">
        <v>10</v>
      </c>
      <c r="M8" s="44">
        <v>10</v>
      </c>
      <c r="N8" s="44">
        <v>10</v>
      </c>
      <c r="O8" s="44">
        <v>10</v>
      </c>
      <c r="P8" s="44">
        <v>10</v>
      </c>
      <c r="Q8" s="44">
        <v>10</v>
      </c>
      <c r="R8" s="44">
        <f t="shared" si="0"/>
        <v>120</v>
      </c>
      <c r="S8" s="53"/>
      <c r="U8" s="20">
        <f t="shared" si="1"/>
        <v>120</v>
      </c>
      <c r="V8" s="20" t="s">
        <v>935</v>
      </c>
      <c r="Y8" s="20">
        <f>Y6-Y7</f>
        <v>4491.2</v>
      </c>
    </row>
    <row r="9" spans="1:25" ht="14.4" x14ac:dyDescent="0.3">
      <c r="A9" s="368">
        <v>3</v>
      </c>
      <c r="B9" s="361" t="s">
        <v>103</v>
      </c>
      <c r="C9" s="163" t="s">
        <v>936</v>
      </c>
      <c r="D9" s="162" t="s">
        <v>711</v>
      </c>
      <c r="E9" s="163"/>
      <c r="F9" s="163">
        <v>10</v>
      </c>
      <c r="G9" s="163">
        <v>10</v>
      </c>
      <c r="H9" s="163">
        <v>10</v>
      </c>
      <c r="I9" s="163">
        <v>10</v>
      </c>
      <c r="J9" s="163">
        <v>10</v>
      </c>
      <c r="K9" s="163">
        <v>10</v>
      </c>
      <c r="L9" s="163">
        <v>10</v>
      </c>
      <c r="M9" s="163">
        <v>10</v>
      </c>
      <c r="N9" s="163">
        <v>10</v>
      </c>
      <c r="O9" s="163">
        <v>10</v>
      </c>
      <c r="P9" s="163">
        <v>10</v>
      </c>
      <c r="Q9" s="163">
        <v>10</v>
      </c>
      <c r="R9" s="163">
        <f t="shared" si="0"/>
        <v>120</v>
      </c>
      <c r="S9" s="164"/>
      <c r="T9" s="164" t="s">
        <v>937</v>
      </c>
      <c r="U9" s="164"/>
      <c r="V9" s="165"/>
    </row>
    <row r="10" spans="1:25" ht="14.4" x14ac:dyDescent="0.3">
      <c r="A10" s="120">
        <v>4</v>
      </c>
      <c r="B10" s="153" t="s">
        <v>283</v>
      </c>
      <c r="C10" s="44" t="s">
        <v>712</v>
      </c>
      <c r="D10" s="47" t="s">
        <v>713</v>
      </c>
      <c r="E10" s="44"/>
      <c r="F10" s="44">
        <v>10</v>
      </c>
      <c r="G10" s="44">
        <v>10</v>
      </c>
      <c r="H10" s="44">
        <v>10</v>
      </c>
      <c r="I10" s="44">
        <v>10</v>
      </c>
      <c r="J10" s="44">
        <v>10</v>
      </c>
      <c r="K10" s="44">
        <v>10</v>
      </c>
      <c r="L10" s="44">
        <v>10</v>
      </c>
      <c r="M10" s="44">
        <v>10</v>
      </c>
      <c r="N10" s="44">
        <v>10</v>
      </c>
      <c r="O10" s="44">
        <v>10</v>
      </c>
      <c r="P10" s="44">
        <v>10</v>
      </c>
      <c r="Q10" s="44">
        <v>10</v>
      </c>
      <c r="R10" s="44">
        <f t="shared" si="0"/>
        <v>120</v>
      </c>
      <c r="S10" s="53"/>
      <c r="U10" s="20">
        <f t="shared" ref="U10:U44" si="2">IF(R10=120,(R10+E10),0)</f>
        <v>120</v>
      </c>
      <c r="V10" s="20" t="s">
        <v>938</v>
      </c>
    </row>
    <row r="11" spans="1:25" ht="14.4" x14ac:dyDescent="0.3">
      <c r="A11" s="120">
        <v>5</v>
      </c>
      <c r="B11" s="153" t="s">
        <v>39</v>
      </c>
      <c r="C11" s="14" t="s">
        <v>715</v>
      </c>
      <c r="D11" s="47" t="s">
        <v>716</v>
      </c>
      <c r="E11" s="44"/>
      <c r="F11" s="44">
        <v>10</v>
      </c>
      <c r="G11" s="44">
        <v>10</v>
      </c>
      <c r="H11" s="44">
        <v>10</v>
      </c>
      <c r="I11" s="44">
        <v>10</v>
      </c>
      <c r="J11" s="44">
        <v>10</v>
      </c>
      <c r="K11" s="44">
        <v>10</v>
      </c>
      <c r="L11" s="44">
        <v>10</v>
      </c>
      <c r="M11" s="44">
        <v>10</v>
      </c>
      <c r="N11" s="44">
        <v>10</v>
      </c>
      <c r="O11" s="44">
        <v>10</v>
      </c>
      <c r="P11" s="44">
        <v>10</v>
      </c>
      <c r="Q11" s="44">
        <v>10</v>
      </c>
      <c r="R11" s="44">
        <f t="shared" si="0"/>
        <v>120</v>
      </c>
      <c r="S11" s="53"/>
      <c r="U11" s="20">
        <f t="shared" si="2"/>
        <v>120</v>
      </c>
      <c r="V11" s="20" t="s">
        <v>939</v>
      </c>
    </row>
    <row r="12" spans="1:25" ht="14.4" x14ac:dyDescent="0.3">
      <c r="A12" s="120">
        <v>6</v>
      </c>
      <c r="B12" s="153" t="s">
        <v>200</v>
      </c>
      <c r="C12" s="44" t="s">
        <v>717</v>
      </c>
      <c r="D12" s="47" t="s">
        <v>718</v>
      </c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53"/>
      <c r="U12" s="20">
        <f t="shared" si="2"/>
        <v>0</v>
      </c>
    </row>
    <row r="13" spans="1:25" ht="14.4" x14ac:dyDescent="0.3">
      <c r="A13" s="120">
        <v>7</v>
      </c>
      <c r="B13" s="153" t="s">
        <v>402</v>
      </c>
      <c r="C13" s="44" t="s">
        <v>720</v>
      </c>
      <c r="D13" s="47" t="s">
        <v>721</v>
      </c>
      <c r="E13" s="44"/>
      <c r="F13" s="44">
        <v>10</v>
      </c>
      <c r="G13" s="44">
        <v>10</v>
      </c>
      <c r="H13" s="44">
        <v>10</v>
      </c>
      <c r="I13" s="44">
        <v>10</v>
      </c>
      <c r="J13" s="44">
        <v>10</v>
      </c>
      <c r="K13" s="44">
        <v>10</v>
      </c>
      <c r="L13" s="44">
        <v>10</v>
      </c>
      <c r="M13" s="44">
        <v>10</v>
      </c>
      <c r="N13" s="44">
        <v>10</v>
      </c>
      <c r="O13" s="44">
        <v>10</v>
      </c>
      <c r="P13" s="44">
        <v>10</v>
      </c>
      <c r="Q13" s="44">
        <v>10</v>
      </c>
      <c r="R13" s="44">
        <f t="shared" ref="R13:R14" si="3">SUM(F13:Q13)</f>
        <v>120</v>
      </c>
      <c r="S13" s="53"/>
      <c r="U13" s="20">
        <f t="shared" si="2"/>
        <v>120</v>
      </c>
    </row>
    <row r="14" spans="1:25" ht="14.4" x14ac:dyDescent="0.3">
      <c r="A14" s="120">
        <v>8</v>
      </c>
      <c r="B14" s="153" t="s">
        <v>54</v>
      </c>
      <c r="C14" s="14" t="s">
        <v>56</v>
      </c>
      <c r="D14" s="47" t="s">
        <v>722</v>
      </c>
      <c r="E14" s="44"/>
      <c r="F14" s="44">
        <v>10</v>
      </c>
      <c r="G14" s="44">
        <v>10</v>
      </c>
      <c r="H14" s="44">
        <v>10</v>
      </c>
      <c r="I14" s="44">
        <v>10</v>
      </c>
      <c r="J14" s="44">
        <v>10</v>
      </c>
      <c r="K14" s="44">
        <v>10</v>
      </c>
      <c r="L14" s="44">
        <v>10</v>
      </c>
      <c r="M14" s="44">
        <v>10</v>
      </c>
      <c r="N14" s="44">
        <v>10</v>
      </c>
      <c r="O14" s="44">
        <v>10</v>
      </c>
      <c r="P14" s="44">
        <v>10</v>
      </c>
      <c r="Q14" s="44">
        <v>10</v>
      </c>
      <c r="R14" s="44">
        <f t="shared" si="3"/>
        <v>120</v>
      </c>
      <c r="S14" s="53"/>
      <c r="U14" s="20">
        <f t="shared" si="2"/>
        <v>120</v>
      </c>
      <c r="V14" s="20" t="s">
        <v>940</v>
      </c>
    </row>
    <row r="15" spans="1:25" ht="14.4" x14ac:dyDescent="0.3">
      <c r="A15" s="120">
        <v>9</v>
      </c>
      <c r="B15" s="153" t="s">
        <v>423</v>
      </c>
      <c r="C15" s="44" t="s">
        <v>425</v>
      </c>
      <c r="D15" s="47" t="s">
        <v>723</v>
      </c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65"/>
      <c r="S15" s="53"/>
      <c r="U15" s="20">
        <f t="shared" si="2"/>
        <v>0</v>
      </c>
    </row>
    <row r="16" spans="1:25" ht="14.4" x14ac:dyDescent="0.3">
      <c r="A16" s="120">
        <v>10</v>
      </c>
      <c r="B16" s="153" t="s">
        <v>430</v>
      </c>
      <c r="C16" s="14" t="s">
        <v>432</v>
      </c>
      <c r="D16" s="47" t="s">
        <v>724</v>
      </c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53"/>
      <c r="U16" s="20">
        <f t="shared" si="2"/>
        <v>0</v>
      </c>
    </row>
    <row r="17" spans="1:25" ht="14.4" x14ac:dyDescent="0.3">
      <c r="A17" s="120">
        <v>11</v>
      </c>
      <c r="B17" s="153" t="s">
        <v>72</v>
      </c>
      <c r="C17" s="14" t="s">
        <v>74</v>
      </c>
      <c r="D17" s="47" t="s">
        <v>725</v>
      </c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53"/>
      <c r="U17" s="20">
        <f t="shared" si="2"/>
        <v>0</v>
      </c>
    </row>
    <row r="18" spans="1:25" ht="14.4" x14ac:dyDescent="0.3">
      <c r="A18" s="120">
        <v>12</v>
      </c>
      <c r="B18" s="153" t="s">
        <v>335</v>
      </c>
      <c r="C18" s="14" t="s">
        <v>337</v>
      </c>
      <c r="D18" s="47" t="s">
        <v>726</v>
      </c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65"/>
      <c r="S18" s="53"/>
      <c r="U18" s="20">
        <f t="shared" si="2"/>
        <v>0</v>
      </c>
    </row>
    <row r="19" spans="1:25" ht="14.4" x14ac:dyDescent="0.3">
      <c r="A19" s="120">
        <v>13</v>
      </c>
      <c r="B19" s="153" t="s">
        <v>519</v>
      </c>
      <c r="C19" s="44" t="s">
        <v>521</v>
      </c>
      <c r="D19" s="47" t="s">
        <v>727</v>
      </c>
      <c r="E19" s="44"/>
      <c r="F19" s="44">
        <v>10</v>
      </c>
      <c r="G19" s="44">
        <v>10</v>
      </c>
      <c r="H19" s="44">
        <v>10</v>
      </c>
      <c r="I19" s="44">
        <v>10</v>
      </c>
      <c r="J19" s="44">
        <v>10</v>
      </c>
      <c r="K19" s="44">
        <v>10</v>
      </c>
      <c r="L19" s="44">
        <v>10</v>
      </c>
      <c r="M19" s="44">
        <v>10</v>
      </c>
      <c r="N19" s="44">
        <v>10</v>
      </c>
      <c r="O19" s="44">
        <v>10</v>
      </c>
      <c r="P19" s="44">
        <v>10</v>
      </c>
      <c r="Q19" s="44">
        <v>10</v>
      </c>
      <c r="R19" s="44">
        <f t="shared" ref="R19:R21" si="4">SUM(F19:Q19)</f>
        <v>120</v>
      </c>
      <c r="S19" s="53"/>
      <c r="U19" s="20">
        <f t="shared" si="2"/>
        <v>120</v>
      </c>
      <c r="V19" s="20" t="s">
        <v>941</v>
      </c>
    </row>
    <row r="20" spans="1:25" ht="14.4" x14ac:dyDescent="0.3">
      <c r="A20" s="120">
        <v>14</v>
      </c>
      <c r="B20" s="153" t="s">
        <v>372</v>
      </c>
      <c r="C20" s="14" t="s">
        <v>374</v>
      </c>
      <c r="D20" s="47" t="s">
        <v>729</v>
      </c>
      <c r="E20" s="44"/>
      <c r="F20" s="44">
        <v>10</v>
      </c>
      <c r="G20" s="44">
        <v>10</v>
      </c>
      <c r="H20" s="44">
        <v>10</v>
      </c>
      <c r="I20" s="44">
        <v>10</v>
      </c>
      <c r="J20" s="44">
        <v>10</v>
      </c>
      <c r="K20" s="44">
        <v>10</v>
      </c>
      <c r="L20" s="44">
        <v>10</v>
      </c>
      <c r="M20" s="44">
        <v>10</v>
      </c>
      <c r="N20" s="44">
        <v>10</v>
      </c>
      <c r="O20" s="44">
        <v>10</v>
      </c>
      <c r="P20" s="44">
        <v>10</v>
      </c>
      <c r="Q20" s="44">
        <v>10</v>
      </c>
      <c r="R20" s="44">
        <f t="shared" si="4"/>
        <v>120</v>
      </c>
      <c r="S20" s="53"/>
      <c r="U20" s="20">
        <f t="shared" si="2"/>
        <v>120</v>
      </c>
      <c r="V20" s="20" t="s">
        <v>941</v>
      </c>
    </row>
    <row r="21" spans="1:25" ht="15.75" customHeight="1" x14ac:dyDescent="0.3">
      <c r="A21" s="120">
        <v>15</v>
      </c>
      <c r="B21" s="153" t="s">
        <v>79</v>
      </c>
      <c r="C21" s="44" t="s">
        <v>81</v>
      </c>
      <c r="D21" s="47" t="s">
        <v>730</v>
      </c>
      <c r="E21" s="44"/>
      <c r="F21" s="44">
        <v>10</v>
      </c>
      <c r="G21" s="44">
        <v>10</v>
      </c>
      <c r="H21" s="44">
        <v>10</v>
      </c>
      <c r="I21" s="44">
        <v>10</v>
      </c>
      <c r="J21" s="44">
        <v>10</v>
      </c>
      <c r="K21" s="44">
        <v>10</v>
      </c>
      <c r="L21" s="44">
        <v>10</v>
      </c>
      <c r="M21" s="44">
        <v>10</v>
      </c>
      <c r="N21" s="44">
        <v>10</v>
      </c>
      <c r="O21" s="44">
        <v>10</v>
      </c>
      <c r="P21" s="44">
        <v>10</v>
      </c>
      <c r="Q21" s="44">
        <v>10</v>
      </c>
      <c r="R21" s="44">
        <f t="shared" si="4"/>
        <v>120</v>
      </c>
      <c r="S21" s="53"/>
      <c r="U21" s="20">
        <f t="shared" si="2"/>
        <v>120</v>
      </c>
      <c r="V21" s="20" t="s">
        <v>906</v>
      </c>
    </row>
    <row r="22" spans="1:25" ht="15.75" customHeight="1" x14ac:dyDescent="0.3">
      <c r="A22" s="120">
        <v>16</v>
      </c>
      <c r="B22" s="153" t="s">
        <v>232</v>
      </c>
      <c r="C22" s="14" t="s">
        <v>234</v>
      </c>
      <c r="D22" s="47" t="s">
        <v>731</v>
      </c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53"/>
      <c r="U22" s="20">
        <f t="shared" si="2"/>
        <v>0</v>
      </c>
    </row>
    <row r="23" spans="1:25" ht="15.75" customHeight="1" x14ac:dyDescent="0.3">
      <c r="A23" s="120">
        <v>17</v>
      </c>
      <c r="B23" s="153" t="s">
        <v>503</v>
      </c>
      <c r="C23" s="14" t="s">
        <v>505</v>
      </c>
      <c r="D23" s="47" t="s">
        <v>732</v>
      </c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53"/>
      <c r="U23" s="20">
        <f t="shared" si="2"/>
        <v>0</v>
      </c>
    </row>
    <row r="24" spans="1:25" ht="15.75" customHeight="1" x14ac:dyDescent="0.3">
      <c r="A24" s="120">
        <v>18</v>
      </c>
      <c r="B24" s="367" t="s">
        <v>556</v>
      </c>
      <c r="C24" s="81" t="s">
        <v>733</v>
      </c>
      <c r="D24" s="80" t="s">
        <v>734</v>
      </c>
      <c r="E24" s="81"/>
      <c r="F24" s="81">
        <v>10</v>
      </c>
      <c r="G24" s="81">
        <v>10</v>
      </c>
      <c r="H24" s="81">
        <v>10</v>
      </c>
      <c r="I24" s="81">
        <v>10</v>
      </c>
      <c r="J24" s="81">
        <v>10</v>
      </c>
      <c r="K24" s="81">
        <v>10</v>
      </c>
      <c r="L24" s="81">
        <v>10</v>
      </c>
      <c r="M24" s="81">
        <v>10</v>
      </c>
      <c r="N24" s="81">
        <v>10</v>
      </c>
      <c r="O24" s="81">
        <v>10</v>
      </c>
      <c r="P24" s="81">
        <v>10</v>
      </c>
      <c r="Q24" s="81">
        <v>10</v>
      </c>
      <c r="R24" s="81">
        <f t="shared" ref="R24:R26" si="5">SUM(F24:Q24)</f>
        <v>120</v>
      </c>
      <c r="S24" s="82"/>
      <c r="T24" s="82"/>
      <c r="U24" s="82">
        <f t="shared" si="2"/>
        <v>120</v>
      </c>
      <c r="V24" s="82" t="s">
        <v>942</v>
      </c>
      <c r="W24" s="82"/>
      <c r="X24" s="76" t="s">
        <v>943</v>
      </c>
      <c r="Y24" s="76"/>
    </row>
    <row r="25" spans="1:25" ht="15.75" customHeight="1" x14ac:dyDescent="0.3">
      <c r="A25" s="120">
        <v>19</v>
      </c>
      <c r="B25" s="153" t="s">
        <v>595</v>
      </c>
      <c r="C25" s="44" t="s">
        <v>735</v>
      </c>
      <c r="D25" s="47" t="s">
        <v>736</v>
      </c>
      <c r="E25" s="44"/>
      <c r="F25" s="81">
        <v>10</v>
      </c>
      <c r="G25" s="44">
        <v>10</v>
      </c>
      <c r="H25" s="44">
        <v>10</v>
      </c>
      <c r="I25" s="44">
        <v>10</v>
      </c>
      <c r="J25" s="44">
        <v>10</v>
      </c>
      <c r="K25" s="44">
        <v>10</v>
      </c>
      <c r="L25" s="44">
        <v>10</v>
      </c>
      <c r="M25" s="44">
        <v>10</v>
      </c>
      <c r="N25" s="44">
        <v>10</v>
      </c>
      <c r="O25" s="44">
        <v>10</v>
      </c>
      <c r="P25" s="44">
        <v>10</v>
      </c>
      <c r="Q25" s="44">
        <v>10</v>
      </c>
      <c r="R25" s="44">
        <f t="shared" si="5"/>
        <v>120</v>
      </c>
      <c r="S25" s="53"/>
      <c r="U25" s="20">
        <f t="shared" si="2"/>
        <v>120</v>
      </c>
      <c r="V25" s="20" t="s">
        <v>944</v>
      </c>
    </row>
    <row r="26" spans="1:25" ht="15.75" customHeight="1" x14ac:dyDescent="0.3">
      <c r="A26" s="120">
        <v>20</v>
      </c>
      <c r="B26" s="153" t="s">
        <v>524</v>
      </c>
      <c r="C26" s="14" t="s">
        <v>526</v>
      </c>
      <c r="D26" s="47" t="s">
        <v>737</v>
      </c>
      <c r="E26" s="44"/>
      <c r="F26" s="81">
        <v>10</v>
      </c>
      <c r="G26" s="44">
        <v>10</v>
      </c>
      <c r="H26" s="44">
        <v>10</v>
      </c>
      <c r="I26" s="44">
        <v>10</v>
      </c>
      <c r="J26" s="44">
        <v>10</v>
      </c>
      <c r="K26" s="44">
        <v>10</v>
      </c>
      <c r="L26" s="44">
        <v>10</v>
      </c>
      <c r="M26" s="44">
        <v>10</v>
      </c>
      <c r="N26" s="44">
        <v>10</v>
      </c>
      <c r="O26" s="44">
        <v>10</v>
      </c>
      <c r="P26" s="44">
        <v>10</v>
      </c>
      <c r="Q26" s="44">
        <v>10</v>
      </c>
      <c r="R26" s="44">
        <f t="shared" si="5"/>
        <v>120</v>
      </c>
      <c r="S26" s="53"/>
      <c r="U26" s="20">
        <f t="shared" si="2"/>
        <v>120</v>
      </c>
      <c r="V26" s="20" t="s">
        <v>907</v>
      </c>
    </row>
    <row r="27" spans="1:25" ht="15.75" customHeight="1" x14ac:dyDescent="0.3">
      <c r="A27" s="120">
        <v>21</v>
      </c>
      <c r="B27" s="153" t="s">
        <v>532</v>
      </c>
      <c r="C27" s="14" t="s">
        <v>534</v>
      </c>
      <c r="D27" s="47" t="s">
        <v>738</v>
      </c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65"/>
      <c r="S27" s="53"/>
      <c r="U27" s="20">
        <f t="shared" si="2"/>
        <v>0</v>
      </c>
    </row>
    <row r="28" spans="1:25" ht="15.75" customHeight="1" x14ac:dyDescent="0.3">
      <c r="A28" s="120">
        <v>22</v>
      </c>
      <c r="B28" s="153" t="s">
        <v>653</v>
      </c>
      <c r="C28" s="14" t="s">
        <v>656</v>
      </c>
      <c r="D28" s="47" t="s">
        <v>739</v>
      </c>
      <c r="E28" s="44"/>
      <c r="F28" s="44">
        <v>10</v>
      </c>
      <c r="G28" s="44">
        <v>10</v>
      </c>
      <c r="H28" s="44">
        <v>10</v>
      </c>
      <c r="I28" s="44">
        <v>10</v>
      </c>
      <c r="J28" s="44">
        <v>10</v>
      </c>
      <c r="K28" s="44">
        <v>10</v>
      </c>
      <c r="L28" s="44">
        <v>10</v>
      </c>
      <c r="M28" s="44">
        <v>10</v>
      </c>
      <c r="N28" s="44">
        <v>10</v>
      </c>
      <c r="O28" s="44">
        <v>10</v>
      </c>
      <c r="P28" s="44">
        <v>10</v>
      </c>
      <c r="Q28" s="44">
        <v>10</v>
      </c>
      <c r="R28" s="44">
        <f t="shared" ref="R28:R29" si="6">SUM(F28:Q28)</f>
        <v>120</v>
      </c>
      <c r="S28" s="53"/>
      <c r="U28" s="20">
        <f t="shared" si="2"/>
        <v>120</v>
      </c>
      <c r="V28" s="20" t="s">
        <v>941</v>
      </c>
    </row>
    <row r="29" spans="1:25" ht="15.75" customHeight="1" x14ac:dyDescent="0.3">
      <c r="A29" s="120">
        <v>23</v>
      </c>
      <c r="B29" s="153" t="s">
        <v>678</v>
      </c>
      <c r="C29" s="14" t="s">
        <v>681</v>
      </c>
      <c r="D29" s="47" t="s">
        <v>740</v>
      </c>
      <c r="E29" s="44"/>
      <c r="F29" s="44">
        <v>10</v>
      </c>
      <c r="G29" s="44">
        <v>10</v>
      </c>
      <c r="H29" s="44">
        <v>10</v>
      </c>
      <c r="I29" s="44">
        <v>10</v>
      </c>
      <c r="J29" s="44">
        <v>10</v>
      </c>
      <c r="K29" s="44">
        <v>10</v>
      </c>
      <c r="L29" s="44">
        <v>10</v>
      </c>
      <c r="M29" s="44">
        <v>10</v>
      </c>
      <c r="N29" s="44">
        <v>10</v>
      </c>
      <c r="O29" s="44">
        <v>10</v>
      </c>
      <c r="P29" s="44">
        <v>10</v>
      </c>
      <c r="Q29" s="44">
        <v>10</v>
      </c>
      <c r="R29" s="44">
        <f t="shared" si="6"/>
        <v>120</v>
      </c>
      <c r="S29" s="53"/>
      <c r="U29" s="20">
        <f t="shared" si="2"/>
        <v>120</v>
      </c>
    </row>
    <row r="30" spans="1:25" ht="15.75" customHeight="1" x14ac:dyDescent="0.3">
      <c r="A30" s="120">
        <v>24</v>
      </c>
      <c r="B30" s="153" t="s">
        <v>356</v>
      </c>
      <c r="C30" s="44" t="s">
        <v>741</v>
      </c>
      <c r="D30" s="47" t="s">
        <v>742</v>
      </c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53"/>
      <c r="U30" s="20">
        <f t="shared" si="2"/>
        <v>0</v>
      </c>
    </row>
    <row r="31" spans="1:25" ht="15.75" customHeight="1" x14ac:dyDescent="0.3">
      <c r="A31" s="120">
        <v>25</v>
      </c>
      <c r="B31" s="153" t="s">
        <v>462</v>
      </c>
      <c r="C31" s="44" t="s">
        <v>743</v>
      </c>
      <c r="D31" s="47" t="s">
        <v>744</v>
      </c>
      <c r="E31" s="44"/>
      <c r="F31" s="44">
        <v>10</v>
      </c>
      <c r="G31" s="44">
        <v>10</v>
      </c>
      <c r="H31" s="44">
        <v>10</v>
      </c>
      <c r="I31" s="44">
        <v>10</v>
      </c>
      <c r="J31" s="44">
        <v>10</v>
      </c>
      <c r="K31" s="44">
        <v>10</v>
      </c>
      <c r="L31" s="44">
        <v>10</v>
      </c>
      <c r="M31" s="44">
        <v>10</v>
      </c>
      <c r="N31" s="44">
        <v>10</v>
      </c>
      <c r="O31" s="44">
        <v>10</v>
      </c>
      <c r="P31" s="44">
        <v>10</v>
      </c>
      <c r="Q31" s="44">
        <v>10</v>
      </c>
      <c r="R31" s="44">
        <f>SUM(F31:Q31)</f>
        <v>120</v>
      </c>
      <c r="S31" s="53"/>
      <c r="U31" s="20">
        <f t="shared" si="2"/>
        <v>120</v>
      </c>
      <c r="V31" s="20" t="s">
        <v>945</v>
      </c>
    </row>
    <row r="32" spans="1:25" ht="15.75" customHeight="1" x14ac:dyDescent="0.3">
      <c r="A32" s="120">
        <v>26</v>
      </c>
      <c r="B32" s="153" t="s">
        <v>224</v>
      </c>
      <c r="C32" s="44" t="s">
        <v>745</v>
      </c>
      <c r="D32" s="47" t="s">
        <v>746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53"/>
      <c r="U32" s="20">
        <f t="shared" si="2"/>
        <v>0</v>
      </c>
    </row>
    <row r="33" spans="1:26" ht="15.75" customHeight="1" x14ac:dyDescent="0.3">
      <c r="A33" s="120">
        <v>27</v>
      </c>
      <c r="B33" s="153" t="s">
        <v>328</v>
      </c>
      <c r="C33" s="44" t="s">
        <v>329</v>
      </c>
      <c r="D33" s="47" t="s">
        <v>747</v>
      </c>
      <c r="E33" s="44"/>
      <c r="F33" s="44">
        <v>10</v>
      </c>
      <c r="G33" s="44">
        <v>10</v>
      </c>
      <c r="H33" s="44">
        <v>10</v>
      </c>
      <c r="I33" s="44">
        <v>10</v>
      </c>
      <c r="J33" s="44">
        <v>10</v>
      </c>
      <c r="K33" s="44">
        <v>10</v>
      </c>
      <c r="L33" s="44">
        <v>10</v>
      </c>
      <c r="M33" s="44">
        <v>10</v>
      </c>
      <c r="N33" s="44">
        <v>10</v>
      </c>
      <c r="O33" s="44">
        <v>10</v>
      </c>
      <c r="P33" s="44">
        <v>10</v>
      </c>
      <c r="Q33" s="44">
        <v>10</v>
      </c>
      <c r="R33" s="44">
        <f t="shared" ref="R33:R38" si="7">SUM(F33:Q33)</f>
        <v>120</v>
      </c>
      <c r="S33" s="53"/>
      <c r="U33" s="20">
        <f t="shared" si="2"/>
        <v>120</v>
      </c>
      <c r="V33" s="20" t="s">
        <v>946</v>
      </c>
    </row>
    <row r="34" spans="1:26" ht="15.75" customHeight="1" x14ac:dyDescent="0.3">
      <c r="A34" s="120">
        <v>28</v>
      </c>
      <c r="B34" s="153" t="s">
        <v>172</v>
      </c>
      <c r="C34" s="44" t="s">
        <v>174</v>
      </c>
      <c r="D34" s="47" t="s">
        <v>748</v>
      </c>
      <c r="E34" s="44"/>
      <c r="F34" s="44">
        <v>10</v>
      </c>
      <c r="G34" s="44">
        <v>10</v>
      </c>
      <c r="H34" s="44">
        <v>10</v>
      </c>
      <c r="I34" s="44">
        <v>10</v>
      </c>
      <c r="J34" s="44">
        <v>10</v>
      </c>
      <c r="K34" s="44">
        <v>10</v>
      </c>
      <c r="L34" s="44">
        <v>10</v>
      </c>
      <c r="M34" s="44">
        <v>10</v>
      </c>
      <c r="N34" s="44">
        <v>10</v>
      </c>
      <c r="O34" s="44">
        <v>10</v>
      </c>
      <c r="P34" s="44">
        <v>10</v>
      </c>
      <c r="Q34" s="44">
        <v>10</v>
      </c>
      <c r="R34" s="44">
        <f t="shared" si="7"/>
        <v>120</v>
      </c>
      <c r="S34" s="53"/>
      <c r="U34" s="20">
        <f t="shared" si="2"/>
        <v>120</v>
      </c>
      <c r="V34" s="20" t="s">
        <v>947</v>
      </c>
    </row>
    <row r="35" spans="1:26" ht="15.75" customHeight="1" x14ac:dyDescent="0.3">
      <c r="A35" s="120">
        <v>29</v>
      </c>
      <c r="B35" s="153" t="s">
        <v>348</v>
      </c>
      <c r="C35" s="14" t="s">
        <v>749</v>
      </c>
      <c r="D35" s="47" t="s">
        <v>750</v>
      </c>
      <c r="E35" s="44"/>
      <c r="F35" s="44">
        <v>10</v>
      </c>
      <c r="G35" s="44">
        <v>10</v>
      </c>
      <c r="H35" s="44">
        <v>10</v>
      </c>
      <c r="I35" s="44">
        <v>10</v>
      </c>
      <c r="J35" s="44">
        <v>10</v>
      </c>
      <c r="K35" s="44">
        <v>10</v>
      </c>
      <c r="L35" s="44">
        <v>10</v>
      </c>
      <c r="M35" s="44">
        <v>10</v>
      </c>
      <c r="N35" s="44">
        <v>10</v>
      </c>
      <c r="O35" s="44">
        <v>10</v>
      </c>
      <c r="P35" s="44">
        <v>10</v>
      </c>
      <c r="Q35" s="44">
        <v>10</v>
      </c>
      <c r="R35" s="44">
        <f t="shared" si="7"/>
        <v>120</v>
      </c>
      <c r="S35" s="53"/>
      <c r="U35" s="20">
        <f t="shared" si="2"/>
        <v>120</v>
      </c>
    </row>
    <row r="36" spans="1:26" ht="15.75" customHeight="1" x14ac:dyDescent="0.3">
      <c r="A36" s="120">
        <v>30</v>
      </c>
      <c r="B36" s="153" t="s">
        <v>85</v>
      </c>
      <c r="C36" s="44" t="s">
        <v>751</v>
      </c>
      <c r="D36" s="47" t="s">
        <v>752</v>
      </c>
      <c r="E36" s="44"/>
      <c r="F36" s="44">
        <v>10</v>
      </c>
      <c r="G36" s="44">
        <v>10</v>
      </c>
      <c r="H36" s="44">
        <v>10</v>
      </c>
      <c r="I36" s="44">
        <v>10</v>
      </c>
      <c r="J36" s="44">
        <v>10</v>
      </c>
      <c r="K36" s="44">
        <v>10</v>
      </c>
      <c r="L36" s="44">
        <v>10</v>
      </c>
      <c r="M36" s="44">
        <v>10</v>
      </c>
      <c r="N36" s="44">
        <v>10</v>
      </c>
      <c r="O36" s="44">
        <v>10</v>
      </c>
      <c r="P36" s="44">
        <v>10</v>
      </c>
      <c r="Q36" s="44">
        <v>10</v>
      </c>
      <c r="R36" s="44">
        <f t="shared" si="7"/>
        <v>120</v>
      </c>
      <c r="S36" s="53"/>
      <c r="U36" s="20">
        <f t="shared" si="2"/>
        <v>120</v>
      </c>
      <c r="V36" s="20" t="s">
        <v>947</v>
      </c>
    </row>
    <row r="37" spans="1:26" ht="15.75" customHeight="1" x14ac:dyDescent="0.3">
      <c r="A37" s="120">
        <v>31</v>
      </c>
      <c r="B37" s="153" t="s">
        <v>577</v>
      </c>
      <c r="C37" s="14" t="s">
        <v>579</v>
      </c>
      <c r="D37" s="47" t="s">
        <v>753</v>
      </c>
      <c r="E37" s="44"/>
      <c r="F37" s="44">
        <v>10</v>
      </c>
      <c r="G37" s="44">
        <v>10</v>
      </c>
      <c r="H37" s="44">
        <v>10</v>
      </c>
      <c r="I37" s="44">
        <v>10</v>
      </c>
      <c r="J37" s="44">
        <v>10</v>
      </c>
      <c r="K37" s="44">
        <v>10</v>
      </c>
      <c r="L37" s="44">
        <v>10</v>
      </c>
      <c r="M37" s="44">
        <v>10</v>
      </c>
      <c r="N37" s="44">
        <v>10</v>
      </c>
      <c r="O37" s="44">
        <v>10</v>
      </c>
      <c r="P37" s="44">
        <v>10</v>
      </c>
      <c r="Q37" s="44">
        <v>10</v>
      </c>
      <c r="R37" s="44">
        <f t="shared" si="7"/>
        <v>120</v>
      </c>
      <c r="S37" s="53"/>
      <c r="U37" s="20">
        <f t="shared" si="2"/>
        <v>120</v>
      </c>
      <c r="V37" s="20" t="s">
        <v>948</v>
      </c>
    </row>
    <row r="38" spans="1:26" ht="15.75" customHeight="1" x14ac:dyDescent="0.3">
      <c r="A38" s="120">
        <v>32</v>
      </c>
      <c r="B38" s="153" t="s">
        <v>31</v>
      </c>
      <c r="C38" s="62" t="s">
        <v>754</v>
      </c>
      <c r="D38" s="47" t="s">
        <v>755</v>
      </c>
      <c r="E38" s="44"/>
      <c r="F38" s="44">
        <v>10</v>
      </c>
      <c r="G38" s="44">
        <v>10</v>
      </c>
      <c r="H38" s="44">
        <v>10</v>
      </c>
      <c r="I38" s="44">
        <v>10</v>
      </c>
      <c r="J38" s="44">
        <v>10</v>
      </c>
      <c r="K38" s="44">
        <v>10</v>
      </c>
      <c r="L38" s="44">
        <v>10</v>
      </c>
      <c r="M38" s="44">
        <v>10</v>
      </c>
      <c r="N38" s="44">
        <v>10</v>
      </c>
      <c r="O38" s="44">
        <v>10</v>
      </c>
      <c r="P38" s="44">
        <v>10</v>
      </c>
      <c r="Q38" s="44">
        <v>10</v>
      </c>
      <c r="R38" s="44">
        <f t="shared" si="7"/>
        <v>120</v>
      </c>
      <c r="S38" s="53"/>
      <c r="U38" s="20">
        <f t="shared" si="2"/>
        <v>120</v>
      </c>
      <c r="V38" s="20" t="s">
        <v>949</v>
      </c>
    </row>
    <row r="39" spans="1:26" ht="15.75" customHeight="1" x14ac:dyDescent="0.3">
      <c r="A39" s="120">
        <v>33</v>
      </c>
      <c r="B39" s="153" t="s">
        <v>117</v>
      </c>
      <c r="C39" s="44" t="s">
        <v>119</v>
      </c>
      <c r="D39" s="47" t="s">
        <v>756</v>
      </c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53"/>
      <c r="U39" s="20">
        <f t="shared" si="2"/>
        <v>0</v>
      </c>
    </row>
    <row r="40" spans="1:26" ht="15.75" customHeight="1" x14ac:dyDescent="0.3">
      <c r="A40" s="120">
        <v>34</v>
      </c>
      <c r="B40" s="154" t="s">
        <v>444</v>
      </c>
      <c r="C40" s="143" t="s">
        <v>446</v>
      </c>
      <c r="D40" s="142" t="s">
        <v>757</v>
      </c>
      <c r="E40" s="143"/>
      <c r="F40" s="143">
        <v>10</v>
      </c>
      <c r="G40" s="143">
        <v>10</v>
      </c>
      <c r="H40" s="143">
        <v>10</v>
      </c>
      <c r="I40" s="143">
        <v>10</v>
      </c>
      <c r="J40" s="143">
        <v>10</v>
      </c>
      <c r="K40" s="143">
        <v>10</v>
      </c>
      <c r="L40" s="143">
        <v>10</v>
      </c>
      <c r="M40" s="143">
        <v>10</v>
      </c>
      <c r="N40" s="143">
        <v>10</v>
      </c>
      <c r="O40" s="143">
        <v>10</v>
      </c>
      <c r="P40" s="143">
        <v>10</v>
      </c>
      <c r="Q40" s="143">
        <v>10</v>
      </c>
      <c r="R40" s="143">
        <f>SUM(F40:Q40)</f>
        <v>120</v>
      </c>
      <c r="S40" s="144"/>
      <c r="T40" s="146"/>
      <c r="U40" s="145">
        <f t="shared" si="2"/>
        <v>120</v>
      </c>
      <c r="V40" s="145" t="s">
        <v>1133</v>
      </c>
      <c r="W40" s="146"/>
      <c r="X40" s="146"/>
    </row>
    <row r="41" spans="1:26" ht="15.75" customHeight="1" x14ac:dyDescent="0.3">
      <c r="A41" s="120">
        <v>35</v>
      </c>
      <c r="B41" s="153" t="s">
        <v>265</v>
      </c>
      <c r="C41" s="14" t="s">
        <v>267</v>
      </c>
      <c r="D41" s="47" t="s">
        <v>758</v>
      </c>
      <c r="E41" s="44"/>
      <c r="F41" s="44">
        <v>10</v>
      </c>
      <c r="G41" s="44">
        <v>10</v>
      </c>
      <c r="H41" s="44">
        <v>10</v>
      </c>
      <c r="I41" s="44">
        <v>10</v>
      </c>
      <c r="J41" s="44">
        <v>10</v>
      </c>
      <c r="K41" s="44">
        <v>10</v>
      </c>
      <c r="L41" s="44">
        <v>10</v>
      </c>
      <c r="M41" s="44">
        <v>10</v>
      </c>
      <c r="N41" s="44">
        <v>10</v>
      </c>
      <c r="O41" s="44">
        <v>10</v>
      </c>
      <c r="P41" s="44">
        <v>10</v>
      </c>
      <c r="Q41" s="44">
        <v>10</v>
      </c>
      <c r="R41" s="44">
        <f>SUM(F41:Q41)</f>
        <v>120</v>
      </c>
      <c r="S41" s="53"/>
      <c r="U41" s="20">
        <f t="shared" si="2"/>
        <v>120</v>
      </c>
      <c r="V41" s="20" t="s">
        <v>950</v>
      </c>
    </row>
    <row r="42" spans="1:26" ht="15.75" customHeight="1" x14ac:dyDescent="0.3">
      <c r="A42" s="120">
        <v>36</v>
      </c>
      <c r="B42" s="153" t="s">
        <v>63</v>
      </c>
      <c r="C42" s="14" t="s">
        <v>65</v>
      </c>
      <c r="D42" s="47" t="s">
        <v>759</v>
      </c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53"/>
      <c r="U42" s="20">
        <f t="shared" si="2"/>
        <v>0</v>
      </c>
    </row>
    <row r="43" spans="1:26" ht="15.75" customHeight="1" x14ac:dyDescent="0.3">
      <c r="A43" s="120">
        <v>37</v>
      </c>
      <c r="B43" s="153" t="s">
        <v>47</v>
      </c>
      <c r="C43" s="14" t="s">
        <v>49</v>
      </c>
      <c r="D43" s="47" t="s">
        <v>761</v>
      </c>
      <c r="E43" s="44"/>
      <c r="F43" s="44">
        <v>10</v>
      </c>
      <c r="G43" s="44">
        <v>10</v>
      </c>
      <c r="H43" s="44">
        <v>10</v>
      </c>
      <c r="I43" s="44">
        <v>10</v>
      </c>
      <c r="J43" s="44">
        <v>10</v>
      </c>
      <c r="K43" s="44">
        <v>10</v>
      </c>
      <c r="L43" s="44">
        <v>10</v>
      </c>
      <c r="M43" s="44">
        <v>10</v>
      </c>
      <c r="N43" s="44">
        <v>10</v>
      </c>
      <c r="O43" s="44">
        <v>10</v>
      </c>
      <c r="P43" s="44">
        <v>10</v>
      </c>
      <c r="Q43" s="44">
        <v>10</v>
      </c>
      <c r="R43" s="44">
        <f>SUM(F43:Q43)</f>
        <v>120</v>
      </c>
      <c r="S43" s="53"/>
      <c r="U43" s="20">
        <f t="shared" si="2"/>
        <v>120</v>
      </c>
      <c r="V43" s="20" t="s">
        <v>951</v>
      </c>
    </row>
    <row r="44" spans="1:26" ht="15.75" customHeight="1" x14ac:dyDescent="0.3">
      <c r="A44" s="120">
        <v>38</v>
      </c>
      <c r="B44" s="153" t="s">
        <v>380</v>
      </c>
      <c r="C44" s="14" t="s">
        <v>382</v>
      </c>
      <c r="D44" s="47" t="s">
        <v>762</v>
      </c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53"/>
      <c r="U44" s="20">
        <f t="shared" si="2"/>
        <v>0</v>
      </c>
    </row>
    <row r="45" spans="1:26" ht="15.75" customHeight="1" x14ac:dyDescent="0.3">
      <c r="A45" s="120">
        <v>39</v>
      </c>
      <c r="B45" s="153" t="s">
        <v>511</v>
      </c>
      <c r="C45" s="14" t="s">
        <v>513</v>
      </c>
      <c r="D45" s="47" t="s">
        <v>763</v>
      </c>
      <c r="E45" s="44"/>
      <c r="F45" s="44">
        <v>10</v>
      </c>
      <c r="G45" s="44">
        <v>10</v>
      </c>
      <c r="H45" s="44">
        <v>10</v>
      </c>
      <c r="I45" s="44">
        <v>10</v>
      </c>
      <c r="J45" s="44">
        <v>10</v>
      </c>
      <c r="K45" s="44">
        <v>10</v>
      </c>
      <c r="L45" s="44">
        <v>10</v>
      </c>
      <c r="M45" s="44">
        <v>10</v>
      </c>
      <c r="N45" s="44">
        <v>10</v>
      </c>
      <c r="O45" s="44">
        <v>10</v>
      </c>
      <c r="P45" s="44">
        <v>10</v>
      </c>
      <c r="Q45" s="44">
        <v>10</v>
      </c>
      <c r="R45" s="44">
        <f t="shared" ref="R45:R46" si="8">SUM(F45:Q45)</f>
        <v>120</v>
      </c>
      <c r="S45" s="53"/>
      <c r="U45" s="20">
        <v>120</v>
      </c>
      <c r="V45" s="20" t="s">
        <v>952</v>
      </c>
    </row>
    <row r="46" spans="1:26" ht="15.75" customHeight="1" x14ac:dyDescent="0.3">
      <c r="A46" s="120">
        <v>40</v>
      </c>
      <c r="B46" s="153" t="s">
        <v>157</v>
      </c>
      <c r="C46" s="14" t="s">
        <v>159</v>
      </c>
      <c r="D46" s="47" t="s">
        <v>764</v>
      </c>
      <c r="E46" s="44"/>
      <c r="F46" s="44">
        <v>10</v>
      </c>
      <c r="G46" s="44">
        <v>10</v>
      </c>
      <c r="H46" s="44">
        <v>10</v>
      </c>
      <c r="I46" s="44"/>
      <c r="J46" s="44"/>
      <c r="K46" s="44"/>
      <c r="L46" s="44"/>
      <c r="M46" s="44"/>
      <c r="N46" s="44"/>
      <c r="O46" s="44"/>
      <c r="P46" s="44"/>
      <c r="Q46" s="44"/>
      <c r="R46" s="44">
        <f t="shared" si="8"/>
        <v>30</v>
      </c>
      <c r="S46" s="53"/>
      <c r="T46" s="53"/>
      <c r="U46" s="53"/>
      <c r="V46" s="53"/>
      <c r="W46" s="53"/>
      <c r="X46" s="53"/>
      <c r="Y46" s="53"/>
      <c r="Z46" s="53"/>
    </row>
    <row r="47" spans="1:26" ht="15.75" customHeight="1" x14ac:dyDescent="0.3">
      <c r="A47" s="120">
        <v>41</v>
      </c>
      <c r="B47" s="153" t="s">
        <v>590</v>
      </c>
      <c r="C47" s="44" t="s">
        <v>765</v>
      </c>
      <c r="D47" s="47" t="s">
        <v>766</v>
      </c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53"/>
    </row>
    <row r="48" spans="1:26" ht="15.75" customHeight="1" x14ac:dyDescent="0.3">
      <c r="A48" s="120">
        <v>42</v>
      </c>
      <c r="B48" s="153" t="s">
        <v>614</v>
      </c>
      <c r="C48" s="44" t="s">
        <v>767</v>
      </c>
      <c r="D48" s="47" t="s">
        <v>768</v>
      </c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53"/>
    </row>
    <row r="49" spans="1:26" ht="15.75" customHeight="1" x14ac:dyDescent="0.3">
      <c r="A49" s="120">
        <v>43</v>
      </c>
      <c r="B49" s="153" t="s">
        <v>22</v>
      </c>
      <c r="C49" s="44" t="s">
        <v>769</v>
      </c>
      <c r="D49" s="47" t="s">
        <v>770</v>
      </c>
      <c r="E49" s="44"/>
      <c r="F49" s="44">
        <v>10</v>
      </c>
      <c r="G49" s="44">
        <v>10</v>
      </c>
      <c r="H49" s="44">
        <v>10</v>
      </c>
      <c r="I49" s="44">
        <v>10</v>
      </c>
      <c r="J49" s="44">
        <v>10</v>
      </c>
      <c r="K49" s="44">
        <v>10</v>
      </c>
      <c r="L49" s="44">
        <v>10</v>
      </c>
      <c r="M49" s="44">
        <v>10</v>
      </c>
      <c r="N49" s="44">
        <v>10</v>
      </c>
      <c r="O49" s="44">
        <v>10</v>
      </c>
      <c r="P49" s="44">
        <v>10</v>
      </c>
      <c r="Q49" s="44">
        <v>10</v>
      </c>
      <c r="R49" s="44">
        <f>SUM(F49:Q49)</f>
        <v>120</v>
      </c>
      <c r="S49" s="53"/>
      <c r="V49" s="20" t="s">
        <v>953</v>
      </c>
    </row>
    <row r="50" spans="1:26" ht="15.75" customHeight="1" x14ac:dyDescent="0.3">
      <c r="A50" s="120">
        <v>44</v>
      </c>
      <c r="B50" s="153" t="s">
        <v>110</v>
      </c>
      <c r="C50" s="44" t="s">
        <v>112</v>
      </c>
      <c r="D50" s="47" t="s">
        <v>771</v>
      </c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53"/>
    </row>
    <row r="51" spans="1:26" ht="15.75" customHeight="1" x14ac:dyDescent="0.3">
      <c r="A51" s="120">
        <v>45</v>
      </c>
      <c r="B51" s="153" t="s">
        <v>134</v>
      </c>
      <c r="C51" s="3" t="s">
        <v>136</v>
      </c>
      <c r="D51" s="47" t="s">
        <v>772</v>
      </c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53"/>
    </row>
    <row r="52" spans="1:26" ht="15.75" customHeight="1" x14ac:dyDescent="0.3">
      <c r="A52" s="120">
        <v>46</v>
      </c>
      <c r="B52" s="153" t="s">
        <v>192</v>
      </c>
      <c r="C52" s="44" t="s">
        <v>773</v>
      </c>
      <c r="D52" s="47" t="s">
        <v>774</v>
      </c>
      <c r="E52" s="44"/>
      <c r="F52" s="44">
        <v>10</v>
      </c>
      <c r="G52" s="44">
        <v>10</v>
      </c>
      <c r="H52" s="44">
        <v>10</v>
      </c>
      <c r="I52" s="44">
        <v>10</v>
      </c>
      <c r="J52" s="44">
        <v>10</v>
      </c>
      <c r="K52" s="44">
        <v>10</v>
      </c>
      <c r="L52" s="44">
        <v>10</v>
      </c>
      <c r="M52" s="44">
        <v>10</v>
      </c>
      <c r="N52" s="44">
        <v>10</v>
      </c>
      <c r="O52" s="44">
        <v>10</v>
      </c>
      <c r="P52" s="44">
        <v>10</v>
      </c>
      <c r="Q52" s="44">
        <v>10</v>
      </c>
      <c r="R52" s="44">
        <f>SUM(F52:Q52)</f>
        <v>120</v>
      </c>
      <c r="S52" s="53"/>
      <c r="V52" s="20" t="s">
        <v>954</v>
      </c>
    </row>
    <row r="53" spans="1:26" ht="15.75" customHeight="1" x14ac:dyDescent="0.3">
      <c r="A53" s="120">
        <v>47</v>
      </c>
      <c r="B53" s="153" t="s">
        <v>321</v>
      </c>
      <c r="C53" s="3" t="s">
        <v>323</v>
      </c>
      <c r="D53" s="47" t="s">
        <v>775</v>
      </c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53"/>
    </row>
    <row r="54" spans="1:26" ht="15.75" customHeight="1" x14ac:dyDescent="0.3">
      <c r="A54" s="120">
        <v>48</v>
      </c>
      <c r="B54" s="153" t="s">
        <v>450</v>
      </c>
      <c r="C54" s="14" t="s">
        <v>452</v>
      </c>
      <c r="D54" s="47" t="s">
        <v>776</v>
      </c>
      <c r="E54" s="44"/>
      <c r="F54" s="44">
        <v>10</v>
      </c>
      <c r="G54" s="44">
        <v>10</v>
      </c>
      <c r="H54" s="44">
        <v>10</v>
      </c>
      <c r="I54" s="44">
        <v>10</v>
      </c>
      <c r="J54" s="44">
        <v>10</v>
      </c>
      <c r="K54" s="44">
        <v>10</v>
      </c>
      <c r="L54" s="44">
        <v>10</v>
      </c>
      <c r="M54" s="44">
        <v>10</v>
      </c>
      <c r="N54" s="44">
        <v>10</v>
      </c>
      <c r="O54" s="44">
        <v>10</v>
      </c>
      <c r="P54" s="44">
        <v>10</v>
      </c>
      <c r="Q54" s="44">
        <v>10</v>
      </c>
      <c r="R54" s="44">
        <f t="shared" ref="R54:R55" si="9">SUM(F54:Q54)</f>
        <v>120</v>
      </c>
      <c r="S54" s="53"/>
      <c r="V54" s="20" t="s">
        <v>955</v>
      </c>
    </row>
    <row r="55" spans="1:26" ht="15.75" customHeight="1" x14ac:dyDescent="0.3">
      <c r="A55" s="120">
        <v>49</v>
      </c>
      <c r="B55" s="153" t="s">
        <v>669</v>
      </c>
      <c r="C55" s="14" t="s">
        <v>672</v>
      </c>
      <c r="D55" s="47" t="s">
        <v>777</v>
      </c>
      <c r="E55" s="44"/>
      <c r="F55" s="44">
        <v>10</v>
      </c>
      <c r="G55" s="44">
        <v>10</v>
      </c>
      <c r="H55" s="44">
        <v>10</v>
      </c>
      <c r="I55" s="44">
        <v>10</v>
      </c>
      <c r="J55" s="44">
        <v>10</v>
      </c>
      <c r="K55" s="44">
        <v>10</v>
      </c>
      <c r="L55" s="44">
        <v>10</v>
      </c>
      <c r="M55" s="44">
        <v>10</v>
      </c>
      <c r="N55" s="44">
        <v>10</v>
      </c>
      <c r="O55" s="44">
        <v>10</v>
      </c>
      <c r="P55" s="44">
        <v>10</v>
      </c>
      <c r="Q55" s="44">
        <v>10</v>
      </c>
      <c r="R55" s="44">
        <f t="shared" si="9"/>
        <v>120</v>
      </c>
      <c r="S55" s="53"/>
      <c r="T55" s="53">
        <f>R55+E55</f>
        <v>120</v>
      </c>
      <c r="U55" s="53">
        <f>IF(R55=120,(R55+E55),0)</f>
        <v>120</v>
      </c>
      <c r="V55" s="53" t="s">
        <v>932</v>
      </c>
      <c r="W55" s="53"/>
      <c r="X55" s="53"/>
      <c r="Y55" s="53"/>
      <c r="Z55" s="53"/>
    </row>
    <row r="56" spans="1:26" ht="15.75" customHeight="1" x14ac:dyDescent="0.3">
      <c r="A56" s="120">
        <v>50</v>
      </c>
      <c r="B56" s="153" t="s">
        <v>257</v>
      </c>
      <c r="C56" s="3" t="s">
        <v>259</v>
      </c>
      <c r="D56" s="47" t="s">
        <v>778</v>
      </c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53"/>
      <c r="T56" s="53"/>
      <c r="U56" s="53"/>
      <c r="V56" s="53"/>
      <c r="W56" s="53"/>
      <c r="X56" s="53"/>
      <c r="Y56" s="53"/>
      <c r="Z56" s="53"/>
    </row>
    <row r="57" spans="1:26" ht="15.75" customHeight="1" x14ac:dyDescent="0.3">
      <c r="A57" s="120">
        <v>51</v>
      </c>
      <c r="B57" s="224" t="s">
        <v>364</v>
      </c>
      <c r="C57" s="84" t="s">
        <v>366</v>
      </c>
      <c r="D57" s="83" t="s">
        <v>779</v>
      </c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5"/>
      <c r="S57" s="53"/>
      <c r="T57" s="53"/>
      <c r="U57" s="53"/>
      <c r="V57" s="53"/>
      <c r="W57" s="53"/>
      <c r="X57" s="53"/>
      <c r="Y57" s="53"/>
      <c r="Z57" s="53"/>
    </row>
    <row r="58" spans="1:26" ht="15.75" customHeight="1" x14ac:dyDescent="0.3">
      <c r="A58" s="120">
        <v>52</v>
      </c>
      <c r="B58" s="363" t="s">
        <v>489</v>
      </c>
      <c r="C58" s="86" t="s">
        <v>491</v>
      </c>
      <c r="D58" s="72" t="s">
        <v>780</v>
      </c>
      <c r="E58" s="74"/>
      <c r="F58" s="74">
        <v>10</v>
      </c>
      <c r="G58" s="74">
        <v>10</v>
      </c>
      <c r="H58" s="74">
        <v>10</v>
      </c>
      <c r="I58" s="74">
        <v>10</v>
      </c>
      <c r="J58" s="74">
        <v>10</v>
      </c>
      <c r="K58" s="74">
        <v>10</v>
      </c>
      <c r="L58" s="74">
        <v>10</v>
      </c>
      <c r="M58" s="74">
        <v>10</v>
      </c>
      <c r="N58" s="74">
        <v>10</v>
      </c>
      <c r="O58" s="74">
        <v>10</v>
      </c>
      <c r="P58" s="74">
        <v>10</v>
      </c>
      <c r="Q58" s="74">
        <v>10</v>
      </c>
      <c r="R58" s="74">
        <v>120</v>
      </c>
      <c r="S58" s="75"/>
      <c r="T58" s="87" t="s">
        <v>956</v>
      </c>
      <c r="U58" s="75"/>
      <c r="V58" s="75"/>
      <c r="W58" s="53"/>
      <c r="X58" s="53"/>
      <c r="Y58" s="53"/>
      <c r="Z58" s="53"/>
    </row>
    <row r="59" spans="1:26" ht="15.75" customHeight="1" x14ac:dyDescent="0.3">
      <c r="A59" s="120">
        <v>53</v>
      </c>
      <c r="B59" s="153" t="s">
        <v>126</v>
      </c>
      <c r="C59" s="14" t="s">
        <v>128</v>
      </c>
      <c r="D59" s="47" t="s">
        <v>781</v>
      </c>
      <c r="E59" s="44"/>
      <c r="F59" s="44">
        <v>10</v>
      </c>
      <c r="G59" s="44">
        <v>10</v>
      </c>
      <c r="H59" s="44">
        <v>10</v>
      </c>
      <c r="I59" s="44">
        <v>10</v>
      </c>
      <c r="J59" s="44">
        <v>10</v>
      </c>
      <c r="K59" s="44">
        <v>10</v>
      </c>
      <c r="L59" s="44">
        <v>10</v>
      </c>
      <c r="M59" s="44">
        <v>10</v>
      </c>
      <c r="N59" s="44">
        <v>10</v>
      </c>
      <c r="O59" s="44">
        <v>10</v>
      </c>
      <c r="P59" s="44">
        <v>10</v>
      </c>
      <c r="Q59" s="44">
        <v>10</v>
      </c>
      <c r="R59" s="44">
        <f>SUM(F59:Q59)</f>
        <v>120</v>
      </c>
      <c r="S59" s="53"/>
      <c r="T59" s="53"/>
      <c r="U59" s="53"/>
      <c r="V59" s="53"/>
      <c r="W59" s="53"/>
      <c r="X59" s="53"/>
      <c r="Y59" s="53"/>
      <c r="Z59" s="53"/>
    </row>
    <row r="60" spans="1:26" ht="15.75" customHeight="1" x14ac:dyDescent="0.3">
      <c r="A60" s="120">
        <v>54</v>
      </c>
      <c r="B60" s="363" t="s">
        <v>239</v>
      </c>
      <c r="C60" s="74" t="s">
        <v>957</v>
      </c>
      <c r="D60" s="72" t="s">
        <v>783</v>
      </c>
      <c r="E60" s="74"/>
      <c r="F60" s="74">
        <v>10</v>
      </c>
      <c r="G60" s="74">
        <v>10</v>
      </c>
      <c r="H60" s="74">
        <v>10</v>
      </c>
      <c r="I60" s="74">
        <v>10</v>
      </c>
      <c r="J60" s="74">
        <v>10</v>
      </c>
      <c r="K60" s="74">
        <v>10</v>
      </c>
      <c r="L60" s="74">
        <v>10</v>
      </c>
      <c r="M60" s="74">
        <v>10</v>
      </c>
      <c r="N60" s="74">
        <v>10</v>
      </c>
      <c r="O60" s="74">
        <v>10</v>
      </c>
      <c r="P60" s="74">
        <v>10</v>
      </c>
      <c r="Q60" s="74">
        <v>10</v>
      </c>
      <c r="R60" s="74">
        <v>120</v>
      </c>
      <c r="S60" s="75"/>
      <c r="T60" s="75" t="s">
        <v>958</v>
      </c>
      <c r="U60" s="75"/>
      <c r="V60" s="75"/>
      <c r="W60" s="53"/>
      <c r="X60" s="53"/>
      <c r="Y60" s="53"/>
      <c r="Z60" s="53"/>
    </row>
    <row r="61" spans="1:26" ht="15.75" customHeight="1" x14ac:dyDescent="0.3">
      <c r="A61" s="120">
        <v>55</v>
      </c>
      <c r="B61" s="153" t="s">
        <v>249</v>
      </c>
      <c r="C61" s="14" t="s">
        <v>251</v>
      </c>
      <c r="D61" s="47" t="s">
        <v>785</v>
      </c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53"/>
      <c r="T61" s="53"/>
      <c r="U61" s="53"/>
      <c r="V61" s="53"/>
      <c r="W61" s="53"/>
      <c r="X61" s="53"/>
      <c r="Y61" s="53"/>
      <c r="Z61" s="53"/>
    </row>
    <row r="62" spans="1:26" ht="15.75" customHeight="1" x14ac:dyDescent="0.3">
      <c r="A62" s="120">
        <v>56</v>
      </c>
      <c r="B62" s="153" t="s">
        <v>395</v>
      </c>
      <c r="C62" s="14" t="s">
        <v>397</v>
      </c>
      <c r="D62" s="47" t="s">
        <v>786</v>
      </c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53"/>
      <c r="T62" s="53"/>
      <c r="U62" s="53"/>
      <c r="V62" s="53"/>
      <c r="W62" s="53"/>
      <c r="X62" s="53"/>
      <c r="Y62" s="53"/>
      <c r="Z62" s="53"/>
    </row>
    <row r="63" spans="1:26" ht="15.75" customHeight="1" x14ac:dyDescent="0.3">
      <c r="A63" s="120">
        <v>57</v>
      </c>
      <c r="B63" s="153" t="s">
        <v>150</v>
      </c>
      <c r="C63" s="14" t="s">
        <v>152</v>
      </c>
      <c r="D63" s="47" t="s">
        <v>789</v>
      </c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53"/>
      <c r="T63" s="53"/>
      <c r="U63" s="53"/>
      <c r="V63" s="53"/>
      <c r="W63" s="53"/>
      <c r="X63" s="53"/>
      <c r="Y63" s="53"/>
      <c r="Z63" s="53"/>
    </row>
    <row r="64" spans="1:26" ht="15.75" customHeight="1" x14ac:dyDescent="0.3">
      <c r="A64" s="120">
        <v>58</v>
      </c>
      <c r="B64" s="153" t="s">
        <v>438</v>
      </c>
      <c r="C64" s="3" t="s">
        <v>440</v>
      </c>
      <c r="D64" s="47" t="s">
        <v>791</v>
      </c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53"/>
      <c r="T64" s="53"/>
      <c r="U64" s="53"/>
      <c r="V64" s="53"/>
      <c r="W64" s="53"/>
      <c r="X64" s="53"/>
      <c r="Y64" s="53"/>
      <c r="Z64" s="53"/>
    </row>
    <row r="65" spans="1:26" ht="15.75" customHeight="1" x14ac:dyDescent="0.3">
      <c r="A65" s="120">
        <v>59</v>
      </c>
      <c r="B65" s="153" t="s">
        <v>307</v>
      </c>
      <c r="C65" s="3" t="s">
        <v>309</v>
      </c>
      <c r="D65" s="47" t="s">
        <v>792</v>
      </c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53"/>
      <c r="T65" s="53"/>
      <c r="U65" s="53"/>
      <c r="V65" s="53"/>
      <c r="W65" s="53"/>
      <c r="X65" s="53"/>
      <c r="Y65" s="53"/>
      <c r="Z65" s="53"/>
    </row>
    <row r="66" spans="1:26" ht="15.75" customHeight="1" x14ac:dyDescent="0.3">
      <c r="A66" s="120">
        <v>60</v>
      </c>
      <c r="B66" s="153" t="s">
        <v>217</v>
      </c>
      <c r="C66" s="3" t="s">
        <v>219</v>
      </c>
      <c r="D66" s="47" t="s">
        <v>793</v>
      </c>
      <c r="E66" s="44"/>
      <c r="F66" s="44">
        <v>10</v>
      </c>
      <c r="G66" s="44">
        <v>10</v>
      </c>
      <c r="H66" s="44">
        <v>10</v>
      </c>
      <c r="I66" s="44">
        <v>10</v>
      </c>
      <c r="J66" s="44">
        <v>10</v>
      </c>
      <c r="K66" s="44">
        <v>10</v>
      </c>
      <c r="L66" s="44">
        <v>10</v>
      </c>
      <c r="M66" s="44">
        <v>10</v>
      </c>
      <c r="N66" s="44">
        <v>10</v>
      </c>
      <c r="O66" s="44">
        <v>10</v>
      </c>
      <c r="P66" s="44">
        <v>10</v>
      </c>
      <c r="Q66" s="44">
        <v>10</v>
      </c>
      <c r="R66" s="44">
        <f>SUM(F66:Q66)</f>
        <v>120</v>
      </c>
      <c r="S66" s="53"/>
      <c r="T66" s="53">
        <f>R66+E66</f>
        <v>120</v>
      </c>
      <c r="U66" s="53">
        <f t="shared" ref="U66:U139" si="10">IF(R66=120,(R66+E66),0)</f>
        <v>120</v>
      </c>
      <c r="V66" s="53" t="s">
        <v>907</v>
      </c>
      <c r="W66" s="53"/>
      <c r="X66" s="53"/>
      <c r="Y66" s="53"/>
      <c r="Z66" s="53"/>
    </row>
    <row r="67" spans="1:26" ht="15.75" customHeight="1" x14ac:dyDescent="0.3">
      <c r="A67" s="120">
        <v>61</v>
      </c>
      <c r="B67" s="153" t="s">
        <v>301</v>
      </c>
      <c r="C67" s="44" t="s">
        <v>794</v>
      </c>
      <c r="D67" s="47" t="s">
        <v>795</v>
      </c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53"/>
      <c r="T67" s="53"/>
      <c r="U67" s="53">
        <f t="shared" si="10"/>
        <v>0</v>
      </c>
      <c r="V67" s="53"/>
      <c r="W67" s="53"/>
      <c r="X67" s="53"/>
      <c r="Y67" s="53"/>
      <c r="Z67" s="53"/>
    </row>
    <row r="68" spans="1:26" ht="15.75" customHeight="1" x14ac:dyDescent="0.3">
      <c r="A68" s="120">
        <v>62</v>
      </c>
      <c r="B68" s="153" t="s">
        <v>342</v>
      </c>
      <c r="C68" s="3" t="s">
        <v>344</v>
      </c>
      <c r="D68" s="47" t="s">
        <v>796</v>
      </c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65"/>
      <c r="S68" s="53"/>
      <c r="T68" s="53"/>
      <c r="U68" s="53">
        <f t="shared" si="10"/>
        <v>0</v>
      </c>
      <c r="V68" s="53" t="s">
        <v>901</v>
      </c>
      <c r="W68" s="53"/>
      <c r="X68" s="53"/>
      <c r="Y68" s="53"/>
      <c r="Z68" s="53"/>
    </row>
    <row r="69" spans="1:26" ht="15.75" customHeight="1" x14ac:dyDescent="0.3">
      <c r="A69" s="120">
        <v>63</v>
      </c>
      <c r="B69" s="153" t="s">
        <v>289</v>
      </c>
      <c r="C69" s="3" t="s">
        <v>291</v>
      </c>
      <c r="D69" s="47" t="s">
        <v>797</v>
      </c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53"/>
      <c r="T69" s="53">
        <f t="shared" ref="T69:T73" si="11">R69+E69</f>
        <v>0</v>
      </c>
      <c r="U69" s="53">
        <f t="shared" si="10"/>
        <v>0</v>
      </c>
      <c r="V69" s="53"/>
      <c r="W69" s="53"/>
      <c r="X69" s="53"/>
      <c r="Y69" s="53"/>
      <c r="Z69" s="53"/>
    </row>
    <row r="70" spans="1:26" ht="15.75" customHeight="1" x14ac:dyDescent="0.3">
      <c r="A70" s="120">
        <v>64</v>
      </c>
      <c r="B70" s="153" t="s">
        <v>608</v>
      </c>
      <c r="C70" s="44" t="s">
        <v>798</v>
      </c>
      <c r="D70" s="47" t="s">
        <v>799</v>
      </c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53"/>
      <c r="T70" s="53">
        <f t="shared" si="11"/>
        <v>0</v>
      </c>
      <c r="U70" s="53">
        <f t="shared" si="10"/>
        <v>0</v>
      </c>
      <c r="V70" s="53"/>
      <c r="W70" s="53"/>
      <c r="X70" s="53"/>
      <c r="Y70" s="53"/>
      <c r="Z70" s="53"/>
    </row>
    <row r="71" spans="1:26" ht="15.75" customHeight="1" x14ac:dyDescent="0.3">
      <c r="A71" s="120">
        <v>65</v>
      </c>
      <c r="B71" s="153" t="s">
        <v>548</v>
      </c>
      <c r="C71" s="14" t="s">
        <v>550</v>
      </c>
      <c r="D71" s="47" t="s">
        <v>800</v>
      </c>
      <c r="E71" s="44"/>
      <c r="F71" s="44">
        <v>10</v>
      </c>
      <c r="G71" s="44">
        <v>10</v>
      </c>
      <c r="H71" s="44">
        <v>10</v>
      </c>
      <c r="I71" s="44">
        <v>10</v>
      </c>
      <c r="J71" s="44">
        <v>10</v>
      </c>
      <c r="K71" s="44">
        <v>10</v>
      </c>
      <c r="L71" s="44">
        <v>10</v>
      </c>
      <c r="M71" s="44">
        <v>10</v>
      </c>
      <c r="N71" s="44">
        <v>10</v>
      </c>
      <c r="O71" s="44">
        <v>10</v>
      </c>
      <c r="P71" s="44">
        <v>10</v>
      </c>
      <c r="Q71" s="44">
        <v>10</v>
      </c>
      <c r="R71" s="44">
        <f>SUM(F71:Q71)</f>
        <v>120</v>
      </c>
      <c r="S71" s="53"/>
      <c r="T71" s="53">
        <f t="shared" si="11"/>
        <v>120</v>
      </c>
      <c r="U71" s="53">
        <f t="shared" si="10"/>
        <v>120</v>
      </c>
      <c r="V71" s="53"/>
      <c r="W71" s="53"/>
      <c r="X71" s="53"/>
      <c r="Y71" s="53"/>
      <c r="Z71" s="53"/>
    </row>
    <row r="72" spans="1:26" ht="15.75" customHeight="1" x14ac:dyDescent="0.3">
      <c r="A72" s="120">
        <v>66</v>
      </c>
      <c r="B72" s="153" t="s">
        <v>482</v>
      </c>
      <c r="C72" s="44" t="s">
        <v>801</v>
      </c>
      <c r="D72" s="47" t="s">
        <v>802</v>
      </c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53"/>
      <c r="T72" s="20">
        <f t="shared" si="11"/>
        <v>0</v>
      </c>
      <c r="U72" s="20">
        <f t="shared" si="10"/>
        <v>0</v>
      </c>
    </row>
    <row r="73" spans="1:26" ht="15.75" customHeight="1" x14ac:dyDescent="0.3">
      <c r="A73" s="120">
        <v>67</v>
      </c>
      <c r="B73" s="153" t="s">
        <v>185</v>
      </c>
      <c r="C73" s="3" t="s">
        <v>187</v>
      </c>
      <c r="D73" s="47" t="s">
        <v>804</v>
      </c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53"/>
      <c r="T73" s="20">
        <f t="shared" si="11"/>
        <v>0</v>
      </c>
      <c r="U73" s="20">
        <f t="shared" si="10"/>
        <v>0</v>
      </c>
    </row>
    <row r="74" spans="1:26" ht="15.75" customHeight="1" x14ac:dyDescent="0.3">
      <c r="A74" s="120">
        <v>68</v>
      </c>
      <c r="B74" s="153" t="s">
        <v>276</v>
      </c>
      <c r="C74" s="44" t="s">
        <v>805</v>
      </c>
      <c r="D74" s="47" t="s">
        <v>806</v>
      </c>
      <c r="E74" s="44"/>
      <c r="F74" s="44">
        <v>10</v>
      </c>
      <c r="G74" s="44">
        <v>10</v>
      </c>
      <c r="H74" s="44">
        <v>10</v>
      </c>
      <c r="I74" s="44">
        <v>10</v>
      </c>
      <c r="J74" s="44">
        <v>10</v>
      </c>
      <c r="K74" s="44">
        <v>10</v>
      </c>
      <c r="L74" s="44">
        <v>10</v>
      </c>
      <c r="M74" s="44">
        <v>10</v>
      </c>
      <c r="N74" s="44">
        <v>10</v>
      </c>
      <c r="O74" s="44">
        <v>10</v>
      </c>
      <c r="P74" s="44">
        <v>10</v>
      </c>
      <c r="Q74" s="44">
        <v>10</v>
      </c>
      <c r="R74" s="44">
        <f>SUM(F74:Q74)</f>
        <v>120</v>
      </c>
      <c r="S74" s="53"/>
      <c r="U74" s="20">
        <f t="shared" si="10"/>
        <v>120</v>
      </c>
    </row>
    <row r="75" spans="1:26" ht="15.75" customHeight="1" x14ac:dyDescent="0.3">
      <c r="A75" s="120">
        <v>69</v>
      </c>
      <c r="B75" s="153" t="s">
        <v>564</v>
      </c>
      <c r="C75" s="44" t="s">
        <v>807</v>
      </c>
      <c r="D75" s="47" t="s">
        <v>808</v>
      </c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53"/>
      <c r="U75" s="20">
        <f t="shared" si="10"/>
        <v>0</v>
      </c>
    </row>
    <row r="76" spans="1:26" ht="15.75" customHeight="1" x14ac:dyDescent="0.3">
      <c r="A76" s="120">
        <v>70</v>
      </c>
      <c r="B76" s="153" t="s">
        <v>629</v>
      </c>
      <c r="C76" s="3" t="s">
        <v>631</v>
      </c>
      <c r="D76" s="47" t="s">
        <v>809</v>
      </c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53"/>
      <c r="U76" s="20">
        <f t="shared" si="10"/>
        <v>0</v>
      </c>
    </row>
    <row r="77" spans="1:26" ht="15.75" customHeight="1" x14ac:dyDescent="0.3">
      <c r="A77" s="120">
        <v>71</v>
      </c>
      <c r="B77" s="153" t="s">
        <v>810</v>
      </c>
      <c r="C77" s="44" t="s">
        <v>811</v>
      </c>
      <c r="D77" s="47" t="s">
        <v>812</v>
      </c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53"/>
      <c r="U77" s="20">
        <f t="shared" si="10"/>
        <v>0</v>
      </c>
    </row>
    <row r="78" spans="1:26" ht="15.75" customHeight="1" x14ac:dyDescent="0.3">
      <c r="A78" s="120">
        <v>72</v>
      </c>
      <c r="B78" s="153" t="s">
        <v>813</v>
      </c>
      <c r="C78" s="44" t="s">
        <v>814</v>
      </c>
      <c r="D78" s="47" t="s">
        <v>815</v>
      </c>
      <c r="E78" s="44"/>
      <c r="F78" s="44">
        <v>10</v>
      </c>
      <c r="G78" s="44">
        <v>10</v>
      </c>
      <c r="H78" s="44">
        <v>10</v>
      </c>
      <c r="I78" s="44">
        <v>10</v>
      </c>
      <c r="J78" s="44">
        <v>10</v>
      </c>
      <c r="K78" s="44">
        <v>10</v>
      </c>
      <c r="L78" s="44">
        <v>10</v>
      </c>
      <c r="M78" s="44">
        <v>10</v>
      </c>
      <c r="N78" s="44">
        <v>10</v>
      </c>
      <c r="O78" s="44">
        <v>10</v>
      </c>
      <c r="P78" s="44">
        <v>10</v>
      </c>
      <c r="Q78" s="44">
        <v>10</v>
      </c>
      <c r="R78" s="44">
        <f t="shared" ref="R78:R79" si="12">SUM(F78:Q78)</f>
        <v>120</v>
      </c>
      <c r="S78" s="53"/>
      <c r="U78" s="20">
        <f t="shared" si="10"/>
        <v>120</v>
      </c>
    </row>
    <row r="79" spans="1:26" ht="15.75" customHeight="1" x14ac:dyDescent="0.3">
      <c r="A79" s="120">
        <v>73</v>
      </c>
      <c r="B79" s="153" t="s">
        <v>816</v>
      </c>
      <c r="C79" s="44" t="s">
        <v>817</v>
      </c>
      <c r="D79" s="47" t="s">
        <v>818</v>
      </c>
      <c r="E79" s="44"/>
      <c r="F79" s="44">
        <v>10</v>
      </c>
      <c r="G79" s="44">
        <v>10</v>
      </c>
      <c r="H79" s="44">
        <v>10</v>
      </c>
      <c r="I79" s="44">
        <v>10</v>
      </c>
      <c r="J79" s="44">
        <v>10</v>
      </c>
      <c r="K79" s="44">
        <v>10</v>
      </c>
      <c r="L79" s="44">
        <v>10</v>
      </c>
      <c r="M79" s="44">
        <v>10</v>
      </c>
      <c r="N79" s="44">
        <v>10</v>
      </c>
      <c r="O79" s="44">
        <v>10</v>
      </c>
      <c r="P79" s="44">
        <v>10</v>
      </c>
      <c r="Q79" s="44">
        <v>10</v>
      </c>
      <c r="R79" s="44">
        <f t="shared" si="12"/>
        <v>120</v>
      </c>
      <c r="S79" s="53"/>
      <c r="U79" s="20">
        <f t="shared" si="10"/>
        <v>120</v>
      </c>
    </row>
    <row r="80" spans="1:26" ht="15.75" customHeight="1" x14ac:dyDescent="0.3">
      <c r="A80" s="120">
        <v>74</v>
      </c>
      <c r="B80" s="153" t="s">
        <v>819</v>
      </c>
      <c r="C80" s="44" t="s">
        <v>820</v>
      </c>
      <c r="D80" s="47" t="s">
        <v>821</v>
      </c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53"/>
      <c r="U80" s="20">
        <f t="shared" si="10"/>
        <v>0</v>
      </c>
    </row>
    <row r="81" spans="1:22" ht="15.75" customHeight="1" x14ac:dyDescent="0.3">
      <c r="A81" s="120">
        <v>75</v>
      </c>
      <c r="B81" s="153" t="s">
        <v>822</v>
      </c>
      <c r="C81" s="44" t="s">
        <v>823</v>
      </c>
      <c r="D81" s="47" t="s">
        <v>824</v>
      </c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53"/>
      <c r="U81" s="20">
        <f t="shared" si="10"/>
        <v>0</v>
      </c>
    </row>
    <row r="82" spans="1:22" ht="15.75" customHeight="1" x14ac:dyDescent="0.3">
      <c r="A82" s="120">
        <v>76</v>
      </c>
      <c r="B82" s="153" t="s">
        <v>825</v>
      </c>
      <c r="C82" s="44" t="s">
        <v>826</v>
      </c>
      <c r="D82" s="47" t="s">
        <v>827</v>
      </c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53"/>
      <c r="U82" s="20">
        <f t="shared" si="10"/>
        <v>0</v>
      </c>
    </row>
    <row r="83" spans="1:22" ht="15.75" customHeight="1" x14ac:dyDescent="0.3">
      <c r="A83" s="120">
        <v>77</v>
      </c>
      <c r="B83" s="153" t="s">
        <v>416</v>
      </c>
      <c r="C83" s="14" t="s">
        <v>418</v>
      </c>
      <c r="D83" s="47" t="s">
        <v>828</v>
      </c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53"/>
      <c r="U83" s="20">
        <f t="shared" si="10"/>
        <v>0</v>
      </c>
    </row>
    <row r="84" spans="1:22" ht="15.75" customHeight="1" x14ac:dyDescent="0.3">
      <c r="A84" s="120">
        <v>78</v>
      </c>
      <c r="B84" s="153" t="s">
        <v>829</v>
      </c>
      <c r="C84" s="44" t="s">
        <v>830</v>
      </c>
      <c r="D84" s="47" t="s">
        <v>831</v>
      </c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53"/>
      <c r="U84" s="20">
        <f t="shared" si="10"/>
        <v>0</v>
      </c>
    </row>
    <row r="85" spans="1:22" ht="15.75" customHeight="1" x14ac:dyDescent="0.3">
      <c r="A85" s="120">
        <v>79</v>
      </c>
      <c r="B85" s="153" t="s">
        <v>832</v>
      </c>
      <c r="C85" s="3" t="s">
        <v>584</v>
      </c>
      <c r="D85" s="47" t="s">
        <v>721</v>
      </c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53"/>
      <c r="U85" s="20">
        <f t="shared" si="10"/>
        <v>0</v>
      </c>
    </row>
    <row r="86" spans="1:22" ht="15.75" customHeight="1" x14ac:dyDescent="0.3">
      <c r="A86" s="120">
        <v>80</v>
      </c>
      <c r="B86" s="153" t="s">
        <v>833</v>
      </c>
      <c r="C86" s="14" t="s">
        <v>296</v>
      </c>
      <c r="D86" s="47" t="s">
        <v>834</v>
      </c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53"/>
      <c r="U86" s="20">
        <f t="shared" si="10"/>
        <v>0</v>
      </c>
    </row>
    <row r="87" spans="1:22" ht="15.75" customHeight="1" x14ac:dyDescent="0.3">
      <c r="A87" s="120">
        <v>81</v>
      </c>
      <c r="B87" s="153" t="s">
        <v>836</v>
      </c>
      <c r="C87" s="44" t="s">
        <v>919</v>
      </c>
      <c r="D87" s="47" t="s">
        <v>920</v>
      </c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53"/>
      <c r="U87" s="20">
        <f t="shared" si="10"/>
        <v>0</v>
      </c>
    </row>
    <row r="88" spans="1:22" ht="15.75" customHeight="1" x14ac:dyDescent="0.3">
      <c r="A88" s="120">
        <v>82</v>
      </c>
      <c r="B88" s="153" t="s">
        <v>837</v>
      </c>
      <c r="C88" s="44" t="s">
        <v>921</v>
      </c>
      <c r="D88" s="47" t="s">
        <v>922</v>
      </c>
      <c r="E88" s="44">
        <v>20</v>
      </c>
      <c r="F88" s="44">
        <v>10</v>
      </c>
      <c r="G88" s="44">
        <v>10</v>
      </c>
      <c r="H88" s="44">
        <v>10</v>
      </c>
      <c r="I88" s="44">
        <v>10</v>
      </c>
      <c r="J88" s="44">
        <v>10</v>
      </c>
      <c r="K88" s="44">
        <v>10</v>
      </c>
      <c r="L88" s="44">
        <v>10</v>
      </c>
      <c r="M88" s="44">
        <v>10</v>
      </c>
      <c r="N88" s="44">
        <v>10</v>
      </c>
      <c r="O88" s="44">
        <v>10</v>
      </c>
      <c r="P88" s="44">
        <v>10</v>
      </c>
      <c r="Q88" s="44">
        <v>10</v>
      </c>
      <c r="R88" s="44">
        <f t="shared" ref="R88:R89" si="13">SUM(F88:Q88)</f>
        <v>120</v>
      </c>
      <c r="S88" s="53"/>
      <c r="U88" s="20">
        <f t="shared" si="10"/>
        <v>140</v>
      </c>
      <c r="V88" s="20" t="s">
        <v>959</v>
      </c>
    </row>
    <row r="89" spans="1:22" ht="15.75" customHeight="1" x14ac:dyDescent="0.3">
      <c r="A89" s="120">
        <v>83</v>
      </c>
      <c r="B89" s="153" t="s">
        <v>142</v>
      </c>
      <c r="C89" s="14" t="s">
        <v>144</v>
      </c>
      <c r="D89" s="47" t="s">
        <v>838</v>
      </c>
      <c r="E89" s="44"/>
      <c r="F89" s="44">
        <v>10</v>
      </c>
      <c r="G89" s="44">
        <v>10</v>
      </c>
      <c r="H89" s="44">
        <v>10</v>
      </c>
      <c r="I89" s="44">
        <v>10</v>
      </c>
      <c r="J89" s="44">
        <v>10</v>
      </c>
      <c r="K89" s="44">
        <v>10</v>
      </c>
      <c r="L89" s="44">
        <v>10</v>
      </c>
      <c r="M89" s="44">
        <v>10</v>
      </c>
      <c r="N89" s="44">
        <v>10</v>
      </c>
      <c r="O89" s="44">
        <v>10</v>
      </c>
      <c r="P89" s="44">
        <v>10</v>
      </c>
      <c r="Q89" s="44">
        <v>10</v>
      </c>
      <c r="R89" s="44">
        <f t="shared" si="13"/>
        <v>120</v>
      </c>
      <c r="S89" s="53"/>
      <c r="U89" s="20">
        <f t="shared" si="10"/>
        <v>120</v>
      </c>
      <c r="V89" s="20" t="s">
        <v>960</v>
      </c>
    </row>
    <row r="90" spans="1:22" ht="15.75" customHeight="1" x14ac:dyDescent="0.3">
      <c r="A90" s="120">
        <v>84</v>
      </c>
      <c r="B90" s="153" t="s">
        <v>839</v>
      </c>
      <c r="C90" s="3" t="s">
        <v>572</v>
      </c>
      <c r="D90" s="47" t="s">
        <v>923</v>
      </c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53"/>
      <c r="U90" s="20">
        <f t="shared" si="10"/>
        <v>0</v>
      </c>
      <c r="V90" s="20" t="s">
        <v>961</v>
      </c>
    </row>
    <row r="91" spans="1:22" ht="15.75" customHeight="1" x14ac:dyDescent="0.3">
      <c r="A91" s="120">
        <v>85</v>
      </c>
      <c r="B91" s="153" t="s">
        <v>840</v>
      </c>
      <c r="C91" s="65" t="s">
        <v>925</v>
      </c>
      <c r="D91" s="45" t="s">
        <v>892</v>
      </c>
      <c r="E91" s="44">
        <v>20</v>
      </c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>
        <v>10</v>
      </c>
      <c r="R91" s="44">
        <f>SUM(F91:Q91)</f>
        <v>10</v>
      </c>
      <c r="S91" s="53"/>
      <c r="U91" s="20">
        <f t="shared" si="10"/>
        <v>0</v>
      </c>
    </row>
    <row r="92" spans="1:22" ht="15.75" customHeight="1" x14ac:dyDescent="0.3">
      <c r="A92" s="120">
        <v>86</v>
      </c>
      <c r="B92" s="153" t="s">
        <v>841</v>
      </c>
      <c r="C92" s="3" t="s">
        <v>212</v>
      </c>
      <c r="D92" s="47" t="s">
        <v>926</v>
      </c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53"/>
      <c r="U92" s="20">
        <f t="shared" si="10"/>
        <v>0</v>
      </c>
    </row>
    <row r="93" spans="1:22" ht="15.75" customHeight="1" x14ac:dyDescent="0.3">
      <c r="A93" s="120">
        <v>87</v>
      </c>
      <c r="B93" s="153" t="s">
        <v>842</v>
      </c>
      <c r="C93" s="44"/>
      <c r="D93" s="47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53"/>
      <c r="U93" s="20">
        <f t="shared" si="10"/>
        <v>0</v>
      </c>
    </row>
    <row r="94" spans="1:22" ht="15.75" customHeight="1" x14ac:dyDescent="0.3">
      <c r="A94" s="120">
        <v>88</v>
      </c>
      <c r="B94" s="153" t="s">
        <v>644</v>
      </c>
      <c r="C94" s="14" t="s">
        <v>647</v>
      </c>
      <c r="D94" s="47" t="s">
        <v>843</v>
      </c>
      <c r="E94" s="44"/>
      <c r="F94" s="44">
        <v>10</v>
      </c>
      <c r="G94" s="44">
        <v>10</v>
      </c>
      <c r="H94" s="44">
        <v>10</v>
      </c>
      <c r="I94" s="44">
        <v>10</v>
      </c>
      <c r="J94" s="44">
        <v>10</v>
      </c>
      <c r="K94" s="44">
        <v>10</v>
      </c>
      <c r="L94" s="44">
        <v>10</v>
      </c>
      <c r="M94" s="44">
        <v>10</v>
      </c>
      <c r="N94" s="44">
        <v>10</v>
      </c>
      <c r="O94" s="44">
        <v>10</v>
      </c>
      <c r="P94" s="44">
        <v>10</v>
      </c>
      <c r="Q94" s="44">
        <v>10</v>
      </c>
      <c r="R94" s="44">
        <f>SUM(F94:Q94)</f>
        <v>120</v>
      </c>
      <c r="S94" s="53"/>
      <c r="U94" s="20">
        <f t="shared" si="10"/>
        <v>120</v>
      </c>
    </row>
    <row r="95" spans="1:22" ht="15.75" customHeight="1" x14ac:dyDescent="0.3">
      <c r="A95" s="120">
        <v>89</v>
      </c>
      <c r="B95" s="153" t="s">
        <v>844</v>
      </c>
      <c r="C95" s="44"/>
      <c r="D95" s="47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53"/>
      <c r="U95" s="20">
        <f t="shared" si="10"/>
        <v>0</v>
      </c>
    </row>
    <row r="96" spans="1:22" ht="15.75" customHeight="1" x14ac:dyDescent="0.3">
      <c r="A96" s="120">
        <v>90</v>
      </c>
      <c r="B96" s="153" t="s">
        <v>845</v>
      </c>
      <c r="C96" s="44"/>
      <c r="D96" s="47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53"/>
      <c r="U96" s="20">
        <f t="shared" si="10"/>
        <v>0</v>
      </c>
    </row>
    <row r="97" spans="1:22" ht="15.75" customHeight="1" x14ac:dyDescent="0.3">
      <c r="A97" s="120">
        <v>91</v>
      </c>
      <c r="B97" s="153" t="s">
        <v>846</v>
      </c>
      <c r="C97" s="44"/>
      <c r="D97" s="47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53"/>
      <c r="U97" s="20">
        <f t="shared" si="10"/>
        <v>0</v>
      </c>
    </row>
    <row r="98" spans="1:22" ht="15.75" customHeight="1" x14ac:dyDescent="0.3">
      <c r="A98" s="120">
        <v>92</v>
      </c>
      <c r="B98" s="153" t="s">
        <v>847</v>
      </c>
      <c r="C98" s="44"/>
      <c r="D98" s="47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53"/>
      <c r="U98" s="20">
        <f t="shared" si="10"/>
        <v>0</v>
      </c>
    </row>
    <row r="99" spans="1:22" ht="15.75" customHeight="1" x14ac:dyDescent="0.3">
      <c r="A99" s="120">
        <v>93</v>
      </c>
      <c r="B99" s="153" t="s">
        <v>848</v>
      </c>
      <c r="C99" s="44"/>
      <c r="D99" s="47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53"/>
      <c r="U99" s="20">
        <f t="shared" si="10"/>
        <v>0</v>
      </c>
    </row>
    <row r="100" spans="1:22" ht="15.75" customHeight="1" x14ac:dyDescent="0.3">
      <c r="A100" s="120">
        <v>94</v>
      </c>
      <c r="B100" s="153" t="s">
        <v>849</v>
      </c>
      <c r="C100" s="44"/>
      <c r="D100" s="47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53"/>
      <c r="U100" s="20">
        <f t="shared" si="10"/>
        <v>0</v>
      </c>
    </row>
    <row r="101" spans="1:22" ht="15.75" customHeight="1" x14ac:dyDescent="0.3">
      <c r="A101" s="120">
        <v>95</v>
      </c>
      <c r="B101" s="153" t="s">
        <v>850</v>
      </c>
      <c r="C101" s="44"/>
      <c r="D101" s="47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53"/>
      <c r="U101" s="20">
        <f t="shared" si="10"/>
        <v>0</v>
      </c>
    </row>
    <row r="102" spans="1:22" ht="15.75" customHeight="1" x14ac:dyDescent="0.3">
      <c r="A102" s="120">
        <v>96</v>
      </c>
      <c r="B102" s="153" t="s">
        <v>851</v>
      </c>
      <c r="C102" s="44"/>
      <c r="D102" s="47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53"/>
      <c r="U102" s="20">
        <f t="shared" si="10"/>
        <v>0</v>
      </c>
    </row>
    <row r="103" spans="1:22" ht="15.75" customHeight="1" x14ac:dyDescent="0.3">
      <c r="A103" s="120">
        <v>97</v>
      </c>
      <c r="B103" s="153" t="s">
        <v>852</v>
      </c>
      <c r="C103" s="44"/>
      <c r="D103" s="47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53"/>
      <c r="U103" s="20">
        <f t="shared" si="10"/>
        <v>0</v>
      </c>
    </row>
    <row r="104" spans="1:22" ht="15.75" customHeight="1" x14ac:dyDescent="0.3">
      <c r="A104" s="120">
        <v>98</v>
      </c>
      <c r="B104" s="153" t="s">
        <v>853</v>
      </c>
      <c r="C104" s="44"/>
      <c r="D104" s="47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53"/>
      <c r="U104" s="20">
        <f t="shared" si="10"/>
        <v>0</v>
      </c>
    </row>
    <row r="105" spans="1:22" ht="15.75" customHeight="1" x14ac:dyDescent="0.3">
      <c r="A105" s="120">
        <v>99</v>
      </c>
      <c r="B105" s="153" t="s">
        <v>854</v>
      </c>
      <c r="C105" s="44"/>
      <c r="D105" s="47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53"/>
      <c r="U105" s="20">
        <f t="shared" si="10"/>
        <v>0</v>
      </c>
    </row>
    <row r="106" spans="1:22" ht="15.75" customHeight="1" x14ac:dyDescent="0.3">
      <c r="A106" s="120">
        <v>100</v>
      </c>
      <c r="B106" s="153" t="s">
        <v>855</v>
      </c>
      <c r="C106" s="44"/>
      <c r="D106" s="47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53"/>
      <c r="U106" s="20">
        <f t="shared" si="10"/>
        <v>0</v>
      </c>
    </row>
    <row r="107" spans="1:22" ht="15.75" customHeight="1" x14ac:dyDescent="0.3">
      <c r="A107" s="120">
        <v>101</v>
      </c>
      <c r="B107" s="153" t="s">
        <v>856</v>
      </c>
      <c r="C107" s="44"/>
      <c r="D107" s="47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53"/>
      <c r="U107" s="20">
        <f t="shared" si="10"/>
        <v>0</v>
      </c>
    </row>
    <row r="108" spans="1:22" ht="15.75" customHeight="1" x14ac:dyDescent="0.3">
      <c r="A108" s="120">
        <v>102</v>
      </c>
      <c r="B108" s="153" t="s">
        <v>857</v>
      </c>
      <c r="C108" s="44"/>
      <c r="D108" s="47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53"/>
      <c r="U108" s="20">
        <f t="shared" si="10"/>
        <v>0</v>
      </c>
    </row>
    <row r="109" spans="1:22" ht="15.75" customHeight="1" x14ac:dyDescent="0.3">
      <c r="A109" s="120">
        <v>103</v>
      </c>
      <c r="B109" s="153" t="s">
        <v>858</v>
      </c>
      <c r="C109" s="44"/>
      <c r="D109" s="47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53"/>
      <c r="U109" s="20">
        <f t="shared" si="10"/>
        <v>0</v>
      </c>
    </row>
    <row r="110" spans="1:22" ht="15.75" customHeight="1" x14ac:dyDescent="0.3">
      <c r="A110" s="120">
        <v>104</v>
      </c>
      <c r="B110" s="153" t="s">
        <v>859</v>
      </c>
      <c r="C110" s="44"/>
      <c r="D110" s="47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53"/>
      <c r="U110" s="20">
        <f t="shared" si="10"/>
        <v>0</v>
      </c>
    </row>
    <row r="111" spans="1:22" ht="15.75" customHeight="1" x14ac:dyDescent="0.3">
      <c r="A111" s="120">
        <v>105</v>
      </c>
      <c r="B111" s="153" t="s">
        <v>468</v>
      </c>
      <c r="C111" s="44" t="s">
        <v>470</v>
      </c>
      <c r="D111" s="47" t="s">
        <v>860</v>
      </c>
      <c r="E111" s="44"/>
      <c r="F111" s="44">
        <v>10</v>
      </c>
      <c r="G111" s="44">
        <v>10</v>
      </c>
      <c r="H111" s="44">
        <v>10</v>
      </c>
      <c r="I111" s="44">
        <v>10</v>
      </c>
      <c r="J111" s="44">
        <v>10</v>
      </c>
      <c r="K111" s="44">
        <v>10</v>
      </c>
      <c r="L111" s="44">
        <v>10</v>
      </c>
      <c r="M111" s="44">
        <v>10</v>
      </c>
      <c r="N111" s="44">
        <v>10</v>
      </c>
      <c r="O111" s="44">
        <v>10</v>
      </c>
      <c r="P111" s="44">
        <v>10</v>
      </c>
      <c r="Q111" s="44">
        <v>10</v>
      </c>
      <c r="R111" s="44">
        <f>SUM(F111:Q111)</f>
        <v>120</v>
      </c>
      <c r="S111" s="53"/>
      <c r="U111" s="20">
        <f t="shared" si="10"/>
        <v>120</v>
      </c>
      <c r="V111" s="20" t="s">
        <v>927</v>
      </c>
    </row>
    <row r="112" spans="1:22" ht="15.75" customHeight="1" x14ac:dyDescent="0.3">
      <c r="A112" s="120">
        <v>106</v>
      </c>
      <c r="B112" s="153" t="s">
        <v>861</v>
      </c>
      <c r="C112" s="44"/>
      <c r="D112" s="47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53"/>
      <c r="U112" s="20">
        <f t="shared" si="10"/>
        <v>0</v>
      </c>
    </row>
    <row r="113" spans="1:22" ht="15.75" customHeight="1" x14ac:dyDescent="0.3">
      <c r="A113" s="120">
        <v>107</v>
      </c>
      <c r="B113" s="153" t="s">
        <v>862</v>
      </c>
      <c r="C113" s="44"/>
      <c r="D113" s="47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53"/>
      <c r="U113" s="20">
        <f t="shared" si="10"/>
        <v>0</v>
      </c>
    </row>
    <row r="114" spans="1:22" ht="15.75" customHeight="1" x14ac:dyDescent="0.3">
      <c r="A114" s="120">
        <v>108</v>
      </c>
      <c r="B114" s="153" t="s">
        <v>863</v>
      </c>
      <c r="C114" s="44"/>
      <c r="D114" s="47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53"/>
      <c r="U114" s="20">
        <f t="shared" si="10"/>
        <v>0</v>
      </c>
    </row>
    <row r="115" spans="1:22" ht="15.75" customHeight="1" x14ac:dyDescent="0.3">
      <c r="A115" s="120">
        <v>109</v>
      </c>
      <c r="B115" s="153" t="s">
        <v>864</v>
      </c>
      <c r="C115" s="44"/>
      <c r="D115" s="47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53"/>
      <c r="U115" s="20">
        <f t="shared" si="10"/>
        <v>0</v>
      </c>
    </row>
    <row r="116" spans="1:22" ht="15.75" customHeight="1" x14ac:dyDescent="0.3">
      <c r="A116" s="120">
        <v>110</v>
      </c>
      <c r="B116" s="153" t="s">
        <v>865</v>
      </c>
      <c r="C116" s="44"/>
      <c r="D116" s="47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53"/>
      <c r="U116" s="20">
        <f t="shared" si="10"/>
        <v>0</v>
      </c>
    </row>
    <row r="117" spans="1:22" ht="15.75" customHeight="1" x14ac:dyDescent="0.3">
      <c r="A117" s="120">
        <v>111</v>
      </c>
      <c r="B117" s="153" t="s">
        <v>621</v>
      </c>
      <c r="C117" s="14" t="s">
        <v>623</v>
      </c>
      <c r="D117" s="47" t="s">
        <v>866</v>
      </c>
      <c r="E117" s="44"/>
      <c r="F117" s="44">
        <v>10</v>
      </c>
      <c r="G117" s="44">
        <v>10</v>
      </c>
      <c r="H117" s="44">
        <v>10</v>
      </c>
      <c r="I117" s="44">
        <v>10</v>
      </c>
      <c r="J117" s="44">
        <v>10</v>
      </c>
      <c r="K117" s="44">
        <v>10</v>
      </c>
      <c r="L117" s="44">
        <v>10</v>
      </c>
      <c r="M117" s="44">
        <v>10</v>
      </c>
      <c r="N117" s="44">
        <v>10</v>
      </c>
      <c r="O117" s="44">
        <v>10</v>
      </c>
      <c r="P117" s="44">
        <v>10</v>
      </c>
      <c r="Q117" s="44">
        <v>10</v>
      </c>
      <c r="R117" s="44">
        <f>SUM(F117:Q117)</f>
        <v>120</v>
      </c>
      <c r="S117" s="53"/>
      <c r="U117" s="20">
        <f t="shared" si="10"/>
        <v>120</v>
      </c>
      <c r="V117" s="20" t="s">
        <v>928</v>
      </c>
    </row>
    <row r="118" spans="1:22" ht="15.75" customHeight="1" x14ac:dyDescent="0.3">
      <c r="A118" s="120">
        <v>112</v>
      </c>
      <c r="B118" s="153" t="s">
        <v>208</v>
      </c>
      <c r="C118" s="44"/>
      <c r="D118" s="47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53"/>
      <c r="U118" s="20">
        <f t="shared" si="10"/>
        <v>0</v>
      </c>
    </row>
    <row r="119" spans="1:22" ht="15.75" customHeight="1" x14ac:dyDescent="0.3">
      <c r="A119" s="120">
        <v>113</v>
      </c>
      <c r="B119" s="153" t="s">
        <v>867</v>
      </c>
      <c r="C119" s="44"/>
      <c r="D119" s="47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53"/>
      <c r="U119" s="20">
        <f t="shared" si="10"/>
        <v>0</v>
      </c>
    </row>
    <row r="120" spans="1:22" ht="15.75" customHeight="1" x14ac:dyDescent="0.3">
      <c r="A120" s="120">
        <v>114</v>
      </c>
      <c r="B120" s="153" t="s">
        <v>868</v>
      </c>
      <c r="C120" s="44"/>
      <c r="D120" s="47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53"/>
      <c r="U120" s="20">
        <f t="shared" si="10"/>
        <v>0</v>
      </c>
    </row>
    <row r="121" spans="1:22" ht="15.75" customHeight="1" x14ac:dyDescent="0.3">
      <c r="A121" s="120">
        <v>115</v>
      </c>
      <c r="B121" s="153" t="s">
        <v>869</v>
      </c>
      <c r="C121" s="44"/>
      <c r="D121" s="47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53"/>
      <c r="U121" s="20">
        <f t="shared" si="10"/>
        <v>0</v>
      </c>
    </row>
    <row r="122" spans="1:22" ht="15.75" customHeight="1" x14ac:dyDescent="0.3">
      <c r="A122" s="120">
        <v>116</v>
      </c>
      <c r="B122" s="153" t="s">
        <v>870</v>
      </c>
      <c r="C122" s="44"/>
      <c r="D122" s="47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53"/>
      <c r="U122" s="20">
        <f t="shared" si="10"/>
        <v>0</v>
      </c>
    </row>
    <row r="123" spans="1:22" ht="15.75" customHeight="1" x14ac:dyDescent="0.3">
      <c r="A123" s="120">
        <v>117</v>
      </c>
      <c r="B123" s="153" t="s">
        <v>871</v>
      </c>
      <c r="C123" s="44"/>
      <c r="D123" s="47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53"/>
      <c r="U123" s="20">
        <f t="shared" si="10"/>
        <v>0</v>
      </c>
    </row>
    <row r="124" spans="1:22" ht="15.75" customHeight="1" x14ac:dyDescent="0.3">
      <c r="A124" s="120">
        <v>118</v>
      </c>
      <c r="B124" s="153" t="s">
        <v>872</v>
      </c>
      <c r="C124" s="44"/>
      <c r="D124" s="47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53"/>
      <c r="U124" s="20">
        <f t="shared" si="10"/>
        <v>0</v>
      </c>
    </row>
    <row r="125" spans="1:22" ht="15.75" customHeight="1" x14ac:dyDescent="0.3">
      <c r="A125" s="120">
        <v>119</v>
      </c>
      <c r="B125" s="153" t="s">
        <v>873</v>
      </c>
      <c r="C125" s="44"/>
      <c r="D125" s="47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53"/>
      <c r="U125" s="20">
        <f t="shared" si="10"/>
        <v>0</v>
      </c>
    </row>
    <row r="126" spans="1:22" ht="15.75" customHeight="1" x14ac:dyDescent="0.3">
      <c r="A126" s="120">
        <v>120</v>
      </c>
      <c r="B126" s="153" t="s">
        <v>246</v>
      </c>
      <c r="C126" s="44"/>
      <c r="D126" s="47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53"/>
      <c r="U126" s="20">
        <f t="shared" si="10"/>
        <v>0</v>
      </c>
    </row>
    <row r="127" spans="1:22" ht="15.75" customHeight="1" x14ac:dyDescent="0.3">
      <c r="A127" s="120">
        <v>121</v>
      </c>
      <c r="B127" s="153" t="s">
        <v>540</v>
      </c>
      <c r="C127" s="44" t="s">
        <v>874</v>
      </c>
      <c r="D127" s="47" t="s">
        <v>875</v>
      </c>
      <c r="E127" s="44"/>
      <c r="F127" s="44">
        <v>10</v>
      </c>
      <c r="G127" s="44">
        <v>10</v>
      </c>
      <c r="H127" s="44">
        <v>10</v>
      </c>
      <c r="I127" s="44">
        <v>10</v>
      </c>
      <c r="J127" s="44">
        <v>10</v>
      </c>
      <c r="K127" s="44">
        <v>10</v>
      </c>
      <c r="L127" s="44">
        <v>10</v>
      </c>
      <c r="M127" s="44">
        <v>10</v>
      </c>
      <c r="N127" s="44">
        <v>10</v>
      </c>
      <c r="O127" s="44">
        <v>10</v>
      </c>
      <c r="P127" s="44">
        <v>10</v>
      </c>
      <c r="Q127" s="44">
        <v>10</v>
      </c>
      <c r="R127" s="44">
        <f>SUM(F127:Q127)</f>
        <v>120</v>
      </c>
      <c r="S127" s="53"/>
      <c r="U127" s="20">
        <f t="shared" si="10"/>
        <v>120</v>
      </c>
      <c r="V127" s="20" t="s">
        <v>929</v>
      </c>
    </row>
    <row r="128" spans="1:22" ht="15.75" customHeight="1" x14ac:dyDescent="0.3">
      <c r="A128" s="120">
        <v>122</v>
      </c>
      <c r="B128" s="153" t="s">
        <v>876</v>
      </c>
      <c r="C128" s="44"/>
      <c r="D128" s="47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53"/>
      <c r="U128" s="20">
        <f t="shared" si="10"/>
        <v>0</v>
      </c>
    </row>
    <row r="129" spans="1:26" ht="15.75" customHeight="1" x14ac:dyDescent="0.3">
      <c r="A129" s="120">
        <v>123</v>
      </c>
      <c r="B129" s="153" t="s">
        <v>165</v>
      </c>
      <c r="C129" s="14" t="s">
        <v>167</v>
      </c>
      <c r="D129" s="47" t="s">
        <v>877</v>
      </c>
      <c r="E129" s="44"/>
      <c r="F129" s="44">
        <v>10</v>
      </c>
      <c r="G129" s="44">
        <v>10</v>
      </c>
      <c r="H129" s="44">
        <v>10</v>
      </c>
      <c r="I129" s="44">
        <v>10</v>
      </c>
      <c r="J129" s="44">
        <v>10</v>
      </c>
      <c r="K129" s="44">
        <v>10</v>
      </c>
      <c r="L129" s="44">
        <v>10</v>
      </c>
      <c r="M129" s="44">
        <v>10</v>
      </c>
      <c r="N129" s="44">
        <v>10</v>
      </c>
      <c r="O129" s="44">
        <v>10</v>
      </c>
      <c r="P129" s="44">
        <v>10</v>
      </c>
      <c r="Q129" s="44">
        <v>10</v>
      </c>
      <c r="R129" s="44">
        <f>SUM(F129:Q129)</f>
        <v>120</v>
      </c>
      <c r="S129" s="53"/>
      <c r="U129" s="20">
        <f t="shared" si="10"/>
        <v>120</v>
      </c>
    </row>
    <row r="130" spans="1:26" ht="15.75" customHeight="1" x14ac:dyDescent="0.3">
      <c r="A130" s="120">
        <v>124</v>
      </c>
      <c r="B130" s="153" t="s">
        <v>878</v>
      </c>
      <c r="C130" s="44"/>
      <c r="D130" s="47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53"/>
      <c r="U130" s="20">
        <f t="shared" si="10"/>
        <v>0</v>
      </c>
    </row>
    <row r="131" spans="1:26" ht="15.75" customHeight="1" x14ac:dyDescent="0.3">
      <c r="A131" s="120">
        <v>125</v>
      </c>
      <c r="B131" s="153" t="s">
        <v>476</v>
      </c>
      <c r="C131" s="14" t="s">
        <v>478</v>
      </c>
      <c r="D131" s="47" t="s">
        <v>879</v>
      </c>
      <c r="E131" s="44"/>
      <c r="F131" s="44">
        <v>10</v>
      </c>
      <c r="G131" s="44">
        <v>10</v>
      </c>
      <c r="H131" s="44">
        <v>10</v>
      </c>
      <c r="I131" s="44">
        <v>10</v>
      </c>
      <c r="J131" s="44">
        <v>10</v>
      </c>
      <c r="K131" s="44">
        <v>10</v>
      </c>
      <c r="L131" s="44">
        <v>10</v>
      </c>
      <c r="M131" s="44">
        <v>10</v>
      </c>
      <c r="N131" s="44">
        <v>10</v>
      </c>
      <c r="O131" s="44">
        <v>10</v>
      </c>
      <c r="P131" s="44">
        <v>10</v>
      </c>
      <c r="Q131" s="44">
        <v>10</v>
      </c>
      <c r="R131" s="44">
        <f>SUM(F131:Q131)</f>
        <v>120</v>
      </c>
      <c r="S131" s="53"/>
      <c r="U131" s="20">
        <f t="shared" si="10"/>
        <v>120</v>
      </c>
      <c r="V131" s="20" t="s">
        <v>962</v>
      </c>
    </row>
    <row r="132" spans="1:26" ht="15.75" customHeight="1" x14ac:dyDescent="0.3">
      <c r="A132" s="120"/>
      <c r="B132" s="153" t="s">
        <v>387</v>
      </c>
      <c r="C132" s="14" t="s">
        <v>880</v>
      </c>
      <c r="D132" s="47" t="s">
        <v>881</v>
      </c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53"/>
      <c r="U132" s="20">
        <f t="shared" si="10"/>
        <v>0</v>
      </c>
    </row>
    <row r="133" spans="1:26" ht="15.75" customHeight="1" x14ac:dyDescent="0.3">
      <c r="A133" s="120"/>
      <c r="B133" s="153" t="s">
        <v>662</v>
      </c>
      <c r="C133" s="14" t="s">
        <v>665</v>
      </c>
      <c r="D133" s="47" t="s">
        <v>882</v>
      </c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53"/>
      <c r="U133" s="20">
        <f t="shared" si="10"/>
        <v>0</v>
      </c>
      <c r="W133" s="20" t="s">
        <v>15</v>
      </c>
    </row>
    <row r="134" spans="1:26" ht="15.75" customHeight="1" x14ac:dyDescent="0.3">
      <c r="A134" s="120"/>
      <c r="B134" s="153" t="s">
        <v>496</v>
      </c>
      <c r="C134" s="14" t="s">
        <v>883</v>
      </c>
      <c r="D134" s="47" t="s">
        <v>884</v>
      </c>
      <c r="E134" s="44"/>
      <c r="F134" s="44">
        <v>10</v>
      </c>
      <c r="G134" s="44">
        <v>10</v>
      </c>
      <c r="H134" s="44">
        <v>10</v>
      </c>
      <c r="I134" s="44">
        <v>10</v>
      </c>
      <c r="J134" s="44">
        <v>10</v>
      </c>
      <c r="K134" s="44">
        <v>10</v>
      </c>
      <c r="L134" s="44">
        <v>10</v>
      </c>
      <c r="M134" s="44">
        <v>10</v>
      </c>
      <c r="N134" s="44">
        <v>10</v>
      </c>
      <c r="O134" s="44">
        <v>10</v>
      </c>
      <c r="P134" s="44">
        <v>10</v>
      </c>
      <c r="Q134" s="44">
        <v>10</v>
      </c>
      <c r="R134" s="44">
        <f>SUM(F134:Q134)</f>
        <v>120</v>
      </c>
      <c r="S134" s="53"/>
      <c r="U134" s="20">
        <f t="shared" si="10"/>
        <v>120</v>
      </c>
      <c r="V134" s="20" t="s">
        <v>907</v>
      </c>
    </row>
    <row r="135" spans="1:26" ht="15.75" customHeight="1" x14ac:dyDescent="0.3">
      <c r="A135" s="120"/>
      <c r="B135" s="153" t="s">
        <v>13</v>
      </c>
      <c r="C135" s="44" t="s">
        <v>886</v>
      </c>
      <c r="D135" s="47" t="s">
        <v>887</v>
      </c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53"/>
      <c r="U135" s="20">
        <f t="shared" si="10"/>
        <v>0</v>
      </c>
    </row>
    <row r="136" spans="1:26" ht="15.75" customHeight="1" x14ac:dyDescent="0.3">
      <c r="A136" s="120"/>
      <c r="B136" s="153" t="s">
        <v>93</v>
      </c>
      <c r="C136" s="44" t="s">
        <v>95</v>
      </c>
      <c r="D136" s="47"/>
      <c r="E136" s="44"/>
      <c r="F136" s="44">
        <v>10</v>
      </c>
      <c r="G136" s="44">
        <v>10</v>
      </c>
      <c r="H136" s="44">
        <v>10</v>
      </c>
      <c r="I136" s="44">
        <v>10</v>
      </c>
      <c r="J136" s="44">
        <v>10</v>
      </c>
      <c r="K136" s="44">
        <v>10</v>
      </c>
      <c r="L136" s="44">
        <v>10</v>
      </c>
      <c r="M136" s="44">
        <v>10</v>
      </c>
      <c r="N136" s="44">
        <v>10</v>
      </c>
      <c r="O136" s="44">
        <v>10</v>
      </c>
      <c r="P136" s="44">
        <v>10</v>
      </c>
      <c r="Q136" s="44">
        <v>10</v>
      </c>
      <c r="R136" s="44">
        <f>SUM(F136:Q136)</f>
        <v>120</v>
      </c>
      <c r="S136" s="53"/>
      <c r="U136" s="20">
        <f t="shared" si="10"/>
        <v>120</v>
      </c>
      <c r="V136" s="20" t="s">
        <v>932</v>
      </c>
    </row>
    <row r="137" spans="1:26" ht="15.75" customHeight="1" x14ac:dyDescent="0.3">
      <c r="A137" s="120"/>
      <c r="B137" s="153" t="s">
        <v>409</v>
      </c>
      <c r="C137" s="3" t="s">
        <v>412</v>
      </c>
      <c r="D137" s="47" t="s">
        <v>888</v>
      </c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53"/>
      <c r="U137" s="20">
        <f t="shared" si="10"/>
        <v>0</v>
      </c>
    </row>
    <row r="138" spans="1:26" ht="15.75" customHeight="1" x14ac:dyDescent="0.3">
      <c r="A138" s="120"/>
      <c r="B138" s="153" t="s">
        <v>602</v>
      </c>
      <c r="C138" s="3" t="s">
        <v>933</v>
      </c>
      <c r="D138" s="47" t="s">
        <v>736</v>
      </c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53"/>
      <c r="T138" s="53">
        <f>R138+E138</f>
        <v>0</v>
      </c>
      <c r="U138" s="53">
        <f t="shared" si="10"/>
        <v>0</v>
      </c>
      <c r="V138" s="53"/>
      <c r="W138" s="53"/>
      <c r="X138" s="53"/>
      <c r="Y138" s="53"/>
      <c r="Z138" s="53"/>
    </row>
    <row r="139" spans="1:26" ht="15.75" customHeight="1" x14ac:dyDescent="0.3">
      <c r="A139" s="120"/>
      <c r="B139" s="153" t="s">
        <v>890</v>
      </c>
      <c r="C139" s="3" t="s">
        <v>891</v>
      </c>
      <c r="D139" s="47" t="s">
        <v>892</v>
      </c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53"/>
      <c r="T139" s="53"/>
      <c r="U139" s="53">
        <f t="shared" si="10"/>
        <v>0</v>
      </c>
      <c r="V139" s="53"/>
      <c r="W139" s="53"/>
      <c r="X139" s="53"/>
      <c r="Y139" s="53"/>
      <c r="Z139" s="53"/>
    </row>
    <row r="140" spans="1:26" ht="15.75" customHeight="1" x14ac:dyDescent="0.3">
      <c r="A140" s="120"/>
      <c r="B140" s="153" t="s">
        <v>893</v>
      </c>
      <c r="C140" s="3" t="s">
        <v>894</v>
      </c>
      <c r="D140" s="47" t="s">
        <v>895</v>
      </c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 x14ac:dyDescent="0.3">
      <c r="A141" s="120"/>
      <c r="B141" s="153"/>
      <c r="C141" s="14"/>
      <c r="D141" s="47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53"/>
    </row>
    <row r="142" spans="1:26" ht="15.75" customHeight="1" x14ac:dyDescent="0.3">
      <c r="A142" s="149"/>
      <c r="B142" s="152"/>
      <c r="C142" s="62"/>
      <c r="D142" s="39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</row>
    <row r="143" spans="1:26" ht="15.75" customHeight="1" x14ac:dyDescent="0.3">
      <c r="B143" s="152"/>
      <c r="D143" s="39" t="s">
        <v>896</v>
      </c>
      <c r="E143" s="20">
        <f t="shared" ref="E143:U143" si="14">SUM(E7:E141)</f>
        <v>40</v>
      </c>
      <c r="F143" s="20">
        <f t="shared" si="14"/>
        <v>490</v>
      </c>
      <c r="G143" s="20">
        <f t="shared" si="14"/>
        <v>490</v>
      </c>
      <c r="H143" s="20">
        <f t="shared" si="14"/>
        <v>490</v>
      </c>
      <c r="I143" s="20">
        <f t="shared" si="14"/>
        <v>480</v>
      </c>
      <c r="J143" s="20">
        <f t="shared" si="14"/>
        <v>480</v>
      </c>
      <c r="K143" s="20">
        <f t="shared" si="14"/>
        <v>480</v>
      </c>
      <c r="L143" s="20">
        <f t="shared" si="14"/>
        <v>480</v>
      </c>
      <c r="M143" s="20">
        <f t="shared" si="14"/>
        <v>480</v>
      </c>
      <c r="N143" s="20">
        <f t="shared" si="14"/>
        <v>480</v>
      </c>
      <c r="O143" s="20">
        <f t="shared" si="14"/>
        <v>480</v>
      </c>
      <c r="P143" s="20">
        <f t="shared" si="14"/>
        <v>480</v>
      </c>
      <c r="Q143" s="20">
        <f t="shared" si="14"/>
        <v>490</v>
      </c>
      <c r="R143" s="20">
        <f t="shared" si="14"/>
        <v>5800</v>
      </c>
      <c r="S143" s="20">
        <f t="shared" si="14"/>
        <v>0</v>
      </c>
      <c r="T143" s="20">
        <f t="shared" si="14"/>
        <v>360</v>
      </c>
      <c r="U143" s="20">
        <f t="shared" si="14"/>
        <v>4940</v>
      </c>
    </row>
    <row r="144" spans="1:26" ht="15.75" customHeight="1" x14ac:dyDescent="0.3">
      <c r="B144" s="152"/>
      <c r="D144" s="39"/>
      <c r="E144" s="20">
        <f>E143/20</f>
        <v>2</v>
      </c>
    </row>
    <row r="145" spans="2:19" ht="15.75" customHeight="1" x14ac:dyDescent="0.3">
      <c r="B145" s="152"/>
      <c r="D145" s="39"/>
    </row>
    <row r="146" spans="2:19" ht="15.75" customHeight="1" x14ac:dyDescent="0.3">
      <c r="B146" s="152"/>
      <c r="D146" s="39"/>
      <c r="S146" s="20">
        <f>S143-110</f>
        <v>-110</v>
      </c>
    </row>
    <row r="147" spans="2:19" ht="15.75" customHeight="1" x14ac:dyDescent="0.3">
      <c r="B147" s="152"/>
      <c r="D147" s="39"/>
      <c r="S147" s="20">
        <f>S146/120</f>
        <v>-0.91666666666666663</v>
      </c>
    </row>
    <row r="148" spans="2:19" ht="15.75" customHeight="1" x14ac:dyDescent="0.3">
      <c r="B148" s="152"/>
      <c r="D148" s="39"/>
    </row>
    <row r="149" spans="2:19" ht="15.75" customHeight="1" x14ac:dyDescent="0.3">
      <c r="B149" s="152"/>
      <c r="D149" s="39"/>
    </row>
    <row r="150" spans="2:19" ht="15.75" customHeight="1" x14ac:dyDescent="0.3">
      <c r="B150" s="152"/>
      <c r="D150" s="39"/>
    </row>
    <row r="151" spans="2:19" ht="15.75" customHeight="1" x14ac:dyDescent="0.3">
      <c r="B151" s="152"/>
      <c r="D151" s="39"/>
    </row>
    <row r="152" spans="2:19" ht="15.75" customHeight="1" x14ac:dyDescent="0.3">
      <c r="B152" s="152"/>
      <c r="D152" s="39"/>
    </row>
    <row r="153" spans="2:19" ht="15.75" customHeight="1" x14ac:dyDescent="0.3">
      <c r="B153" s="152"/>
      <c r="D153" s="39"/>
    </row>
    <row r="154" spans="2:19" ht="15.75" customHeight="1" x14ac:dyDescent="0.3">
      <c r="B154" s="152"/>
      <c r="D154" s="39"/>
    </row>
    <row r="155" spans="2:19" ht="15.75" customHeight="1" x14ac:dyDescent="0.3">
      <c r="B155" s="152"/>
      <c r="D155" s="39"/>
    </row>
    <row r="156" spans="2:19" ht="15.75" customHeight="1" x14ac:dyDescent="0.3">
      <c r="B156" s="152"/>
      <c r="D156" s="39"/>
    </row>
    <row r="157" spans="2:19" ht="15.75" customHeight="1" x14ac:dyDescent="0.3">
      <c r="B157" s="152"/>
      <c r="D157" s="39"/>
    </row>
    <row r="158" spans="2:19" ht="15.75" customHeight="1" x14ac:dyDescent="0.3">
      <c r="B158" s="152"/>
      <c r="D158" s="39"/>
    </row>
    <row r="159" spans="2:19" ht="15.75" customHeight="1" x14ac:dyDescent="0.3">
      <c r="B159" s="152"/>
      <c r="D159" s="39"/>
    </row>
    <row r="160" spans="2:19" ht="15.75" customHeight="1" x14ac:dyDescent="0.3">
      <c r="B160" s="152"/>
      <c r="D160" s="39"/>
    </row>
    <row r="161" spans="2:4" ht="15.75" customHeight="1" x14ac:dyDescent="0.3">
      <c r="B161" s="152"/>
      <c r="D161" s="39"/>
    </row>
    <row r="162" spans="2:4" ht="15.75" customHeight="1" x14ac:dyDescent="0.3">
      <c r="B162" s="152"/>
      <c r="D162" s="39"/>
    </row>
    <row r="163" spans="2:4" ht="15.75" customHeight="1" x14ac:dyDescent="0.3">
      <c r="B163" s="152"/>
      <c r="D163" s="39"/>
    </row>
    <row r="164" spans="2:4" ht="15.75" customHeight="1" x14ac:dyDescent="0.3">
      <c r="B164" s="152"/>
      <c r="D164" s="39"/>
    </row>
    <row r="165" spans="2:4" ht="15.75" customHeight="1" x14ac:dyDescent="0.3">
      <c r="B165" s="152"/>
      <c r="D165" s="39"/>
    </row>
    <row r="166" spans="2:4" ht="15.75" customHeight="1" x14ac:dyDescent="0.3">
      <c r="B166" s="152"/>
      <c r="D166" s="39"/>
    </row>
    <row r="167" spans="2:4" ht="15.75" customHeight="1" x14ac:dyDescent="0.3">
      <c r="B167" s="152"/>
      <c r="D167" s="39"/>
    </row>
    <row r="168" spans="2:4" ht="15.75" customHeight="1" x14ac:dyDescent="0.3">
      <c r="B168" s="152"/>
      <c r="D168" s="39"/>
    </row>
    <row r="169" spans="2:4" ht="15.75" customHeight="1" x14ac:dyDescent="0.3">
      <c r="B169" s="152"/>
      <c r="D169" s="39"/>
    </row>
    <row r="170" spans="2:4" ht="15.75" customHeight="1" x14ac:dyDescent="0.3">
      <c r="B170" s="152"/>
      <c r="D170" s="39"/>
    </row>
    <row r="171" spans="2:4" ht="15.75" customHeight="1" x14ac:dyDescent="0.3">
      <c r="B171" s="152"/>
      <c r="D171" s="39"/>
    </row>
    <row r="172" spans="2:4" ht="15.75" customHeight="1" x14ac:dyDescent="0.3">
      <c r="B172" s="152"/>
      <c r="D172" s="39"/>
    </row>
    <row r="173" spans="2:4" ht="15.75" customHeight="1" x14ac:dyDescent="0.3">
      <c r="B173" s="152"/>
      <c r="D173" s="39"/>
    </row>
    <row r="174" spans="2:4" ht="15.75" customHeight="1" x14ac:dyDescent="0.3">
      <c r="B174" s="152"/>
      <c r="D174" s="39"/>
    </row>
    <row r="175" spans="2:4" ht="15.75" customHeight="1" x14ac:dyDescent="0.3">
      <c r="B175" s="152"/>
      <c r="D175" s="39"/>
    </row>
    <row r="176" spans="2:4" ht="15.75" customHeight="1" x14ac:dyDescent="0.3">
      <c r="B176" s="152"/>
      <c r="D176" s="39"/>
    </row>
    <row r="177" spans="2:4" ht="15.75" customHeight="1" x14ac:dyDescent="0.3">
      <c r="B177" s="152"/>
      <c r="D177" s="39"/>
    </row>
    <row r="178" spans="2:4" ht="15.75" customHeight="1" x14ac:dyDescent="0.3">
      <c r="B178" s="152"/>
      <c r="D178" s="39"/>
    </row>
    <row r="179" spans="2:4" ht="15.75" customHeight="1" x14ac:dyDescent="0.3">
      <c r="B179" s="152"/>
      <c r="D179" s="39"/>
    </row>
    <row r="180" spans="2:4" ht="15.75" customHeight="1" x14ac:dyDescent="0.3">
      <c r="B180" s="152"/>
      <c r="D180" s="39"/>
    </row>
    <row r="181" spans="2:4" ht="15.75" customHeight="1" x14ac:dyDescent="0.3">
      <c r="B181" s="152"/>
      <c r="D181" s="39"/>
    </row>
    <row r="182" spans="2:4" ht="15.75" customHeight="1" x14ac:dyDescent="0.3">
      <c r="B182" s="152"/>
      <c r="D182" s="39"/>
    </row>
    <row r="183" spans="2:4" ht="15.75" customHeight="1" x14ac:dyDescent="0.3">
      <c r="B183" s="152"/>
      <c r="D183" s="39"/>
    </row>
    <row r="184" spans="2:4" ht="15.75" customHeight="1" x14ac:dyDescent="0.3">
      <c r="B184" s="152"/>
      <c r="D184" s="39"/>
    </row>
    <row r="185" spans="2:4" ht="15.75" customHeight="1" x14ac:dyDescent="0.3">
      <c r="B185" s="152"/>
      <c r="D185" s="39"/>
    </row>
    <row r="186" spans="2:4" ht="15.75" customHeight="1" x14ac:dyDescent="0.3">
      <c r="B186" s="152"/>
      <c r="D186" s="39"/>
    </row>
    <row r="187" spans="2:4" ht="15.75" customHeight="1" x14ac:dyDescent="0.3">
      <c r="B187" s="152"/>
      <c r="D187" s="39"/>
    </row>
    <row r="188" spans="2:4" ht="15.75" customHeight="1" x14ac:dyDescent="0.3">
      <c r="B188" s="152"/>
      <c r="D188" s="39"/>
    </row>
    <row r="189" spans="2:4" ht="15.75" customHeight="1" x14ac:dyDescent="0.3">
      <c r="B189" s="152"/>
      <c r="D189" s="39"/>
    </row>
    <row r="190" spans="2:4" ht="15.75" customHeight="1" x14ac:dyDescent="0.3">
      <c r="B190" s="152"/>
      <c r="D190" s="39"/>
    </row>
    <row r="191" spans="2:4" ht="15.75" customHeight="1" x14ac:dyDescent="0.3">
      <c r="B191" s="152"/>
      <c r="D191" s="39"/>
    </row>
    <row r="192" spans="2:4" ht="15.75" customHeight="1" x14ac:dyDescent="0.3">
      <c r="B192" s="152"/>
      <c r="D192" s="39"/>
    </row>
    <row r="193" spans="2:4" ht="15.75" customHeight="1" x14ac:dyDescent="0.3">
      <c r="B193" s="152"/>
      <c r="D193" s="39"/>
    </row>
    <row r="194" spans="2:4" ht="15.75" customHeight="1" x14ac:dyDescent="0.3">
      <c r="B194" s="152"/>
      <c r="D194" s="39"/>
    </row>
    <row r="195" spans="2:4" ht="15.75" customHeight="1" x14ac:dyDescent="0.3">
      <c r="B195" s="152"/>
      <c r="D195" s="39"/>
    </row>
    <row r="196" spans="2:4" ht="15.75" customHeight="1" x14ac:dyDescent="0.3">
      <c r="B196" s="152"/>
      <c r="D196" s="39"/>
    </row>
    <row r="197" spans="2:4" ht="15.75" customHeight="1" x14ac:dyDescent="0.3">
      <c r="B197" s="152"/>
      <c r="D197" s="39"/>
    </row>
    <row r="198" spans="2:4" ht="15.75" customHeight="1" x14ac:dyDescent="0.3">
      <c r="B198" s="152"/>
      <c r="D198" s="39"/>
    </row>
    <row r="199" spans="2:4" ht="15.75" customHeight="1" x14ac:dyDescent="0.3">
      <c r="B199" s="152"/>
      <c r="D199" s="39"/>
    </row>
    <row r="200" spans="2:4" ht="15.75" customHeight="1" x14ac:dyDescent="0.3">
      <c r="B200" s="152"/>
      <c r="D200" s="39"/>
    </row>
    <row r="201" spans="2:4" ht="15.75" customHeight="1" x14ac:dyDescent="0.3">
      <c r="B201" s="152"/>
      <c r="D201" s="39"/>
    </row>
    <row r="202" spans="2:4" ht="15.75" customHeight="1" x14ac:dyDescent="0.3">
      <c r="B202" s="152"/>
      <c r="D202" s="39"/>
    </row>
    <row r="203" spans="2:4" ht="15.75" customHeight="1" x14ac:dyDescent="0.3">
      <c r="B203" s="152"/>
      <c r="D203" s="39"/>
    </row>
    <row r="204" spans="2:4" ht="15.75" customHeight="1" x14ac:dyDescent="0.3">
      <c r="B204" s="152"/>
      <c r="D204" s="39"/>
    </row>
    <row r="205" spans="2:4" ht="15.75" customHeight="1" x14ac:dyDescent="0.3">
      <c r="B205" s="152"/>
      <c r="D205" s="39"/>
    </row>
    <row r="206" spans="2:4" ht="15.75" customHeight="1" x14ac:dyDescent="0.3">
      <c r="B206" s="152"/>
      <c r="D206" s="39"/>
    </row>
    <row r="207" spans="2:4" ht="15.75" customHeight="1" x14ac:dyDescent="0.3">
      <c r="B207" s="152"/>
      <c r="D207" s="39"/>
    </row>
    <row r="208" spans="2:4" ht="15.75" customHeight="1" x14ac:dyDescent="0.3">
      <c r="B208" s="152"/>
      <c r="D208" s="39"/>
    </row>
    <row r="209" spans="2:4" ht="15.75" customHeight="1" x14ac:dyDescent="0.3">
      <c r="B209" s="152"/>
      <c r="D209" s="39"/>
    </row>
    <row r="210" spans="2:4" ht="15.75" customHeight="1" x14ac:dyDescent="0.3">
      <c r="B210" s="152"/>
      <c r="D210" s="39"/>
    </row>
    <row r="211" spans="2:4" ht="15.75" customHeight="1" x14ac:dyDescent="0.3">
      <c r="B211" s="152"/>
      <c r="D211" s="39"/>
    </row>
    <row r="212" spans="2:4" ht="15.75" customHeight="1" x14ac:dyDescent="0.3">
      <c r="B212" s="152"/>
      <c r="D212" s="39"/>
    </row>
    <row r="213" spans="2:4" ht="15.75" customHeight="1" x14ac:dyDescent="0.3">
      <c r="B213" s="152"/>
      <c r="D213" s="39"/>
    </row>
    <row r="214" spans="2:4" ht="15.75" customHeight="1" x14ac:dyDescent="0.3">
      <c r="B214" s="152"/>
      <c r="D214" s="39"/>
    </row>
    <row r="215" spans="2:4" ht="15.75" customHeight="1" x14ac:dyDescent="0.3">
      <c r="B215" s="152"/>
      <c r="D215" s="39"/>
    </row>
    <row r="216" spans="2:4" ht="15.75" customHeight="1" x14ac:dyDescent="0.3">
      <c r="B216" s="152"/>
      <c r="D216" s="39"/>
    </row>
    <row r="217" spans="2:4" ht="15.75" customHeight="1" x14ac:dyDescent="0.3">
      <c r="B217" s="152"/>
      <c r="D217" s="39"/>
    </row>
    <row r="218" spans="2:4" ht="15.75" customHeight="1" x14ac:dyDescent="0.3">
      <c r="B218" s="152"/>
      <c r="D218" s="39"/>
    </row>
    <row r="219" spans="2:4" ht="15.75" customHeight="1" x14ac:dyDescent="0.3">
      <c r="B219" s="152"/>
      <c r="D219" s="39"/>
    </row>
    <row r="220" spans="2:4" ht="15.75" customHeight="1" x14ac:dyDescent="0.3">
      <c r="B220" s="152"/>
      <c r="D220" s="39"/>
    </row>
    <row r="221" spans="2:4" ht="15.75" customHeight="1" x14ac:dyDescent="0.3">
      <c r="B221" s="152"/>
      <c r="D221" s="39"/>
    </row>
    <row r="222" spans="2:4" ht="15.75" customHeight="1" x14ac:dyDescent="0.3">
      <c r="B222" s="152"/>
      <c r="D222" s="39"/>
    </row>
    <row r="223" spans="2:4" ht="15.75" customHeight="1" x14ac:dyDescent="0.3">
      <c r="B223" s="152"/>
      <c r="D223" s="39"/>
    </row>
    <row r="224" spans="2:4" ht="15.75" customHeight="1" x14ac:dyDescent="0.3">
      <c r="B224" s="152"/>
      <c r="D224" s="39"/>
    </row>
    <row r="225" spans="2:4" ht="15.75" customHeight="1" x14ac:dyDescent="0.3">
      <c r="B225" s="152"/>
      <c r="D225" s="39"/>
    </row>
    <row r="226" spans="2:4" ht="15.75" customHeight="1" x14ac:dyDescent="0.3">
      <c r="B226" s="152"/>
      <c r="D226" s="39"/>
    </row>
    <row r="227" spans="2:4" ht="15.75" customHeight="1" x14ac:dyDescent="0.3">
      <c r="B227" s="152"/>
      <c r="D227" s="39"/>
    </row>
    <row r="228" spans="2:4" ht="15.75" customHeight="1" x14ac:dyDescent="0.3">
      <c r="B228" s="152"/>
      <c r="D228" s="39"/>
    </row>
    <row r="229" spans="2:4" ht="15.75" customHeight="1" x14ac:dyDescent="0.3">
      <c r="B229" s="152"/>
      <c r="D229" s="39"/>
    </row>
    <row r="230" spans="2:4" ht="15.75" customHeight="1" x14ac:dyDescent="0.3">
      <c r="B230" s="152"/>
      <c r="D230" s="39"/>
    </row>
    <row r="231" spans="2:4" ht="15.75" customHeight="1" x14ac:dyDescent="0.3">
      <c r="B231" s="152"/>
      <c r="D231" s="39"/>
    </row>
    <row r="232" spans="2:4" ht="15.75" customHeight="1" x14ac:dyDescent="0.3">
      <c r="B232" s="152"/>
      <c r="D232" s="39"/>
    </row>
    <row r="233" spans="2:4" ht="15.75" customHeight="1" x14ac:dyDescent="0.3">
      <c r="B233" s="152"/>
      <c r="D233" s="39"/>
    </row>
    <row r="234" spans="2:4" ht="15.75" customHeight="1" x14ac:dyDescent="0.3">
      <c r="B234" s="152"/>
      <c r="D234" s="39"/>
    </row>
    <row r="235" spans="2:4" ht="15.75" customHeight="1" x14ac:dyDescent="0.3">
      <c r="B235" s="152"/>
      <c r="D235" s="39"/>
    </row>
    <row r="236" spans="2:4" ht="15.75" customHeight="1" x14ac:dyDescent="0.3">
      <c r="B236" s="152"/>
      <c r="D236" s="39"/>
    </row>
    <row r="237" spans="2:4" ht="15.75" customHeight="1" x14ac:dyDescent="0.3">
      <c r="B237" s="152"/>
      <c r="D237" s="39"/>
    </row>
    <row r="238" spans="2:4" ht="15.75" customHeight="1" x14ac:dyDescent="0.3">
      <c r="B238" s="152"/>
      <c r="D238" s="39"/>
    </row>
    <row r="239" spans="2:4" ht="15.75" customHeight="1" x14ac:dyDescent="0.3">
      <c r="B239" s="152"/>
      <c r="D239" s="39"/>
    </row>
    <row r="240" spans="2:4" ht="15.75" customHeight="1" x14ac:dyDescent="0.3">
      <c r="B240" s="152"/>
      <c r="D240" s="39"/>
    </row>
    <row r="241" spans="2:4" ht="15.75" customHeight="1" x14ac:dyDescent="0.3">
      <c r="B241" s="152"/>
      <c r="D241" s="39"/>
    </row>
    <row r="242" spans="2:4" ht="15.75" customHeight="1" x14ac:dyDescent="0.3">
      <c r="B242" s="152"/>
      <c r="D242" s="39"/>
    </row>
    <row r="243" spans="2:4" ht="15.75" customHeight="1" x14ac:dyDescent="0.3">
      <c r="B243" s="152"/>
      <c r="D243" s="39"/>
    </row>
    <row r="244" spans="2:4" ht="15.75" customHeight="1" x14ac:dyDescent="0.3">
      <c r="B244" s="152"/>
      <c r="D244" s="39"/>
    </row>
    <row r="245" spans="2:4" ht="15.75" customHeight="1" x14ac:dyDescent="0.3">
      <c r="B245" s="152"/>
      <c r="D245" s="39"/>
    </row>
    <row r="246" spans="2:4" ht="15.75" customHeight="1" x14ac:dyDescent="0.3">
      <c r="B246" s="152"/>
      <c r="D246" s="39"/>
    </row>
    <row r="247" spans="2:4" ht="15.75" customHeight="1" x14ac:dyDescent="0.3">
      <c r="B247" s="152"/>
      <c r="D247" s="39"/>
    </row>
    <row r="248" spans="2:4" ht="15.75" customHeight="1" x14ac:dyDescent="0.3">
      <c r="B248" s="152"/>
      <c r="D248" s="39"/>
    </row>
    <row r="249" spans="2:4" ht="15.75" customHeight="1" x14ac:dyDescent="0.3">
      <c r="B249" s="152"/>
      <c r="D249" s="39"/>
    </row>
    <row r="250" spans="2:4" ht="15.75" customHeight="1" x14ac:dyDescent="0.3">
      <c r="B250" s="152"/>
      <c r="D250" s="39"/>
    </row>
    <row r="251" spans="2:4" ht="15.75" customHeight="1" x14ac:dyDescent="0.3">
      <c r="B251" s="152"/>
      <c r="D251" s="39"/>
    </row>
    <row r="252" spans="2:4" ht="15.75" customHeight="1" x14ac:dyDescent="0.3">
      <c r="B252" s="152"/>
      <c r="D252" s="39"/>
    </row>
    <row r="253" spans="2:4" ht="15.75" customHeight="1" x14ac:dyDescent="0.3">
      <c r="B253" s="152"/>
      <c r="D253" s="39"/>
    </row>
    <row r="254" spans="2:4" ht="15.75" customHeight="1" x14ac:dyDescent="0.3">
      <c r="B254" s="152"/>
      <c r="D254" s="39"/>
    </row>
    <row r="255" spans="2:4" ht="15.75" customHeight="1" x14ac:dyDescent="0.3">
      <c r="B255" s="152"/>
      <c r="D255" s="39"/>
    </row>
    <row r="256" spans="2:4" ht="15.75" customHeight="1" x14ac:dyDescent="0.3">
      <c r="B256" s="152"/>
      <c r="D256" s="39"/>
    </row>
    <row r="257" spans="2:4" ht="15.75" customHeight="1" x14ac:dyDescent="0.3">
      <c r="B257" s="152"/>
      <c r="D257" s="39"/>
    </row>
    <row r="258" spans="2:4" ht="15.75" customHeight="1" x14ac:dyDescent="0.3">
      <c r="B258" s="152"/>
      <c r="D258" s="39"/>
    </row>
    <row r="259" spans="2:4" ht="15.75" customHeight="1" x14ac:dyDescent="0.3">
      <c r="B259" s="152"/>
      <c r="D259" s="39"/>
    </row>
    <row r="260" spans="2:4" ht="15.75" customHeight="1" x14ac:dyDescent="0.3">
      <c r="B260" s="152"/>
      <c r="D260" s="39"/>
    </row>
    <row r="261" spans="2:4" ht="15.75" customHeight="1" x14ac:dyDescent="0.3">
      <c r="B261" s="152"/>
      <c r="D261" s="39"/>
    </row>
    <row r="262" spans="2:4" ht="15.75" customHeight="1" x14ac:dyDescent="0.3">
      <c r="B262" s="152"/>
      <c r="D262" s="39"/>
    </row>
    <row r="263" spans="2:4" ht="15.75" customHeight="1" x14ac:dyDescent="0.3">
      <c r="B263" s="152"/>
      <c r="D263" s="39"/>
    </row>
    <row r="264" spans="2:4" ht="15.75" customHeight="1" x14ac:dyDescent="0.3">
      <c r="B264" s="152"/>
      <c r="D264" s="39"/>
    </row>
    <row r="265" spans="2:4" ht="15.75" customHeight="1" x14ac:dyDescent="0.3">
      <c r="B265" s="152"/>
      <c r="D265" s="39"/>
    </row>
    <row r="266" spans="2:4" ht="15.75" customHeight="1" x14ac:dyDescent="0.3">
      <c r="B266" s="152"/>
      <c r="D266" s="39"/>
    </row>
    <row r="267" spans="2:4" ht="15.75" customHeight="1" x14ac:dyDescent="0.3">
      <c r="B267" s="152"/>
      <c r="D267" s="39"/>
    </row>
    <row r="268" spans="2:4" ht="15.75" customHeight="1" x14ac:dyDescent="0.3">
      <c r="B268" s="152"/>
      <c r="D268" s="39"/>
    </row>
    <row r="269" spans="2:4" ht="15.75" customHeight="1" x14ac:dyDescent="0.3">
      <c r="B269" s="152"/>
      <c r="D269" s="39"/>
    </row>
    <row r="270" spans="2:4" ht="15.75" customHeight="1" x14ac:dyDescent="0.3">
      <c r="B270" s="152"/>
      <c r="D270" s="39"/>
    </row>
    <row r="271" spans="2:4" ht="15.75" customHeight="1" x14ac:dyDescent="0.3">
      <c r="B271" s="152"/>
      <c r="D271" s="39"/>
    </row>
    <row r="272" spans="2:4" ht="15.75" customHeight="1" x14ac:dyDescent="0.3">
      <c r="B272" s="152"/>
      <c r="D272" s="39"/>
    </row>
    <row r="273" spans="2:4" ht="15.75" customHeight="1" x14ac:dyDescent="0.3">
      <c r="B273" s="152"/>
      <c r="D273" s="39"/>
    </row>
    <row r="274" spans="2:4" ht="15.75" customHeight="1" x14ac:dyDescent="0.3">
      <c r="B274" s="152"/>
      <c r="D274" s="39"/>
    </row>
    <row r="275" spans="2:4" ht="15.75" customHeight="1" x14ac:dyDescent="0.3">
      <c r="B275" s="152"/>
      <c r="D275" s="39"/>
    </row>
    <row r="276" spans="2:4" ht="15.75" customHeight="1" x14ac:dyDescent="0.3">
      <c r="B276" s="152"/>
      <c r="D276" s="39"/>
    </row>
    <row r="277" spans="2:4" ht="15.75" customHeight="1" x14ac:dyDescent="0.3">
      <c r="B277" s="152"/>
      <c r="D277" s="39"/>
    </row>
    <row r="278" spans="2:4" ht="15.75" customHeight="1" x14ac:dyDescent="0.3">
      <c r="B278" s="152"/>
      <c r="D278" s="39"/>
    </row>
    <row r="279" spans="2:4" ht="15.75" customHeight="1" x14ac:dyDescent="0.3">
      <c r="B279" s="152"/>
      <c r="D279" s="39"/>
    </row>
    <row r="280" spans="2:4" ht="15.75" customHeight="1" x14ac:dyDescent="0.3">
      <c r="B280" s="152"/>
      <c r="D280" s="39"/>
    </row>
    <row r="281" spans="2:4" ht="15.75" customHeight="1" x14ac:dyDescent="0.3">
      <c r="B281" s="152"/>
      <c r="D281" s="39"/>
    </row>
    <row r="282" spans="2:4" ht="15.75" customHeight="1" x14ac:dyDescent="0.3">
      <c r="B282" s="152"/>
      <c r="D282" s="39"/>
    </row>
    <row r="283" spans="2:4" ht="15.75" customHeight="1" x14ac:dyDescent="0.3">
      <c r="B283" s="152"/>
      <c r="D283" s="39"/>
    </row>
    <row r="284" spans="2:4" ht="15.75" customHeight="1" x14ac:dyDescent="0.3">
      <c r="B284" s="152"/>
      <c r="D284" s="39"/>
    </row>
    <row r="285" spans="2:4" ht="15.75" customHeight="1" x14ac:dyDescent="0.3">
      <c r="B285" s="152"/>
      <c r="D285" s="39"/>
    </row>
    <row r="286" spans="2:4" ht="15.75" customHeight="1" x14ac:dyDescent="0.3">
      <c r="B286" s="152"/>
      <c r="D286" s="39"/>
    </row>
    <row r="287" spans="2:4" ht="15.75" customHeight="1" x14ac:dyDescent="0.3">
      <c r="B287" s="152"/>
      <c r="D287" s="39"/>
    </row>
    <row r="288" spans="2:4" ht="15.75" customHeight="1" x14ac:dyDescent="0.3">
      <c r="B288" s="152"/>
      <c r="D288" s="39"/>
    </row>
    <row r="289" spans="2:4" ht="15.75" customHeight="1" x14ac:dyDescent="0.3">
      <c r="B289" s="152"/>
      <c r="D289" s="39"/>
    </row>
    <row r="290" spans="2:4" ht="15.75" customHeight="1" x14ac:dyDescent="0.3">
      <c r="B290" s="152"/>
      <c r="D290" s="39"/>
    </row>
    <row r="291" spans="2:4" ht="15.75" customHeight="1" x14ac:dyDescent="0.3">
      <c r="B291" s="152"/>
      <c r="D291" s="39"/>
    </row>
    <row r="292" spans="2:4" ht="15.75" customHeight="1" x14ac:dyDescent="0.3">
      <c r="B292" s="152"/>
      <c r="D292" s="39"/>
    </row>
    <row r="293" spans="2:4" ht="15.75" customHeight="1" x14ac:dyDescent="0.3">
      <c r="B293" s="152"/>
      <c r="D293" s="39"/>
    </row>
    <row r="294" spans="2:4" ht="15.75" customHeight="1" x14ac:dyDescent="0.3">
      <c r="B294" s="152"/>
      <c r="D294" s="39"/>
    </row>
    <row r="295" spans="2:4" ht="15.75" customHeight="1" x14ac:dyDescent="0.3">
      <c r="B295" s="152"/>
      <c r="D295" s="39"/>
    </row>
    <row r="296" spans="2:4" ht="15.75" customHeight="1" x14ac:dyDescent="0.3">
      <c r="B296" s="152"/>
      <c r="D296" s="39"/>
    </row>
    <row r="297" spans="2:4" ht="15.75" customHeight="1" x14ac:dyDescent="0.3">
      <c r="B297" s="152"/>
      <c r="D297" s="39"/>
    </row>
    <row r="298" spans="2:4" ht="15.75" customHeight="1" x14ac:dyDescent="0.3">
      <c r="B298" s="152"/>
      <c r="D298" s="39"/>
    </row>
    <row r="299" spans="2:4" ht="15.75" customHeight="1" x14ac:dyDescent="0.3">
      <c r="B299" s="152"/>
      <c r="D299" s="39"/>
    </row>
    <row r="300" spans="2:4" ht="15.75" customHeight="1" x14ac:dyDescent="0.3">
      <c r="B300" s="152"/>
      <c r="D300" s="39"/>
    </row>
    <row r="301" spans="2:4" ht="15.75" customHeight="1" x14ac:dyDescent="0.3">
      <c r="B301" s="152"/>
      <c r="D301" s="39"/>
    </row>
    <row r="302" spans="2:4" ht="15.75" customHeight="1" x14ac:dyDescent="0.3">
      <c r="B302" s="152"/>
      <c r="D302" s="39"/>
    </row>
    <row r="303" spans="2:4" ht="15.75" customHeight="1" x14ac:dyDescent="0.3">
      <c r="B303" s="152"/>
      <c r="D303" s="39"/>
    </row>
    <row r="304" spans="2:4" ht="15.75" customHeight="1" x14ac:dyDescent="0.3">
      <c r="B304" s="152"/>
      <c r="D304" s="39"/>
    </row>
    <row r="305" spans="2:4" ht="15.75" customHeight="1" x14ac:dyDescent="0.3">
      <c r="B305" s="152"/>
      <c r="D305" s="39"/>
    </row>
    <row r="306" spans="2:4" ht="15.75" customHeight="1" x14ac:dyDescent="0.3">
      <c r="B306" s="152"/>
      <c r="D306" s="39"/>
    </row>
    <row r="307" spans="2:4" ht="15.75" customHeight="1" x14ac:dyDescent="0.3">
      <c r="B307" s="152"/>
      <c r="D307" s="39"/>
    </row>
    <row r="308" spans="2:4" ht="15.75" customHeight="1" x14ac:dyDescent="0.3">
      <c r="B308" s="152"/>
      <c r="D308" s="39"/>
    </row>
    <row r="309" spans="2:4" ht="15.75" customHeight="1" x14ac:dyDescent="0.3">
      <c r="B309" s="152"/>
      <c r="D309" s="39"/>
    </row>
    <row r="310" spans="2:4" ht="15.75" customHeight="1" x14ac:dyDescent="0.3">
      <c r="B310" s="152"/>
      <c r="D310" s="39"/>
    </row>
    <row r="311" spans="2:4" ht="15.75" customHeight="1" x14ac:dyDescent="0.3">
      <c r="B311" s="152"/>
      <c r="D311" s="39"/>
    </row>
    <row r="312" spans="2:4" ht="15.75" customHeight="1" x14ac:dyDescent="0.3">
      <c r="B312" s="152"/>
      <c r="D312" s="39"/>
    </row>
    <row r="313" spans="2:4" ht="15.75" customHeight="1" x14ac:dyDescent="0.3">
      <c r="B313" s="152"/>
      <c r="D313" s="39"/>
    </row>
    <row r="314" spans="2:4" ht="15.75" customHeight="1" x14ac:dyDescent="0.3">
      <c r="B314" s="152"/>
      <c r="D314" s="39"/>
    </row>
    <row r="315" spans="2:4" ht="15.75" customHeight="1" x14ac:dyDescent="0.3">
      <c r="B315" s="152"/>
      <c r="D315" s="39"/>
    </row>
    <row r="316" spans="2:4" ht="15.75" customHeight="1" x14ac:dyDescent="0.3">
      <c r="B316" s="152"/>
      <c r="D316" s="39"/>
    </row>
    <row r="317" spans="2:4" ht="15.75" customHeight="1" x14ac:dyDescent="0.3">
      <c r="B317" s="152"/>
      <c r="D317" s="39"/>
    </row>
    <row r="318" spans="2:4" ht="15.75" customHeight="1" x14ac:dyDescent="0.3">
      <c r="B318" s="152"/>
      <c r="D318" s="39"/>
    </row>
    <row r="319" spans="2:4" ht="15.75" customHeight="1" x14ac:dyDescent="0.3">
      <c r="B319" s="152"/>
      <c r="D319" s="39"/>
    </row>
    <row r="320" spans="2:4" ht="15.75" customHeight="1" x14ac:dyDescent="0.3">
      <c r="B320" s="152"/>
      <c r="D320" s="39"/>
    </row>
    <row r="321" spans="2:4" ht="15.75" customHeight="1" x14ac:dyDescent="0.3">
      <c r="B321" s="152"/>
      <c r="D321" s="39"/>
    </row>
    <row r="322" spans="2:4" ht="15.75" customHeight="1" x14ac:dyDescent="0.3">
      <c r="B322" s="152"/>
      <c r="D322" s="39"/>
    </row>
    <row r="323" spans="2:4" ht="15.75" customHeight="1" x14ac:dyDescent="0.3">
      <c r="B323" s="152"/>
      <c r="D323" s="39"/>
    </row>
    <row r="324" spans="2:4" ht="15.75" customHeight="1" x14ac:dyDescent="0.3">
      <c r="B324" s="152"/>
      <c r="D324" s="39"/>
    </row>
    <row r="325" spans="2:4" ht="15.75" customHeight="1" x14ac:dyDescent="0.3">
      <c r="B325" s="152"/>
      <c r="D325" s="39"/>
    </row>
    <row r="326" spans="2:4" ht="15.75" customHeight="1" x14ac:dyDescent="0.3">
      <c r="B326" s="152"/>
      <c r="D326" s="39"/>
    </row>
    <row r="327" spans="2:4" ht="15.75" customHeight="1" x14ac:dyDescent="0.3">
      <c r="B327" s="152"/>
      <c r="D327" s="39"/>
    </row>
    <row r="328" spans="2:4" ht="15.75" customHeight="1" x14ac:dyDescent="0.3">
      <c r="B328" s="152"/>
      <c r="D328" s="39"/>
    </row>
    <row r="329" spans="2:4" ht="15.75" customHeight="1" x14ac:dyDescent="0.3">
      <c r="B329" s="152"/>
      <c r="D329" s="39"/>
    </row>
    <row r="330" spans="2:4" ht="15.75" customHeight="1" x14ac:dyDescent="0.3">
      <c r="B330" s="152"/>
      <c r="D330" s="39"/>
    </row>
    <row r="331" spans="2:4" ht="15.75" customHeight="1" x14ac:dyDescent="0.3">
      <c r="B331" s="152"/>
      <c r="D331" s="39"/>
    </row>
    <row r="332" spans="2:4" ht="15.75" customHeight="1" x14ac:dyDescent="0.3">
      <c r="B332" s="152"/>
      <c r="D332" s="39"/>
    </row>
    <row r="333" spans="2:4" ht="15.75" customHeight="1" x14ac:dyDescent="0.3">
      <c r="B333" s="152"/>
      <c r="D333" s="39"/>
    </row>
    <row r="334" spans="2:4" ht="15.75" customHeight="1" x14ac:dyDescent="0.3">
      <c r="B334" s="152"/>
      <c r="D334" s="39"/>
    </row>
    <row r="335" spans="2:4" ht="15.75" customHeight="1" x14ac:dyDescent="0.3">
      <c r="B335" s="152"/>
      <c r="D335" s="39"/>
    </row>
    <row r="336" spans="2:4" ht="15.75" customHeight="1" x14ac:dyDescent="0.3">
      <c r="B336" s="152"/>
      <c r="D336" s="39"/>
    </row>
    <row r="337" spans="2:4" ht="15.75" customHeight="1" x14ac:dyDescent="0.3">
      <c r="B337" s="152"/>
      <c r="D337" s="39"/>
    </row>
    <row r="338" spans="2:4" ht="15.75" customHeight="1" x14ac:dyDescent="0.3">
      <c r="B338" s="152"/>
      <c r="D338" s="39"/>
    </row>
    <row r="339" spans="2:4" ht="15.75" customHeight="1" x14ac:dyDescent="0.3">
      <c r="B339" s="152"/>
      <c r="D339" s="39"/>
    </row>
    <row r="340" spans="2:4" ht="15.75" customHeight="1" x14ac:dyDescent="0.3">
      <c r="B340" s="152"/>
      <c r="D340" s="39"/>
    </row>
    <row r="341" spans="2:4" ht="15.75" customHeight="1" x14ac:dyDescent="0.3">
      <c r="B341" s="152"/>
      <c r="D341" s="39"/>
    </row>
    <row r="342" spans="2:4" ht="15.75" customHeight="1" x14ac:dyDescent="0.3">
      <c r="B342" s="152"/>
      <c r="D342" s="39"/>
    </row>
    <row r="343" spans="2:4" ht="15.75" customHeight="1" x14ac:dyDescent="0.3">
      <c r="B343" s="152"/>
      <c r="D343" s="39"/>
    </row>
    <row r="344" spans="2:4" ht="15.75" customHeight="1" x14ac:dyDescent="0.3">
      <c r="B344" s="152"/>
      <c r="D344" s="39"/>
    </row>
    <row r="345" spans="2:4" ht="15.75" customHeight="1" x14ac:dyDescent="0.3">
      <c r="B345" s="152"/>
      <c r="D345" s="39"/>
    </row>
    <row r="346" spans="2:4" ht="15.75" customHeight="1" x14ac:dyDescent="0.3">
      <c r="B346" s="152"/>
      <c r="D346" s="39"/>
    </row>
    <row r="347" spans="2:4" ht="15.75" customHeight="1" x14ac:dyDescent="0.3">
      <c r="B347" s="152"/>
      <c r="D347" s="39"/>
    </row>
    <row r="348" spans="2:4" ht="15.75" customHeight="1" x14ac:dyDescent="0.3">
      <c r="B348" s="152"/>
      <c r="D348" s="39"/>
    </row>
    <row r="349" spans="2:4" ht="15.75" customHeight="1" x14ac:dyDescent="0.3">
      <c r="B349" s="152"/>
      <c r="D349" s="39"/>
    </row>
    <row r="350" spans="2:4" ht="15.75" customHeight="1" x14ac:dyDescent="0.3">
      <c r="B350" s="152"/>
      <c r="D350" s="39"/>
    </row>
    <row r="351" spans="2:4" ht="15.75" customHeight="1" x14ac:dyDescent="0.3">
      <c r="B351" s="152"/>
      <c r="D351" s="39"/>
    </row>
    <row r="352" spans="2:4" ht="15.75" customHeight="1" x14ac:dyDescent="0.3">
      <c r="B352" s="152"/>
      <c r="D352" s="39"/>
    </row>
    <row r="353" spans="2:4" ht="15.75" customHeight="1" x14ac:dyDescent="0.3">
      <c r="B353" s="152"/>
      <c r="D353" s="39"/>
    </row>
    <row r="354" spans="2:4" ht="15.75" customHeight="1" x14ac:dyDescent="0.3">
      <c r="B354" s="152"/>
      <c r="D354" s="39"/>
    </row>
    <row r="355" spans="2:4" ht="15.75" customHeight="1" x14ac:dyDescent="0.3">
      <c r="B355" s="152"/>
      <c r="D355" s="39"/>
    </row>
    <row r="356" spans="2:4" ht="15.75" customHeight="1" x14ac:dyDescent="0.3">
      <c r="B356" s="152"/>
      <c r="D356" s="39"/>
    </row>
    <row r="357" spans="2:4" ht="15.75" customHeight="1" x14ac:dyDescent="0.3">
      <c r="B357" s="152"/>
      <c r="D357" s="39"/>
    </row>
    <row r="358" spans="2:4" ht="15.75" customHeight="1" x14ac:dyDescent="0.3">
      <c r="B358" s="152"/>
      <c r="D358" s="39"/>
    </row>
    <row r="359" spans="2:4" ht="15.75" customHeight="1" x14ac:dyDescent="0.3">
      <c r="B359" s="152"/>
      <c r="D359" s="39"/>
    </row>
    <row r="360" spans="2:4" ht="15.75" customHeight="1" x14ac:dyDescent="0.3">
      <c r="B360" s="152"/>
      <c r="D360" s="39"/>
    </row>
    <row r="361" spans="2:4" ht="15.75" customHeight="1" x14ac:dyDescent="0.3">
      <c r="B361" s="152"/>
      <c r="D361" s="39"/>
    </row>
    <row r="362" spans="2:4" ht="15.75" customHeight="1" x14ac:dyDescent="0.3">
      <c r="B362" s="152"/>
      <c r="D362" s="39"/>
    </row>
    <row r="363" spans="2:4" ht="15.75" customHeight="1" x14ac:dyDescent="0.3">
      <c r="B363" s="152"/>
      <c r="D363" s="39"/>
    </row>
    <row r="364" spans="2:4" ht="15.75" customHeight="1" x14ac:dyDescent="0.3">
      <c r="B364" s="152"/>
      <c r="D364" s="39"/>
    </row>
    <row r="365" spans="2:4" ht="15.75" customHeight="1" x14ac:dyDescent="0.3">
      <c r="B365" s="152"/>
      <c r="D365" s="39"/>
    </row>
    <row r="366" spans="2:4" ht="15.75" customHeight="1" x14ac:dyDescent="0.3">
      <c r="B366" s="152"/>
      <c r="D366" s="39"/>
    </row>
    <row r="367" spans="2:4" ht="15.75" customHeight="1" x14ac:dyDescent="0.3">
      <c r="B367" s="152"/>
      <c r="D367" s="39"/>
    </row>
    <row r="368" spans="2:4" ht="15.75" customHeight="1" x14ac:dyDescent="0.3">
      <c r="B368" s="152"/>
      <c r="D368" s="39"/>
    </row>
    <row r="369" spans="2:4" ht="15.75" customHeight="1" x14ac:dyDescent="0.3">
      <c r="B369" s="152"/>
      <c r="D369" s="39"/>
    </row>
    <row r="370" spans="2:4" ht="15.75" customHeight="1" x14ac:dyDescent="0.3">
      <c r="B370" s="152"/>
      <c r="D370" s="39"/>
    </row>
    <row r="371" spans="2:4" ht="15.75" customHeight="1" x14ac:dyDescent="0.3">
      <c r="B371" s="152"/>
      <c r="D371" s="39"/>
    </row>
    <row r="372" spans="2:4" ht="15.75" customHeight="1" x14ac:dyDescent="0.3">
      <c r="B372" s="152"/>
      <c r="D372" s="39"/>
    </row>
    <row r="373" spans="2:4" ht="15.75" customHeight="1" x14ac:dyDescent="0.3">
      <c r="B373" s="152"/>
      <c r="D373" s="39"/>
    </row>
    <row r="374" spans="2:4" ht="15.75" customHeight="1" x14ac:dyDescent="0.3">
      <c r="B374" s="152"/>
      <c r="D374" s="39"/>
    </row>
    <row r="375" spans="2:4" ht="15.75" customHeight="1" x14ac:dyDescent="0.3">
      <c r="B375" s="152"/>
      <c r="D375" s="39"/>
    </row>
    <row r="376" spans="2:4" ht="15.75" customHeight="1" x14ac:dyDescent="0.3">
      <c r="B376" s="152"/>
      <c r="D376" s="39"/>
    </row>
    <row r="377" spans="2:4" ht="15.75" customHeight="1" x14ac:dyDescent="0.3">
      <c r="B377" s="152"/>
      <c r="D377" s="39"/>
    </row>
    <row r="378" spans="2:4" ht="15.75" customHeight="1" x14ac:dyDescent="0.3">
      <c r="B378" s="152"/>
      <c r="D378" s="39"/>
    </row>
    <row r="379" spans="2:4" ht="15.75" customHeight="1" x14ac:dyDescent="0.3">
      <c r="B379" s="152"/>
      <c r="D379" s="39"/>
    </row>
    <row r="380" spans="2:4" ht="15.75" customHeight="1" x14ac:dyDescent="0.3">
      <c r="B380" s="152"/>
      <c r="D380" s="39"/>
    </row>
    <row r="381" spans="2:4" ht="15.75" customHeight="1" x14ac:dyDescent="0.3">
      <c r="B381" s="152"/>
      <c r="D381" s="39"/>
    </row>
    <row r="382" spans="2:4" ht="15.75" customHeight="1" x14ac:dyDescent="0.3">
      <c r="B382" s="152"/>
      <c r="D382" s="39"/>
    </row>
    <row r="383" spans="2:4" ht="15.75" customHeight="1" x14ac:dyDescent="0.3">
      <c r="B383" s="152"/>
      <c r="D383" s="39"/>
    </row>
    <row r="384" spans="2:4" ht="15.75" customHeight="1" x14ac:dyDescent="0.3">
      <c r="B384" s="152"/>
      <c r="D384" s="39"/>
    </row>
    <row r="385" spans="2:4" ht="15.75" customHeight="1" x14ac:dyDescent="0.3">
      <c r="B385" s="152"/>
      <c r="D385" s="39"/>
    </row>
    <row r="386" spans="2:4" ht="15.75" customHeight="1" x14ac:dyDescent="0.3">
      <c r="B386" s="152"/>
      <c r="D386" s="39"/>
    </row>
    <row r="387" spans="2:4" ht="15.75" customHeight="1" x14ac:dyDescent="0.3">
      <c r="B387" s="152"/>
      <c r="D387" s="39"/>
    </row>
    <row r="388" spans="2:4" ht="15.75" customHeight="1" x14ac:dyDescent="0.3">
      <c r="B388" s="152"/>
      <c r="D388" s="39"/>
    </row>
    <row r="389" spans="2:4" ht="15.75" customHeight="1" x14ac:dyDescent="0.3">
      <c r="B389" s="152"/>
      <c r="D389" s="39"/>
    </row>
    <row r="390" spans="2:4" ht="15.75" customHeight="1" x14ac:dyDescent="0.3">
      <c r="B390" s="152"/>
      <c r="D390" s="39"/>
    </row>
    <row r="391" spans="2:4" ht="15.75" customHeight="1" x14ac:dyDescent="0.3">
      <c r="B391" s="152"/>
      <c r="D391" s="39"/>
    </row>
    <row r="392" spans="2:4" ht="15.75" customHeight="1" x14ac:dyDescent="0.3">
      <c r="B392" s="152"/>
      <c r="D392" s="39"/>
    </row>
    <row r="393" spans="2:4" ht="15.75" customHeight="1" x14ac:dyDescent="0.3">
      <c r="B393" s="152"/>
      <c r="D393" s="39"/>
    </row>
    <row r="394" spans="2:4" ht="15.75" customHeight="1" x14ac:dyDescent="0.3">
      <c r="B394" s="152"/>
      <c r="D394" s="39"/>
    </row>
    <row r="395" spans="2:4" ht="15.75" customHeight="1" x14ac:dyDescent="0.3">
      <c r="B395" s="152"/>
      <c r="D395" s="39"/>
    </row>
    <row r="396" spans="2:4" ht="15.75" customHeight="1" x14ac:dyDescent="0.3">
      <c r="B396" s="152"/>
      <c r="D396" s="39"/>
    </row>
    <row r="397" spans="2:4" ht="15.75" customHeight="1" x14ac:dyDescent="0.3">
      <c r="B397" s="152"/>
      <c r="D397" s="39"/>
    </row>
    <row r="398" spans="2:4" ht="15.75" customHeight="1" x14ac:dyDescent="0.3">
      <c r="B398" s="152"/>
      <c r="D398" s="39"/>
    </row>
    <row r="399" spans="2:4" ht="15.75" customHeight="1" x14ac:dyDescent="0.3">
      <c r="B399" s="152"/>
      <c r="D399" s="39"/>
    </row>
    <row r="400" spans="2:4" ht="15.75" customHeight="1" x14ac:dyDescent="0.3">
      <c r="B400" s="152"/>
      <c r="D400" s="39"/>
    </row>
    <row r="401" spans="2:4" ht="15.75" customHeight="1" x14ac:dyDescent="0.3">
      <c r="B401" s="152"/>
      <c r="D401" s="39"/>
    </row>
    <row r="402" spans="2:4" ht="15.75" customHeight="1" x14ac:dyDescent="0.3">
      <c r="B402" s="152"/>
      <c r="D402" s="39"/>
    </row>
    <row r="403" spans="2:4" ht="15.75" customHeight="1" x14ac:dyDescent="0.3">
      <c r="B403" s="152"/>
      <c r="D403" s="39"/>
    </row>
    <row r="404" spans="2:4" ht="15.75" customHeight="1" x14ac:dyDescent="0.3">
      <c r="B404" s="152"/>
      <c r="D404" s="39"/>
    </row>
    <row r="405" spans="2:4" ht="15.75" customHeight="1" x14ac:dyDescent="0.3">
      <c r="B405" s="152"/>
      <c r="D405" s="39"/>
    </row>
    <row r="406" spans="2:4" ht="15.75" customHeight="1" x14ac:dyDescent="0.3">
      <c r="B406" s="152"/>
      <c r="D406" s="39"/>
    </row>
    <row r="407" spans="2:4" ht="15.75" customHeight="1" x14ac:dyDescent="0.3">
      <c r="B407" s="152"/>
      <c r="D407" s="39"/>
    </row>
    <row r="408" spans="2:4" ht="15.75" customHeight="1" x14ac:dyDescent="0.3">
      <c r="B408" s="152"/>
      <c r="D408" s="39"/>
    </row>
    <row r="409" spans="2:4" ht="15.75" customHeight="1" x14ac:dyDescent="0.3">
      <c r="B409" s="152"/>
      <c r="D409" s="39"/>
    </row>
    <row r="410" spans="2:4" ht="15.75" customHeight="1" x14ac:dyDescent="0.3">
      <c r="B410" s="152"/>
      <c r="D410" s="39"/>
    </row>
    <row r="411" spans="2:4" ht="15.75" customHeight="1" x14ac:dyDescent="0.3">
      <c r="B411" s="152"/>
      <c r="D411" s="39"/>
    </row>
    <row r="412" spans="2:4" ht="15.75" customHeight="1" x14ac:dyDescent="0.3">
      <c r="B412" s="152"/>
      <c r="D412" s="39"/>
    </row>
    <row r="413" spans="2:4" ht="15.75" customHeight="1" x14ac:dyDescent="0.3">
      <c r="B413" s="152"/>
      <c r="D413" s="39"/>
    </row>
    <row r="414" spans="2:4" ht="15.75" customHeight="1" x14ac:dyDescent="0.3">
      <c r="B414" s="152"/>
      <c r="D414" s="39"/>
    </row>
    <row r="415" spans="2:4" ht="15.75" customHeight="1" x14ac:dyDescent="0.3">
      <c r="B415" s="152"/>
      <c r="D415" s="39"/>
    </row>
    <row r="416" spans="2:4" ht="15.75" customHeight="1" x14ac:dyDescent="0.3">
      <c r="B416" s="152"/>
      <c r="D416" s="39"/>
    </row>
    <row r="417" spans="2:4" ht="15.75" customHeight="1" x14ac:dyDescent="0.3">
      <c r="B417" s="152"/>
      <c r="D417" s="39"/>
    </row>
    <row r="418" spans="2:4" ht="15.75" customHeight="1" x14ac:dyDescent="0.3">
      <c r="B418" s="152"/>
      <c r="D418" s="39"/>
    </row>
    <row r="419" spans="2:4" ht="15.75" customHeight="1" x14ac:dyDescent="0.3">
      <c r="B419" s="152"/>
      <c r="D419" s="39"/>
    </row>
    <row r="420" spans="2:4" ht="15.75" customHeight="1" x14ac:dyDescent="0.3">
      <c r="B420" s="152"/>
      <c r="D420" s="39"/>
    </row>
    <row r="421" spans="2:4" ht="15.75" customHeight="1" x14ac:dyDescent="0.3">
      <c r="B421" s="152"/>
      <c r="D421" s="39"/>
    </row>
    <row r="422" spans="2:4" ht="15.75" customHeight="1" x14ac:dyDescent="0.3">
      <c r="B422" s="152"/>
      <c r="D422" s="39"/>
    </row>
    <row r="423" spans="2:4" ht="15.75" customHeight="1" x14ac:dyDescent="0.3">
      <c r="B423" s="152"/>
      <c r="D423" s="39"/>
    </row>
    <row r="424" spans="2:4" ht="15.75" customHeight="1" x14ac:dyDescent="0.3">
      <c r="B424" s="152"/>
      <c r="D424" s="39"/>
    </row>
    <row r="425" spans="2:4" ht="15.75" customHeight="1" x14ac:dyDescent="0.3">
      <c r="B425" s="152"/>
      <c r="D425" s="39"/>
    </row>
    <row r="426" spans="2:4" ht="15.75" customHeight="1" x14ac:dyDescent="0.3">
      <c r="B426" s="152"/>
      <c r="D426" s="39"/>
    </row>
    <row r="427" spans="2:4" ht="15.75" customHeight="1" x14ac:dyDescent="0.3">
      <c r="B427" s="152"/>
      <c r="D427" s="39"/>
    </row>
    <row r="428" spans="2:4" ht="15.75" customHeight="1" x14ac:dyDescent="0.3">
      <c r="B428" s="152"/>
      <c r="D428" s="39"/>
    </row>
    <row r="429" spans="2:4" ht="15.75" customHeight="1" x14ac:dyDescent="0.3">
      <c r="B429" s="152"/>
      <c r="D429" s="39"/>
    </row>
    <row r="430" spans="2:4" ht="15.75" customHeight="1" x14ac:dyDescent="0.3">
      <c r="B430" s="152"/>
      <c r="D430" s="39"/>
    </row>
    <row r="431" spans="2:4" ht="15.75" customHeight="1" x14ac:dyDescent="0.3">
      <c r="B431" s="152"/>
      <c r="D431" s="39"/>
    </row>
    <row r="432" spans="2:4" ht="15.75" customHeight="1" x14ac:dyDescent="0.3">
      <c r="B432" s="152"/>
      <c r="D432" s="39"/>
    </row>
    <row r="433" spans="2:4" ht="15.75" customHeight="1" x14ac:dyDescent="0.3">
      <c r="B433" s="152"/>
      <c r="D433" s="39"/>
    </row>
    <row r="434" spans="2:4" ht="15.75" customHeight="1" x14ac:dyDescent="0.3">
      <c r="B434" s="152"/>
      <c r="D434" s="39"/>
    </row>
    <row r="435" spans="2:4" ht="15.75" customHeight="1" x14ac:dyDescent="0.3">
      <c r="B435" s="152"/>
      <c r="D435" s="39"/>
    </row>
    <row r="436" spans="2:4" ht="15.75" customHeight="1" x14ac:dyDescent="0.3">
      <c r="B436" s="152"/>
      <c r="D436" s="39"/>
    </row>
    <row r="437" spans="2:4" ht="15.75" customHeight="1" x14ac:dyDescent="0.3">
      <c r="B437" s="152"/>
      <c r="D437" s="39"/>
    </row>
    <row r="438" spans="2:4" ht="15.75" customHeight="1" x14ac:dyDescent="0.3">
      <c r="B438" s="152"/>
      <c r="D438" s="39"/>
    </row>
    <row r="439" spans="2:4" ht="15.75" customHeight="1" x14ac:dyDescent="0.3">
      <c r="B439" s="152"/>
      <c r="D439" s="39"/>
    </row>
    <row r="440" spans="2:4" ht="15.75" customHeight="1" x14ac:dyDescent="0.3">
      <c r="B440" s="152"/>
      <c r="D440" s="39"/>
    </row>
    <row r="441" spans="2:4" ht="15.75" customHeight="1" x14ac:dyDescent="0.3">
      <c r="B441" s="152"/>
      <c r="D441" s="39"/>
    </row>
    <row r="442" spans="2:4" ht="15.75" customHeight="1" x14ac:dyDescent="0.3">
      <c r="B442" s="152"/>
      <c r="D442" s="39"/>
    </row>
    <row r="443" spans="2:4" ht="15.75" customHeight="1" x14ac:dyDescent="0.3">
      <c r="B443" s="152"/>
      <c r="D443" s="39"/>
    </row>
    <row r="444" spans="2:4" ht="15.75" customHeight="1" x14ac:dyDescent="0.3">
      <c r="B444" s="152"/>
      <c r="D444" s="39"/>
    </row>
    <row r="445" spans="2:4" ht="15.75" customHeight="1" x14ac:dyDescent="0.3">
      <c r="B445" s="152"/>
      <c r="D445" s="39"/>
    </row>
    <row r="446" spans="2:4" ht="15.75" customHeight="1" x14ac:dyDescent="0.3">
      <c r="B446" s="152"/>
      <c r="D446" s="39"/>
    </row>
    <row r="447" spans="2:4" ht="15.75" customHeight="1" x14ac:dyDescent="0.3">
      <c r="B447" s="152"/>
      <c r="D447" s="39"/>
    </row>
    <row r="448" spans="2:4" ht="15.75" customHeight="1" x14ac:dyDescent="0.3">
      <c r="B448" s="152"/>
      <c r="D448" s="39"/>
    </row>
    <row r="449" spans="2:4" ht="15.75" customHeight="1" x14ac:dyDescent="0.3">
      <c r="B449" s="152"/>
      <c r="D449" s="39"/>
    </row>
    <row r="450" spans="2:4" ht="15.75" customHeight="1" x14ac:dyDescent="0.3">
      <c r="B450" s="152"/>
      <c r="D450" s="39"/>
    </row>
    <row r="451" spans="2:4" ht="15.75" customHeight="1" x14ac:dyDescent="0.3">
      <c r="B451" s="152"/>
      <c r="D451" s="39"/>
    </row>
    <row r="452" spans="2:4" ht="15.75" customHeight="1" x14ac:dyDescent="0.3">
      <c r="B452" s="152"/>
      <c r="D452" s="39"/>
    </row>
    <row r="453" spans="2:4" ht="15.75" customHeight="1" x14ac:dyDescent="0.3">
      <c r="B453" s="152"/>
      <c r="D453" s="39"/>
    </row>
    <row r="454" spans="2:4" ht="15.75" customHeight="1" x14ac:dyDescent="0.3">
      <c r="B454" s="152"/>
      <c r="D454" s="39"/>
    </row>
    <row r="455" spans="2:4" ht="15.75" customHeight="1" x14ac:dyDescent="0.3">
      <c r="B455" s="152"/>
      <c r="D455" s="39"/>
    </row>
    <row r="456" spans="2:4" ht="15.75" customHeight="1" x14ac:dyDescent="0.3">
      <c r="B456" s="152"/>
      <c r="D456" s="39"/>
    </row>
    <row r="457" spans="2:4" ht="15.75" customHeight="1" x14ac:dyDescent="0.3">
      <c r="B457" s="152"/>
      <c r="D457" s="39"/>
    </row>
    <row r="458" spans="2:4" ht="15.75" customHeight="1" x14ac:dyDescent="0.3">
      <c r="B458" s="152"/>
      <c r="D458" s="39"/>
    </row>
    <row r="459" spans="2:4" ht="15.75" customHeight="1" x14ac:dyDescent="0.3">
      <c r="B459" s="152"/>
      <c r="D459" s="39"/>
    </row>
    <row r="460" spans="2:4" ht="15.75" customHeight="1" x14ac:dyDescent="0.3">
      <c r="B460" s="152"/>
      <c r="D460" s="39"/>
    </row>
    <row r="461" spans="2:4" ht="15.75" customHeight="1" x14ac:dyDescent="0.3">
      <c r="B461" s="152"/>
      <c r="D461" s="39"/>
    </row>
    <row r="462" spans="2:4" ht="15.75" customHeight="1" x14ac:dyDescent="0.3">
      <c r="B462" s="152"/>
      <c r="D462" s="39"/>
    </row>
    <row r="463" spans="2:4" ht="15.75" customHeight="1" x14ac:dyDescent="0.3">
      <c r="B463" s="152"/>
      <c r="D463" s="39"/>
    </row>
    <row r="464" spans="2:4" ht="15.75" customHeight="1" x14ac:dyDescent="0.3">
      <c r="B464" s="152"/>
      <c r="D464" s="39"/>
    </row>
    <row r="465" spans="2:4" ht="15.75" customHeight="1" x14ac:dyDescent="0.3">
      <c r="B465" s="152"/>
      <c r="D465" s="39"/>
    </row>
    <row r="466" spans="2:4" ht="15.75" customHeight="1" x14ac:dyDescent="0.3">
      <c r="B466" s="152"/>
      <c r="D466" s="39"/>
    </row>
    <row r="467" spans="2:4" ht="15.75" customHeight="1" x14ac:dyDescent="0.3">
      <c r="B467" s="152"/>
      <c r="D467" s="39"/>
    </row>
    <row r="468" spans="2:4" ht="15.75" customHeight="1" x14ac:dyDescent="0.3">
      <c r="B468" s="152"/>
      <c r="D468" s="39"/>
    </row>
    <row r="469" spans="2:4" ht="15.75" customHeight="1" x14ac:dyDescent="0.3">
      <c r="B469" s="152"/>
      <c r="D469" s="39"/>
    </row>
    <row r="470" spans="2:4" ht="15.75" customHeight="1" x14ac:dyDescent="0.3">
      <c r="B470" s="152"/>
      <c r="D470" s="39"/>
    </row>
    <row r="471" spans="2:4" ht="15.75" customHeight="1" x14ac:dyDescent="0.3">
      <c r="B471" s="152"/>
      <c r="D471" s="39"/>
    </row>
    <row r="472" spans="2:4" ht="15.75" customHeight="1" x14ac:dyDescent="0.3">
      <c r="B472" s="152"/>
      <c r="D472" s="39"/>
    </row>
    <row r="473" spans="2:4" ht="15.75" customHeight="1" x14ac:dyDescent="0.3">
      <c r="B473" s="152"/>
      <c r="D473" s="39"/>
    </row>
    <row r="474" spans="2:4" ht="15.75" customHeight="1" x14ac:dyDescent="0.3">
      <c r="B474" s="152"/>
      <c r="D474" s="39"/>
    </row>
    <row r="475" spans="2:4" ht="15.75" customHeight="1" x14ac:dyDescent="0.3">
      <c r="B475" s="152"/>
      <c r="D475" s="39"/>
    </row>
    <row r="476" spans="2:4" ht="15.75" customHeight="1" x14ac:dyDescent="0.3">
      <c r="B476" s="152"/>
      <c r="D476" s="39"/>
    </row>
    <row r="477" spans="2:4" ht="15.75" customHeight="1" x14ac:dyDescent="0.3">
      <c r="B477" s="152"/>
      <c r="D477" s="39"/>
    </row>
    <row r="478" spans="2:4" ht="15.75" customHeight="1" x14ac:dyDescent="0.3">
      <c r="B478" s="152"/>
      <c r="D478" s="39"/>
    </row>
    <row r="479" spans="2:4" ht="15.75" customHeight="1" x14ac:dyDescent="0.3">
      <c r="B479" s="152"/>
      <c r="D479" s="39"/>
    </row>
    <row r="480" spans="2:4" ht="15.75" customHeight="1" x14ac:dyDescent="0.3">
      <c r="B480" s="152"/>
      <c r="D480" s="39"/>
    </row>
    <row r="481" spans="2:4" ht="15.75" customHeight="1" x14ac:dyDescent="0.3">
      <c r="B481" s="152"/>
      <c r="D481" s="39"/>
    </row>
    <row r="482" spans="2:4" ht="15.75" customHeight="1" x14ac:dyDescent="0.3">
      <c r="B482" s="152"/>
      <c r="D482" s="39"/>
    </row>
    <row r="483" spans="2:4" ht="15.75" customHeight="1" x14ac:dyDescent="0.3">
      <c r="B483" s="152"/>
      <c r="D483" s="39"/>
    </row>
    <row r="484" spans="2:4" ht="15.75" customHeight="1" x14ac:dyDescent="0.3">
      <c r="B484" s="152"/>
      <c r="D484" s="39"/>
    </row>
    <row r="485" spans="2:4" ht="15.75" customHeight="1" x14ac:dyDescent="0.3">
      <c r="B485" s="152"/>
      <c r="D485" s="39"/>
    </row>
    <row r="486" spans="2:4" ht="15.75" customHeight="1" x14ac:dyDescent="0.3">
      <c r="B486" s="152"/>
      <c r="D486" s="39"/>
    </row>
    <row r="487" spans="2:4" ht="15.75" customHeight="1" x14ac:dyDescent="0.3">
      <c r="B487" s="152"/>
      <c r="D487" s="39"/>
    </row>
    <row r="488" spans="2:4" ht="15.75" customHeight="1" x14ac:dyDescent="0.3">
      <c r="B488" s="152"/>
      <c r="D488" s="39"/>
    </row>
    <row r="489" spans="2:4" ht="15.75" customHeight="1" x14ac:dyDescent="0.3">
      <c r="B489" s="152"/>
      <c r="D489" s="39"/>
    </row>
    <row r="490" spans="2:4" ht="15.75" customHeight="1" x14ac:dyDescent="0.3">
      <c r="B490" s="152"/>
      <c r="D490" s="39"/>
    </row>
    <row r="491" spans="2:4" ht="15.75" customHeight="1" x14ac:dyDescent="0.3">
      <c r="B491" s="152"/>
      <c r="D491" s="39"/>
    </row>
    <row r="492" spans="2:4" ht="15.75" customHeight="1" x14ac:dyDescent="0.3">
      <c r="B492" s="152"/>
      <c r="D492" s="39"/>
    </row>
    <row r="493" spans="2:4" ht="15.75" customHeight="1" x14ac:dyDescent="0.3">
      <c r="B493" s="152"/>
      <c r="D493" s="39"/>
    </row>
    <row r="494" spans="2:4" ht="15.75" customHeight="1" x14ac:dyDescent="0.3">
      <c r="B494" s="152"/>
      <c r="D494" s="39"/>
    </row>
    <row r="495" spans="2:4" ht="15.75" customHeight="1" x14ac:dyDescent="0.3">
      <c r="B495" s="152"/>
      <c r="D495" s="39"/>
    </row>
    <row r="496" spans="2:4" ht="15.75" customHeight="1" x14ac:dyDescent="0.3">
      <c r="B496" s="152"/>
      <c r="D496" s="39"/>
    </row>
    <row r="497" spans="2:4" ht="15.75" customHeight="1" x14ac:dyDescent="0.3">
      <c r="B497" s="152"/>
      <c r="D497" s="39"/>
    </row>
    <row r="498" spans="2:4" ht="15.75" customHeight="1" x14ac:dyDescent="0.3">
      <c r="B498" s="152"/>
      <c r="D498" s="39"/>
    </row>
    <row r="499" spans="2:4" ht="15.75" customHeight="1" x14ac:dyDescent="0.3">
      <c r="B499" s="152"/>
      <c r="D499" s="39"/>
    </row>
    <row r="500" spans="2:4" ht="15.75" customHeight="1" x14ac:dyDescent="0.3">
      <c r="B500" s="152"/>
      <c r="D500" s="39"/>
    </row>
    <row r="501" spans="2:4" ht="15.75" customHeight="1" x14ac:dyDescent="0.3">
      <c r="B501" s="152"/>
      <c r="D501" s="39"/>
    </row>
    <row r="502" spans="2:4" ht="15.75" customHeight="1" x14ac:dyDescent="0.3">
      <c r="B502" s="152"/>
      <c r="D502" s="39"/>
    </row>
    <row r="503" spans="2:4" ht="15.75" customHeight="1" x14ac:dyDescent="0.3">
      <c r="B503" s="152"/>
      <c r="D503" s="39"/>
    </row>
    <row r="504" spans="2:4" ht="15.75" customHeight="1" x14ac:dyDescent="0.3">
      <c r="B504" s="152"/>
      <c r="D504" s="39"/>
    </row>
    <row r="505" spans="2:4" ht="15.75" customHeight="1" x14ac:dyDescent="0.3">
      <c r="B505" s="152"/>
      <c r="D505" s="39"/>
    </row>
    <row r="506" spans="2:4" ht="15.75" customHeight="1" x14ac:dyDescent="0.3">
      <c r="B506" s="152"/>
      <c r="D506" s="39"/>
    </row>
    <row r="507" spans="2:4" ht="15.75" customHeight="1" x14ac:dyDescent="0.3">
      <c r="B507" s="152"/>
      <c r="D507" s="39"/>
    </row>
    <row r="508" spans="2:4" ht="15.75" customHeight="1" x14ac:dyDescent="0.3">
      <c r="B508" s="152"/>
      <c r="D508" s="39"/>
    </row>
    <row r="509" spans="2:4" ht="15.75" customHeight="1" x14ac:dyDescent="0.3">
      <c r="B509" s="152"/>
      <c r="D509" s="39"/>
    </row>
    <row r="510" spans="2:4" ht="15.75" customHeight="1" x14ac:dyDescent="0.3">
      <c r="B510" s="152"/>
      <c r="D510" s="39"/>
    </row>
    <row r="511" spans="2:4" ht="15.75" customHeight="1" x14ac:dyDescent="0.3">
      <c r="B511" s="152"/>
      <c r="D511" s="39"/>
    </row>
    <row r="512" spans="2:4" ht="15.75" customHeight="1" x14ac:dyDescent="0.3">
      <c r="B512" s="152"/>
      <c r="D512" s="39"/>
    </row>
    <row r="513" spans="2:4" ht="15.75" customHeight="1" x14ac:dyDescent="0.3">
      <c r="B513" s="152"/>
      <c r="D513" s="39"/>
    </row>
    <row r="514" spans="2:4" ht="15.75" customHeight="1" x14ac:dyDescent="0.3">
      <c r="B514" s="152"/>
      <c r="D514" s="39"/>
    </row>
    <row r="515" spans="2:4" ht="15.75" customHeight="1" x14ac:dyDescent="0.3">
      <c r="B515" s="152"/>
      <c r="D515" s="39"/>
    </row>
    <row r="516" spans="2:4" ht="15.75" customHeight="1" x14ac:dyDescent="0.3">
      <c r="B516" s="152"/>
      <c r="D516" s="39"/>
    </row>
    <row r="517" spans="2:4" ht="15.75" customHeight="1" x14ac:dyDescent="0.3">
      <c r="B517" s="152"/>
      <c r="D517" s="39"/>
    </row>
    <row r="518" spans="2:4" ht="15.75" customHeight="1" x14ac:dyDescent="0.3">
      <c r="B518" s="152"/>
      <c r="D518" s="39"/>
    </row>
    <row r="519" spans="2:4" ht="15.75" customHeight="1" x14ac:dyDescent="0.3">
      <c r="B519" s="152"/>
      <c r="D519" s="39"/>
    </row>
    <row r="520" spans="2:4" ht="15.75" customHeight="1" x14ac:dyDescent="0.3">
      <c r="B520" s="152"/>
      <c r="D520" s="39"/>
    </row>
    <row r="521" spans="2:4" ht="15.75" customHeight="1" x14ac:dyDescent="0.3">
      <c r="B521" s="152"/>
      <c r="D521" s="39"/>
    </row>
    <row r="522" spans="2:4" ht="15.75" customHeight="1" x14ac:dyDescent="0.3">
      <c r="B522" s="152"/>
      <c r="D522" s="39"/>
    </row>
    <row r="523" spans="2:4" ht="15.75" customHeight="1" x14ac:dyDescent="0.3">
      <c r="B523" s="152"/>
      <c r="D523" s="39"/>
    </row>
    <row r="524" spans="2:4" ht="15.75" customHeight="1" x14ac:dyDescent="0.3">
      <c r="B524" s="152"/>
      <c r="D524" s="39"/>
    </row>
    <row r="525" spans="2:4" ht="15.75" customHeight="1" x14ac:dyDescent="0.3">
      <c r="B525" s="152"/>
      <c r="D525" s="39"/>
    </row>
    <row r="526" spans="2:4" ht="15.75" customHeight="1" x14ac:dyDescent="0.3">
      <c r="B526" s="152"/>
      <c r="D526" s="39"/>
    </row>
    <row r="527" spans="2:4" ht="15.75" customHeight="1" x14ac:dyDescent="0.3">
      <c r="B527" s="152"/>
      <c r="D527" s="39"/>
    </row>
    <row r="528" spans="2:4" ht="15.75" customHeight="1" x14ac:dyDescent="0.3">
      <c r="B528" s="152"/>
      <c r="D528" s="39"/>
    </row>
    <row r="529" spans="2:4" ht="15.75" customHeight="1" x14ac:dyDescent="0.3">
      <c r="B529" s="152"/>
      <c r="D529" s="39"/>
    </row>
    <row r="530" spans="2:4" ht="15.75" customHeight="1" x14ac:dyDescent="0.3">
      <c r="B530" s="152"/>
      <c r="D530" s="39"/>
    </row>
    <row r="531" spans="2:4" ht="15.75" customHeight="1" x14ac:dyDescent="0.3">
      <c r="B531" s="152"/>
      <c r="D531" s="39"/>
    </row>
    <row r="532" spans="2:4" ht="15.75" customHeight="1" x14ac:dyDescent="0.3">
      <c r="B532" s="152"/>
      <c r="D532" s="39"/>
    </row>
    <row r="533" spans="2:4" ht="15.75" customHeight="1" x14ac:dyDescent="0.3">
      <c r="B533" s="152"/>
      <c r="D533" s="39"/>
    </row>
    <row r="534" spans="2:4" ht="15.75" customHeight="1" x14ac:dyDescent="0.3">
      <c r="B534" s="152"/>
      <c r="D534" s="39"/>
    </row>
    <row r="535" spans="2:4" ht="15.75" customHeight="1" x14ac:dyDescent="0.3">
      <c r="B535" s="152"/>
      <c r="D535" s="39"/>
    </row>
    <row r="536" spans="2:4" ht="15.75" customHeight="1" x14ac:dyDescent="0.3">
      <c r="B536" s="152"/>
      <c r="D536" s="39"/>
    </row>
    <row r="537" spans="2:4" ht="15.75" customHeight="1" x14ac:dyDescent="0.3">
      <c r="B537" s="152"/>
      <c r="D537" s="39"/>
    </row>
    <row r="538" spans="2:4" ht="15.75" customHeight="1" x14ac:dyDescent="0.3">
      <c r="B538" s="152"/>
      <c r="D538" s="39"/>
    </row>
    <row r="539" spans="2:4" ht="15.75" customHeight="1" x14ac:dyDescent="0.3">
      <c r="B539" s="152"/>
      <c r="D539" s="39"/>
    </row>
    <row r="540" spans="2:4" ht="15.75" customHeight="1" x14ac:dyDescent="0.3">
      <c r="B540" s="152"/>
      <c r="D540" s="39"/>
    </row>
    <row r="541" spans="2:4" ht="15.75" customHeight="1" x14ac:dyDescent="0.3">
      <c r="B541" s="152"/>
      <c r="D541" s="39"/>
    </row>
    <row r="542" spans="2:4" ht="15.75" customHeight="1" x14ac:dyDescent="0.3">
      <c r="B542" s="152"/>
      <c r="D542" s="39"/>
    </row>
    <row r="543" spans="2:4" ht="15.75" customHeight="1" x14ac:dyDescent="0.3">
      <c r="B543" s="152"/>
      <c r="D543" s="39"/>
    </row>
    <row r="544" spans="2:4" ht="15.75" customHeight="1" x14ac:dyDescent="0.3">
      <c r="B544" s="152"/>
      <c r="D544" s="39"/>
    </row>
    <row r="545" spans="2:4" ht="15.75" customHeight="1" x14ac:dyDescent="0.3">
      <c r="B545" s="152"/>
      <c r="D545" s="39"/>
    </row>
    <row r="546" spans="2:4" ht="15.75" customHeight="1" x14ac:dyDescent="0.3">
      <c r="B546" s="152"/>
      <c r="D546" s="39"/>
    </row>
    <row r="547" spans="2:4" ht="15.75" customHeight="1" x14ac:dyDescent="0.3">
      <c r="B547" s="152"/>
      <c r="D547" s="39"/>
    </row>
    <row r="548" spans="2:4" ht="15.75" customHeight="1" x14ac:dyDescent="0.3">
      <c r="B548" s="152"/>
      <c r="D548" s="39"/>
    </row>
    <row r="549" spans="2:4" ht="15.75" customHeight="1" x14ac:dyDescent="0.3">
      <c r="B549" s="152"/>
      <c r="D549" s="39"/>
    </row>
    <row r="550" spans="2:4" ht="15.75" customHeight="1" x14ac:dyDescent="0.3">
      <c r="B550" s="152"/>
      <c r="D550" s="39"/>
    </row>
    <row r="551" spans="2:4" ht="15.75" customHeight="1" x14ac:dyDescent="0.3">
      <c r="B551" s="152"/>
      <c r="D551" s="39"/>
    </row>
    <row r="552" spans="2:4" ht="15.75" customHeight="1" x14ac:dyDescent="0.3">
      <c r="B552" s="152"/>
      <c r="D552" s="39"/>
    </row>
    <row r="553" spans="2:4" ht="15.75" customHeight="1" x14ac:dyDescent="0.3">
      <c r="B553" s="152"/>
      <c r="D553" s="39"/>
    </row>
    <row r="554" spans="2:4" ht="15.75" customHeight="1" x14ac:dyDescent="0.3">
      <c r="B554" s="152"/>
      <c r="D554" s="39"/>
    </row>
    <row r="555" spans="2:4" ht="15.75" customHeight="1" x14ac:dyDescent="0.3">
      <c r="B555" s="152"/>
      <c r="D555" s="39"/>
    </row>
    <row r="556" spans="2:4" ht="15.75" customHeight="1" x14ac:dyDescent="0.3">
      <c r="B556" s="152"/>
      <c r="D556" s="39"/>
    </row>
    <row r="557" spans="2:4" ht="15.75" customHeight="1" x14ac:dyDescent="0.3">
      <c r="B557" s="152"/>
      <c r="D557" s="39"/>
    </row>
    <row r="558" spans="2:4" ht="15.75" customHeight="1" x14ac:dyDescent="0.3">
      <c r="B558" s="152"/>
      <c r="D558" s="39"/>
    </row>
    <row r="559" spans="2:4" ht="15.75" customHeight="1" x14ac:dyDescent="0.3">
      <c r="B559" s="152"/>
      <c r="D559" s="39"/>
    </row>
    <row r="560" spans="2:4" ht="15.75" customHeight="1" x14ac:dyDescent="0.3">
      <c r="B560" s="152"/>
      <c r="D560" s="39"/>
    </row>
    <row r="561" spans="2:4" ht="15.75" customHeight="1" x14ac:dyDescent="0.3">
      <c r="B561" s="152"/>
      <c r="D561" s="39"/>
    </row>
    <row r="562" spans="2:4" ht="15.75" customHeight="1" x14ac:dyDescent="0.3">
      <c r="B562" s="152"/>
      <c r="D562" s="39"/>
    </row>
    <row r="563" spans="2:4" ht="15.75" customHeight="1" x14ac:dyDescent="0.3">
      <c r="B563" s="152"/>
      <c r="D563" s="39"/>
    </row>
    <row r="564" spans="2:4" ht="15.75" customHeight="1" x14ac:dyDescent="0.3">
      <c r="B564" s="152"/>
      <c r="D564" s="39"/>
    </row>
    <row r="565" spans="2:4" ht="15.75" customHeight="1" x14ac:dyDescent="0.3">
      <c r="B565" s="152"/>
      <c r="D565" s="39"/>
    </row>
    <row r="566" spans="2:4" ht="15.75" customHeight="1" x14ac:dyDescent="0.3">
      <c r="B566" s="152"/>
      <c r="D566" s="39"/>
    </row>
    <row r="567" spans="2:4" ht="15.75" customHeight="1" x14ac:dyDescent="0.3">
      <c r="B567" s="152"/>
      <c r="D567" s="39"/>
    </row>
    <row r="568" spans="2:4" ht="15.75" customHeight="1" x14ac:dyDescent="0.3">
      <c r="B568" s="152"/>
      <c r="D568" s="39"/>
    </row>
    <row r="569" spans="2:4" ht="15.75" customHeight="1" x14ac:dyDescent="0.3">
      <c r="B569" s="152"/>
      <c r="D569" s="39"/>
    </row>
    <row r="570" spans="2:4" ht="15.75" customHeight="1" x14ac:dyDescent="0.3">
      <c r="B570" s="152"/>
      <c r="D570" s="39"/>
    </row>
    <row r="571" spans="2:4" ht="15.75" customHeight="1" x14ac:dyDescent="0.3">
      <c r="B571" s="152"/>
      <c r="D571" s="39"/>
    </row>
    <row r="572" spans="2:4" ht="15.75" customHeight="1" x14ac:dyDescent="0.3">
      <c r="B572" s="152"/>
      <c r="D572" s="39"/>
    </row>
    <row r="573" spans="2:4" ht="15.75" customHeight="1" x14ac:dyDescent="0.3">
      <c r="B573" s="152"/>
      <c r="D573" s="39"/>
    </row>
    <row r="574" spans="2:4" ht="15.75" customHeight="1" x14ac:dyDescent="0.3">
      <c r="B574" s="152"/>
      <c r="D574" s="39"/>
    </row>
    <row r="575" spans="2:4" ht="15.75" customHeight="1" x14ac:dyDescent="0.3">
      <c r="B575" s="152"/>
      <c r="D575" s="39"/>
    </row>
    <row r="576" spans="2:4" ht="15.75" customHeight="1" x14ac:dyDescent="0.3">
      <c r="B576" s="152"/>
      <c r="D576" s="39"/>
    </row>
    <row r="577" spans="2:4" ht="15.75" customHeight="1" x14ac:dyDescent="0.3">
      <c r="B577" s="152"/>
      <c r="D577" s="39"/>
    </row>
    <row r="578" spans="2:4" ht="15.75" customHeight="1" x14ac:dyDescent="0.3">
      <c r="B578" s="152"/>
      <c r="D578" s="39"/>
    </row>
    <row r="579" spans="2:4" ht="15.75" customHeight="1" x14ac:dyDescent="0.3">
      <c r="B579" s="152"/>
      <c r="D579" s="39"/>
    </row>
    <row r="580" spans="2:4" ht="15.75" customHeight="1" x14ac:dyDescent="0.3">
      <c r="B580" s="152"/>
      <c r="D580" s="39"/>
    </row>
    <row r="581" spans="2:4" ht="15.75" customHeight="1" x14ac:dyDescent="0.3">
      <c r="B581" s="152"/>
      <c r="D581" s="39"/>
    </row>
    <row r="582" spans="2:4" ht="15.75" customHeight="1" x14ac:dyDescent="0.3">
      <c r="B582" s="152"/>
      <c r="D582" s="39"/>
    </row>
    <row r="583" spans="2:4" ht="15.75" customHeight="1" x14ac:dyDescent="0.3">
      <c r="B583" s="152"/>
      <c r="D583" s="39"/>
    </row>
    <row r="584" spans="2:4" ht="15.75" customHeight="1" x14ac:dyDescent="0.3">
      <c r="B584" s="152"/>
      <c r="D584" s="39"/>
    </row>
    <row r="585" spans="2:4" ht="15.75" customHeight="1" x14ac:dyDescent="0.3">
      <c r="B585" s="152"/>
      <c r="D585" s="39"/>
    </row>
    <row r="586" spans="2:4" ht="15.75" customHeight="1" x14ac:dyDescent="0.3">
      <c r="B586" s="152"/>
      <c r="D586" s="39"/>
    </row>
    <row r="587" spans="2:4" ht="15.75" customHeight="1" x14ac:dyDescent="0.3">
      <c r="B587" s="152"/>
      <c r="D587" s="39"/>
    </row>
    <row r="588" spans="2:4" ht="15.75" customHeight="1" x14ac:dyDescent="0.3">
      <c r="B588" s="152"/>
      <c r="D588" s="39"/>
    </row>
    <row r="589" spans="2:4" ht="15.75" customHeight="1" x14ac:dyDescent="0.3">
      <c r="B589" s="152"/>
      <c r="D589" s="39"/>
    </row>
    <row r="590" spans="2:4" ht="15.75" customHeight="1" x14ac:dyDescent="0.3">
      <c r="B590" s="152"/>
      <c r="D590" s="39"/>
    </row>
    <row r="591" spans="2:4" ht="15.75" customHeight="1" x14ac:dyDescent="0.3">
      <c r="B591" s="152"/>
      <c r="D591" s="39"/>
    </row>
    <row r="592" spans="2:4" ht="15.75" customHeight="1" x14ac:dyDescent="0.3">
      <c r="B592" s="152"/>
      <c r="D592" s="39"/>
    </row>
    <row r="593" spans="2:4" ht="15.75" customHeight="1" x14ac:dyDescent="0.3">
      <c r="B593" s="152"/>
      <c r="D593" s="39"/>
    </row>
    <row r="594" spans="2:4" ht="15.75" customHeight="1" x14ac:dyDescent="0.3">
      <c r="B594" s="152"/>
      <c r="D594" s="39"/>
    </row>
    <row r="595" spans="2:4" ht="15.75" customHeight="1" x14ac:dyDescent="0.3">
      <c r="B595" s="152"/>
      <c r="D595" s="39"/>
    </row>
    <row r="596" spans="2:4" ht="15.75" customHeight="1" x14ac:dyDescent="0.3">
      <c r="B596" s="152"/>
      <c r="D596" s="39"/>
    </row>
    <row r="597" spans="2:4" ht="15.75" customHeight="1" x14ac:dyDescent="0.3">
      <c r="B597" s="152"/>
      <c r="D597" s="39"/>
    </row>
    <row r="598" spans="2:4" ht="15.75" customHeight="1" x14ac:dyDescent="0.3">
      <c r="B598" s="152"/>
      <c r="D598" s="39"/>
    </row>
    <row r="599" spans="2:4" ht="15.75" customHeight="1" x14ac:dyDescent="0.3">
      <c r="B599" s="152"/>
      <c r="D599" s="39"/>
    </row>
    <row r="600" spans="2:4" ht="15.75" customHeight="1" x14ac:dyDescent="0.3">
      <c r="B600" s="152"/>
      <c r="D600" s="39"/>
    </row>
    <row r="601" spans="2:4" ht="15.75" customHeight="1" x14ac:dyDescent="0.3">
      <c r="B601" s="152"/>
      <c r="D601" s="39"/>
    </row>
    <row r="602" spans="2:4" ht="15.75" customHeight="1" x14ac:dyDescent="0.3">
      <c r="B602" s="152"/>
      <c r="D602" s="39"/>
    </row>
    <row r="603" spans="2:4" ht="15.75" customHeight="1" x14ac:dyDescent="0.3">
      <c r="B603" s="152"/>
      <c r="D603" s="39"/>
    </row>
    <row r="604" spans="2:4" ht="15.75" customHeight="1" x14ac:dyDescent="0.3">
      <c r="B604" s="152"/>
      <c r="D604" s="39"/>
    </row>
    <row r="605" spans="2:4" ht="15.75" customHeight="1" x14ac:dyDescent="0.3">
      <c r="B605" s="152"/>
      <c r="D605" s="39"/>
    </row>
    <row r="606" spans="2:4" ht="15.75" customHeight="1" x14ac:dyDescent="0.3">
      <c r="B606" s="152"/>
      <c r="D606" s="39"/>
    </row>
    <row r="607" spans="2:4" ht="15.75" customHeight="1" x14ac:dyDescent="0.3">
      <c r="B607" s="152"/>
      <c r="D607" s="39"/>
    </row>
    <row r="608" spans="2:4" ht="15.75" customHeight="1" x14ac:dyDescent="0.3">
      <c r="B608" s="152"/>
      <c r="D608" s="39"/>
    </row>
    <row r="609" spans="2:4" ht="15.75" customHeight="1" x14ac:dyDescent="0.3">
      <c r="B609" s="152"/>
      <c r="D609" s="39"/>
    </row>
    <row r="610" spans="2:4" ht="15.75" customHeight="1" x14ac:dyDescent="0.3">
      <c r="B610" s="152"/>
      <c r="D610" s="39"/>
    </row>
    <row r="611" spans="2:4" ht="15.75" customHeight="1" x14ac:dyDescent="0.3">
      <c r="B611" s="152"/>
      <c r="D611" s="39"/>
    </row>
    <row r="612" spans="2:4" ht="15.75" customHeight="1" x14ac:dyDescent="0.3">
      <c r="B612" s="152"/>
      <c r="D612" s="39"/>
    </row>
    <row r="613" spans="2:4" ht="15.75" customHeight="1" x14ac:dyDescent="0.3">
      <c r="B613" s="152"/>
      <c r="D613" s="39"/>
    </row>
    <row r="614" spans="2:4" ht="15.75" customHeight="1" x14ac:dyDescent="0.3">
      <c r="B614" s="152"/>
      <c r="D614" s="39"/>
    </row>
    <row r="615" spans="2:4" ht="15.75" customHeight="1" x14ac:dyDescent="0.3">
      <c r="B615" s="152"/>
      <c r="D615" s="39"/>
    </row>
    <row r="616" spans="2:4" ht="15.75" customHeight="1" x14ac:dyDescent="0.3">
      <c r="B616" s="152"/>
      <c r="D616" s="39"/>
    </row>
    <row r="617" spans="2:4" ht="15.75" customHeight="1" x14ac:dyDescent="0.3">
      <c r="B617" s="152"/>
      <c r="D617" s="39"/>
    </row>
    <row r="618" spans="2:4" ht="15.75" customHeight="1" x14ac:dyDescent="0.3">
      <c r="B618" s="152"/>
      <c r="D618" s="39"/>
    </row>
    <row r="619" spans="2:4" ht="15.75" customHeight="1" x14ac:dyDescent="0.3">
      <c r="B619" s="152"/>
      <c r="D619" s="39"/>
    </row>
    <row r="620" spans="2:4" ht="15.75" customHeight="1" x14ac:dyDescent="0.3">
      <c r="B620" s="152"/>
      <c r="D620" s="39"/>
    </row>
    <row r="621" spans="2:4" ht="15.75" customHeight="1" x14ac:dyDescent="0.3">
      <c r="B621" s="152"/>
      <c r="D621" s="39"/>
    </row>
    <row r="622" spans="2:4" ht="15.75" customHeight="1" x14ac:dyDescent="0.3">
      <c r="B622" s="152"/>
      <c r="D622" s="39"/>
    </row>
    <row r="623" spans="2:4" ht="15.75" customHeight="1" x14ac:dyDescent="0.3">
      <c r="B623" s="152"/>
      <c r="D623" s="39"/>
    </row>
    <row r="624" spans="2:4" ht="15.75" customHeight="1" x14ac:dyDescent="0.3">
      <c r="B624" s="152"/>
      <c r="D624" s="39"/>
    </row>
    <row r="625" spans="2:4" ht="15.75" customHeight="1" x14ac:dyDescent="0.3">
      <c r="B625" s="152"/>
      <c r="D625" s="39"/>
    </row>
    <row r="626" spans="2:4" ht="15.75" customHeight="1" x14ac:dyDescent="0.3">
      <c r="B626" s="152"/>
      <c r="D626" s="39"/>
    </row>
    <row r="627" spans="2:4" ht="15.75" customHeight="1" x14ac:dyDescent="0.3">
      <c r="B627" s="152"/>
      <c r="D627" s="39"/>
    </row>
    <row r="628" spans="2:4" ht="15.75" customHeight="1" x14ac:dyDescent="0.3">
      <c r="B628" s="152"/>
      <c r="D628" s="39"/>
    </row>
    <row r="629" spans="2:4" ht="15.75" customHeight="1" x14ac:dyDescent="0.3">
      <c r="B629" s="152"/>
      <c r="D629" s="39"/>
    </row>
    <row r="630" spans="2:4" ht="15.75" customHeight="1" x14ac:dyDescent="0.3">
      <c r="B630" s="152"/>
      <c r="D630" s="39"/>
    </row>
    <row r="631" spans="2:4" ht="15.75" customHeight="1" x14ac:dyDescent="0.3">
      <c r="B631" s="152"/>
      <c r="D631" s="39"/>
    </row>
    <row r="632" spans="2:4" ht="15.75" customHeight="1" x14ac:dyDescent="0.3">
      <c r="B632" s="152"/>
      <c r="D632" s="39"/>
    </row>
    <row r="633" spans="2:4" ht="15.75" customHeight="1" x14ac:dyDescent="0.3">
      <c r="B633" s="152"/>
      <c r="D633" s="39"/>
    </row>
    <row r="634" spans="2:4" ht="15.75" customHeight="1" x14ac:dyDescent="0.3">
      <c r="B634" s="152"/>
      <c r="D634" s="39"/>
    </row>
    <row r="635" spans="2:4" ht="15.75" customHeight="1" x14ac:dyDescent="0.3">
      <c r="B635" s="152"/>
      <c r="D635" s="39"/>
    </row>
    <row r="636" spans="2:4" ht="15.75" customHeight="1" x14ac:dyDescent="0.3">
      <c r="B636" s="152"/>
      <c r="D636" s="39"/>
    </row>
    <row r="637" spans="2:4" ht="15.75" customHeight="1" x14ac:dyDescent="0.3">
      <c r="B637" s="152"/>
      <c r="D637" s="39"/>
    </row>
    <row r="638" spans="2:4" ht="15.75" customHeight="1" x14ac:dyDescent="0.3">
      <c r="B638" s="152"/>
      <c r="D638" s="39"/>
    </row>
    <row r="639" spans="2:4" ht="15.75" customHeight="1" x14ac:dyDescent="0.3">
      <c r="B639" s="152"/>
      <c r="D639" s="39"/>
    </row>
    <row r="640" spans="2:4" ht="15.75" customHeight="1" x14ac:dyDescent="0.3">
      <c r="B640" s="152"/>
      <c r="D640" s="39"/>
    </row>
    <row r="641" spans="2:4" ht="15.75" customHeight="1" x14ac:dyDescent="0.3">
      <c r="B641" s="152"/>
      <c r="D641" s="39"/>
    </row>
    <row r="642" spans="2:4" ht="15.75" customHeight="1" x14ac:dyDescent="0.3">
      <c r="B642" s="152"/>
      <c r="D642" s="39"/>
    </row>
    <row r="643" spans="2:4" ht="15.75" customHeight="1" x14ac:dyDescent="0.3">
      <c r="B643" s="152"/>
      <c r="D643" s="39"/>
    </row>
    <row r="644" spans="2:4" ht="15.75" customHeight="1" x14ac:dyDescent="0.3">
      <c r="B644" s="152"/>
      <c r="D644" s="39"/>
    </row>
    <row r="645" spans="2:4" ht="15.75" customHeight="1" x14ac:dyDescent="0.3">
      <c r="B645" s="152"/>
      <c r="D645" s="39"/>
    </row>
    <row r="646" spans="2:4" ht="15.75" customHeight="1" x14ac:dyDescent="0.3">
      <c r="B646" s="152"/>
      <c r="D646" s="39"/>
    </row>
    <row r="647" spans="2:4" ht="15.75" customHeight="1" x14ac:dyDescent="0.3">
      <c r="B647" s="152"/>
      <c r="D647" s="39"/>
    </row>
    <row r="648" spans="2:4" ht="15.75" customHeight="1" x14ac:dyDescent="0.3">
      <c r="B648" s="152"/>
      <c r="D648" s="39"/>
    </row>
    <row r="649" spans="2:4" ht="15.75" customHeight="1" x14ac:dyDescent="0.3">
      <c r="B649" s="152"/>
      <c r="D649" s="39"/>
    </row>
    <row r="650" spans="2:4" ht="15.75" customHeight="1" x14ac:dyDescent="0.3">
      <c r="B650" s="152"/>
      <c r="D650" s="39"/>
    </row>
    <row r="651" spans="2:4" ht="15.75" customHeight="1" x14ac:dyDescent="0.3">
      <c r="B651" s="152"/>
      <c r="D651" s="39"/>
    </row>
    <row r="652" spans="2:4" ht="15.75" customHeight="1" x14ac:dyDescent="0.3">
      <c r="B652" s="152"/>
      <c r="D652" s="39"/>
    </row>
    <row r="653" spans="2:4" ht="15.75" customHeight="1" x14ac:dyDescent="0.3">
      <c r="B653" s="152"/>
      <c r="D653" s="39"/>
    </row>
    <row r="654" spans="2:4" ht="15.75" customHeight="1" x14ac:dyDescent="0.3">
      <c r="B654" s="152"/>
      <c r="D654" s="39"/>
    </row>
    <row r="655" spans="2:4" ht="15.75" customHeight="1" x14ac:dyDescent="0.3">
      <c r="B655" s="152"/>
      <c r="D655" s="39"/>
    </row>
    <row r="656" spans="2:4" ht="15.75" customHeight="1" x14ac:dyDescent="0.3">
      <c r="B656" s="152"/>
      <c r="D656" s="39"/>
    </row>
    <row r="657" spans="2:4" ht="15.75" customHeight="1" x14ac:dyDescent="0.3">
      <c r="B657" s="152"/>
      <c r="D657" s="39"/>
    </row>
    <row r="658" spans="2:4" ht="15.75" customHeight="1" x14ac:dyDescent="0.3">
      <c r="B658" s="152"/>
      <c r="D658" s="39"/>
    </row>
    <row r="659" spans="2:4" ht="15.75" customHeight="1" x14ac:dyDescent="0.3">
      <c r="B659" s="152"/>
      <c r="D659" s="39"/>
    </row>
    <row r="660" spans="2:4" ht="15.75" customHeight="1" x14ac:dyDescent="0.3">
      <c r="B660" s="152"/>
      <c r="D660" s="39"/>
    </row>
    <row r="661" spans="2:4" ht="15.75" customHeight="1" x14ac:dyDescent="0.3">
      <c r="B661" s="152"/>
      <c r="D661" s="39"/>
    </row>
    <row r="662" spans="2:4" ht="15.75" customHeight="1" x14ac:dyDescent="0.3">
      <c r="B662" s="152"/>
      <c r="D662" s="39"/>
    </row>
    <row r="663" spans="2:4" ht="15.75" customHeight="1" x14ac:dyDescent="0.3">
      <c r="B663" s="152"/>
      <c r="D663" s="39"/>
    </row>
    <row r="664" spans="2:4" ht="15.75" customHeight="1" x14ac:dyDescent="0.3">
      <c r="B664" s="152"/>
      <c r="D664" s="39"/>
    </row>
    <row r="665" spans="2:4" ht="15.75" customHeight="1" x14ac:dyDescent="0.3">
      <c r="B665" s="152"/>
      <c r="D665" s="39"/>
    </row>
    <row r="666" spans="2:4" ht="15.75" customHeight="1" x14ac:dyDescent="0.3">
      <c r="B666" s="152"/>
      <c r="D666" s="39"/>
    </row>
    <row r="667" spans="2:4" ht="15.75" customHeight="1" x14ac:dyDescent="0.3">
      <c r="B667" s="152"/>
      <c r="D667" s="39"/>
    </row>
    <row r="668" spans="2:4" ht="15.75" customHeight="1" x14ac:dyDescent="0.3">
      <c r="B668" s="152"/>
      <c r="D668" s="39"/>
    </row>
    <row r="669" spans="2:4" ht="15.75" customHeight="1" x14ac:dyDescent="0.3">
      <c r="B669" s="152"/>
      <c r="D669" s="39"/>
    </row>
    <row r="670" spans="2:4" ht="15.75" customHeight="1" x14ac:dyDescent="0.3">
      <c r="B670" s="152"/>
      <c r="D670" s="39"/>
    </row>
    <row r="671" spans="2:4" ht="15.75" customHeight="1" x14ac:dyDescent="0.3">
      <c r="B671" s="152"/>
      <c r="D671" s="39"/>
    </row>
    <row r="672" spans="2:4" ht="15.75" customHeight="1" x14ac:dyDescent="0.3">
      <c r="B672" s="152"/>
      <c r="D672" s="39"/>
    </row>
    <row r="673" spans="2:4" ht="15.75" customHeight="1" x14ac:dyDescent="0.3">
      <c r="B673" s="152"/>
      <c r="D673" s="39"/>
    </row>
    <row r="674" spans="2:4" ht="15.75" customHeight="1" x14ac:dyDescent="0.3">
      <c r="B674" s="152"/>
      <c r="D674" s="39"/>
    </row>
    <row r="675" spans="2:4" ht="15.75" customHeight="1" x14ac:dyDescent="0.3">
      <c r="B675" s="152"/>
      <c r="D675" s="39"/>
    </row>
    <row r="676" spans="2:4" ht="15.75" customHeight="1" x14ac:dyDescent="0.3">
      <c r="B676" s="152"/>
      <c r="D676" s="39"/>
    </row>
    <row r="677" spans="2:4" ht="15.75" customHeight="1" x14ac:dyDescent="0.3">
      <c r="B677" s="152"/>
      <c r="D677" s="39"/>
    </row>
    <row r="678" spans="2:4" ht="15.75" customHeight="1" x14ac:dyDescent="0.3">
      <c r="B678" s="152"/>
      <c r="D678" s="39"/>
    </row>
    <row r="679" spans="2:4" ht="15.75" customHeight="1" x14ac:dyDescent="0.3">
      <c r="B679" s="152"/>
      <c r="D679" s="39"/>
    </row>
    <row r="680" spans="2:4" ht="15.75" customHeight="1" x14ac:dyDescent="0.3">
      <c r="B680" s="152"/>
      <c r="D680" s="39"/>
    </row>
    <row r="681" spans="2:4" ht="15.75" customHeight="1" x14ac:dyDescent="0.3">
      <c r="B681" s="152"/>
      <c r="D681" s="39"/>
    </row>
    <row r="682" spans="2:4" ht="15.75" customHeight="1" x14ac:dyDescent="0.3">
      <c r="B682" s="152"/>
      <c r="D682" s="39"/>
    </row>
    <row r="683" spans="2:4" ht="15.75" customHeight="1" x14ac:dyDescent="0.3">
      <c r="B683" s="152"/>
      <c r="D683" s="39"/>
    </row>
    <row r="684" spans="2:4" ht="15.75" customHeight="1" x14ac:dyDescent="0.3">
      <c r="B684" s="152"/>
      <c r="D684" s="39"/>
    </row>
    <row r="685" spans="2:4" ht="15.75" customHeight="1" x14ac:dyDescent="0.3">
      <c r="B685" s="152"/>
      <c r="D685" s="39"/>
    </row>
    <row r="686" spans="2:4" ht="15.75" customHeight="1" x14ac:dyDescent="0.3">
      <c r="B686" s="152"/>
      <c r="D686" s="39"/>
    </row>
    <row r="687" spans="2:4" ht="15.75" customHeight="1" x14ac:dyDescent="0.3">
      <c r="B687" s="152"/>
      <c r="D687" s="39"/>
    </row>
    <row r="688" spans="2:4" ht="15.75" customHeight="1" x14ac:dyDescent="0.3">
      <c r="B688" s="152"/>
      <c r="D688" s="39"/>
    </row>
    <row r="689" spans="2:4" ht="15.75" customHeight="1" x14ac:dyDescent="0.3">
      <c r="B689" s="152"/>
      <c r="D689" s="39"/>
    </row>
    <row r="690" spans="2:4" ht="15.75" customHeight="1" x14ac:dyDescent="0.3">
      <c r="B690" s="152"/>
      <c r="D690" s="39"/>
    </row>
    <row r="691" spans="2:4" ht="15.75" customHeight="1" x14ac:dyDescent="0.3">
      <c r="B691" s="152"/>
      <c r="D691" s="39"/>
    </row>
    <row r="692" spans="2:4" ht="15.75" customHeight="1" x14ac:dyDescent="0.3">
      <c r="B692" s="152"/>
      <c r="D692" s="39"/>
    </row>
    <row r="693" spans="2:4" ht="15.75" customHeight="1" x14ac:dyDescent="0.3">
      <c r="B693" s="152"/>
      <c r="D693" s="39"/>
    </row>
    <row r="694" spans="2:4" ht="15.75" customHeight="1" x14ac:dyDescent="0.3">
      <c r="B694" s="152"/>
      <c r="D694" s="39"/>
    </row>
    <row r="695" spans="2:4" ht="15.75" customHeight="1" x14ac:dyDescent="0.3">
      <c r="B695" s="152"/>
      <c r="D695" s="39"/>
    </row>
    <row r="696" spans="2:4" ht="15.75" customHeight="1" x14ac:dyDescent="0.3">
      <c r="B696" s="152"/>
      <c r="D696" s="39"/>
    </row>
    <row r="697" spans="2:4" ht="15.75" customHeight="1" x14ac:dyDescent="0.3">
      <c r="B697" s="152"/>
      <c r="D697" s="39"/>
    </row>
    <row r="698" spans="2:4" ht="15.75" customHeight="1" x14ac:dyDescent="0.3">
      <c r="B698" s="152"/>
      <c r="D698" s="39"/>
    </row>
    <row r="699" spans="2:4" ht="15.75" customHeight="1" x14ac:dyDescent="0.3">
      <c r="B699" s="152"/>
      <c r="D699" s="39"/>
    </row>
    <row r="700" spans="2:4" ht="15.75" customHeight="1" x14ac:dyDescent="0.3">
      <c r="B700" s="152"/>
      <c r="D700" s="39"/>
    </row>
    <row r="701" spans="2:4" ht="15.75" customHeight="1" x14ac:dyDescent="0.3">
      <c r="B701" s="152"/>
      <c r="D701" s="39"/>
    </row>
    <row r="702" spans="2:4" ht="15.75" customHeight="1" x14ac:dyDescent="0.3">
      <c r="B702" s="152"/>
      <c r="D702" s="39"/>
    </row>
    <row r="703" spans="2:4" ht="15.75" customHeight="1" x14ac:dyDescent="0.3">
      <c r="B703" s="152"/>
      <c r="D703" s="39"/>
    </row>
    <row r="704" spans="2:4" ht="15.75" customHeight="1" x14ac:dyDescent="0.3">
      <c r="B704" s="152"/>
      <c r="D704" s="39"/>
    </row>
    <row r="705" spans="2:4" ht="15.75" customHeight="1" x14ac:dyDescent="0.3">
      <c r="B705" s="152"/>
      <c r="D705" s="39"/>
    </row>
    <row r="706" spans="2:4" ht="15.75" customHeight="1" x14ac:dyDescent="0.3">
      <c r="B706" s="152"/>
      <c r="D706" s="39"/>
    </row>
    <row r="707" spans="2:4" ht="15.75" customHeight="1" x14ac:dyDescent="0.3">
      <c r="B707" s="152"/>
      <c r="D707" s="39"/>
    </row>
    <row r="708" spans="2:4" ht="15.75" customHeight="1" x14ac:dyDescent="0.3">
      <c r="B708" s="152"/>
      <c r="D708" s="39"/>
    </row>
    <row r="709" spans="2:4" ht="15.75" customHeight="1" x14ac:dyDescent="0.3">
      <c r="B709" s="152"/>
      <c r="D709" s="39"/>
    </row>
    <row r="710" spans="2:4" ht="15.75" customHeight="1" x14ac:dyDescent="0.3">
      <c r="B710" s="152"/>
      <c r="D710" s="39"/>
    </row>
    <row r="711" spans="2:4" ht="15.75" customHeight="1" x14ac:dyDescent="0.3">
      <c r="B711" s="152"/>
      <c r="D711" s="39"/>
    </row>
    <row r="712" spans="2:4" ht="15.75" customHeight="1" x14ac:dyDescent="0.3">
      <c r="B712" s="152"/>
      <c r="D712" s="39"/>
    </row>
    <row r="713" spans="2:4" ht="15.75" customHeight="1" x14ac:dyDescent="0.3">
      <c r="B713" s="152"/>
      <c r="D713" s="39"/>
    </row>
    <row r="714" spans="2:4" ht="15.75" customHeight="1" x14ac:dyDescent="0.3">
      <c r="B714" s="152"/>
      <c r="D714" s="39"/>
    </row>
    <row r="715" spans="2:4" ht="15.75" customHeight="1" x14ac:dyDescent="0.3">
      <c r="B715" s="152"/>
      <c r="D715" s="39"/>
    </row>
    <row r="716" spans="2:4" ht="15.75" customHeight="1" x14ac:dyDescent="0.3">
      <c r="B716" s="152"/>
      <c r="D716" s="39"/>
    </row>
    <row r="717" spans="2:4" ht="15.75" customHeight="1" x14ac:dyDescent="0.3">
      <c r="B717" s="152"/>
      <c r="D717" s="39"/>
    </row>
    <row r="718" spans="2:4" ht="15.75" customHeight="1" x14ac:dyDescent="0.3">
      <c r="B718" s="152"/>
      <c r="D718" s="39"/>
    </row>
    <row r="719" spans="2:4" ht="15.75" customHeight="1" x14ac:dyDescent="0.3">
      <c r="B719" s="152"/>
      <c r="D719" s="39"/>
    </row>
    <row r="720" spans="2:4" ht="15.75" customHeight="1" x14ac:dyDescent="0.3">
      <c r="B720" s="152"/>
      <c r="D720" s="39"/>
    </row>
    <row r="721" spans="2:4" ht="15.75" customHeight="1" x14ac:dyDescent="0.3">
      <c r="B721" s="152"/>
      <c r="D721" s="39"/>
    </row>
    <row r="722" spans="2:4" ht="15.75" customHeight="1" x14ac:dyDescent="0.3">
      <c r="B722" s="152"/>
      <c r="D722" s="39"/>
    </row>
    <row r="723" spans="2:4" ht="15.75" customHeight="1" x14ac:dyDescent="0.3">
      <c r="B723" s="152"/>
      <c r="D723" s="39"/>
    </row>
    <row r="724" spans="2:4" ht="15.75" customHeight="1" x14ac:dyDescent="0.3">
      <c r="B724" s="152"/>
      <c r="D724" s="39"/>
    </row>
    <row r="725" spans="2:4" ht="15.75" customHeight="1" x14ac:dyDescent="0.3">
      <c r="B725" s="152"/>
      <c r="D725" s="39"/>
    </row>
    <row r="726" spans="2:4" ht="15.75" customHeight="1" x14ac:dyDescent="0.3">
      <c r="B726" s="152"/>
      <c r="D726" s="39"/>
    </row>
    <row r="727" spans="2:4" ht="15.75" customHeight="1" x14ac:dyDescent="0.3">
      <c r="B727" s="152"/>
      <c r="D727" s="39"/>
    </row>
    <row r="728" spans="2:4" ht="15.75" customHeight="1" x14ac:dyDescent="0.3">
      <c r="B728" s="152"/>
      <c r="D728" s="39"/>
    </row>
    <row r="729" spans="2:4" ht="15.75" customHeight="1" x14ac:dyDescent="0.3">
      <c r="B729" s="152"/>
      <c r="D729" s="39"/>
    </row>
    <row r="730" spans="2:4" ht="15.75" customHeight="1" x14ac:dyDescent="0.3">
      <c r="B730" s="152"/>
      <c r="D730" s="39"/>
    </row>
    <row r="731" spans="2:4" ht="15.75" customHeight="1" x14ac:dyDescent="0.3">
      <c r="B731" s="152"/>
      <c r="D731" s="39"/>
    </row>
    <row r="732" spans="2:4" ht="15.75" customHeight="1" x14ac:dyDescent="0.3">
      <c r="B732" s="152"/>
      <c r="D732" s="39"/>
    </row>
    <row r="733" spans="2:4" ht="15.75" customHeight="1" x14ac:dyDescent="0.3">
      <c r="B733" s="152"/>
      <c r="D733" s="39"/>
    </row>
    <row r="734" spans="2:4" ht="15.75" customHeight="1" x14ac:dyDescent="0.3">
      <c r="B734" s="152"/>
      <c r="D734" s="39"/>
    </row>
    <row r="735" spans="2:4" ht="15.75" customHeight="1" x14ac:dyDescent="0.3">
      <c r="B735" s="152"/>
      <c r="D735" s="39"/>
    </row>
    <row r="736" spans="2:4" ht="15.75" customHeight="1" x14ac:dyDescent="0.3">
      <c r="B736" s="152"/>
      <c r="D736" s="39"/>
    </row>
    <row r="737" spans="2:4" ht="15.75" customHeight="1" x14ac:dyDescent="0.3">
      <c r="B737" s="152"/>
      <c r="D737" s="39"/>
    </row>
    <row r="738" spans="2:4" ht="15.75" customHeight="1" x14ac:dyDescent="0.3">
      <c r="B738" s="152"/>
      <c r="D738" s="39"/>
    </row>
    <row r="739" spans="2:4" ht="15.75" customHeight="1" x14ac:dyDescent="0.3">
      <c r="B739" s="152"/>
      <c r="D739" s="39"/>
    </row>
    <row r="740" spans="2:4" ht="15.75" customHeight="1" x14ac:dyDescent="0.3">
      <c r="B740" s="152"/>
      <c r="D740" s="39"/>
    </row>
    <row r="741" spans="2:4" ht="15.75" customHeight="1" x14ac:dyDescent="0.3">
      <c r="B741" s="152"/>
      <c r="D741" s="39"/>
    </row>
    <row r="742" spans="2:4" ht="15.75" customHeight="1" x14ac:dyDescent="0.3">
      <c r="B742" s="152"/>
      <c r="D742" s="39"/>
    </row>
    <row r="743" spans="2:4" ht="15.75" customHeight="1" x14ac:dyDescent="0.3">
      <c r="B743" s="152"/>
      <c r="D743" s="39"/>
    </row>
    <row r="744" spans="2:4" ht="15.75" customHeight="1" x14ac:dyDescent="0.3">
      <c r="B744" s="152"/>
      <c r="D744" s="39"/>
    </row>
    <row r="745" spans="2:4" ht="15.75" customHeight="1" x14ac:dyDescent="0.3">
      <c r="B745" s="152"/>
      <c r="D745" s="39"/>
    </row>
    <row r="746" spans="2:4" ht="15.75" customHeight="1" x14ac:dyDescent="0.3">
      <c r="B746" s="152"/>
      <c r="D746" s="39"/>
    </row>
    <row r="747" spans="2:4" ht="15.75" customHeight="1" x14ac:dyDescent="0.3">
      <c r="B747" s="152"/>
      <c r="D747" s="39"/>
    </row>
    <row r="748" spans="2:4" ht="15.75" customHeight="1" x14ac:dyDescent="0.3">
      <c r="B748" s="152"/>
      <c r="D748" s="39"/>
    </row>
    <row r="749" spans="2:4" ht="15.75" customHeight="1" x14ac:dyDescent="0.3">
      <c r="B749" s="152"/>
      <c r="D749" s="39"/>
    </row>
    <row r="750" spans="2:4" ht="15.75" customHeight="1" x14ac:dyDescent="0.3">
      <c r="B750" s="152"/>
      <c r="D750" s="39"/>
    </row>
    <row r="751" spans="2:4" ht="15.75" customHeight="1" x14ac:dyDescent="0.3">
      <c r="B751" s="152"/>
      <c r="D751" s="39"/>
    </row>
    <row r="752" spans="2:4" ht="15.75" customHeight="1" x14ac:dyDescent="0.3">
      <c r="B752" s="152"/>
      <c r="D752" s="39"/>
    </row>
    <row r="753" spans="2:4" ht="15.75" customHeight="1" x14ac:dyDescent="0.3">
      <c r="B753" s="152"/>
      <c r="D753" s="39"/>
    </row>
    <row r="754" spans="2:4" ht="15.75" customHeight="1" x14ac:dyDescent="0.3">
      <c r="B754" s="152"/>
      <c r="D754" s="39"/>
    </row>
    <row r="755" spans="2:4" ht="15.75" customHeight="1" x14ac:dyDescent="0.3">
      <c r="B755" s="152"/>
      <c r="D755" s="39"/>
    </row>
    <row r="756" spans="2:4" ht="15.75" customHeight="1" x14ac:dyDescent="0.3">
      <c r="B756" s="152"/>
      <c r="D756" s="39"/>
    </row>
    <row r="757" spans="2:4" ht="15.75" customHeight="1" x14ac:dyDescent="0.3">
      <c r="B757" s="152"/>
      <c r="D757" s="39"/>
    </row>
    <row r="758" spans="2:4" ht="15.75" customHeight="1" x14ac:dyDescent="0.3">
      <c r="B758" s="152"/>
      <c r="D758" s="39"/>
    </row>
    <row r="759" spans="2:4" ht="15.75" customHeight="1" x14ac:dyDescent="0.3">
      <c r="B759" s="152"/>
      <c r="D759" s="39"/>
    </row>
    <row r="760" spans="2:4" ht="15.75" customHeight="1" x14ac:dyDescent="0.3">
      <c r="B760" s="152"/>
      <c r="D760" s="39"/>
    </row>
    <row r="761" spans="2:4" ht="15.75" customHeight="1" x14ac:dyDescent="0.3">
      <c r="B761" s="152"/>
      <c r="D761" s="39"/>
    </row>
    <row r="762" spans="2:4" ht="15.75" customHeight="1" x14ac:dyDescent="0.3">
      <c r="B762" s="152"/>
      <c r="D762" s="39"/>
    </row>
    <row r="763" spans="2:4" ht="15.75" customHeight="1" x14ac:dyDescent="0.3">
      <c r="B763" s="152"/>
      <c r="D763" s="39"/>
    </row>
    <row r="764" spans="2:4" ht="15.75" customHeight="1" x14ac:dyDescent="0.3">
      <c r="B764" s="152"/>
      <c r="D764" s="39"/>
    </row>
    <row r="765" spans="2:4" ht="15.75" customHeight="1" x14ac:dyDescent="0.3">
      <c r="B765" s="152"/>
      <c r="D765" s="39"/>
    </row>
    <row r="766" spans="2:4" ht="15.75" customHeight="1" x14ac:dyDescent="0.3">
      <c r="B766" s="152"/>
      <c r="D766" s="39"/>
    </row>
    <row r="767" spans="2:4" ht="15.75" customHeight="1" x14ac:dyDescent="0.3">
      <c r="B767" s="152"/>
      <c r="D767" s="39"/>
    </row>
    <row r="768" spans="2:4" ht="15.75" customHeight="1" x14ac:dyDescent="0.3">
      <c r="B768" s="152"/>
      <c r="D768" s="39"/>
    </row>
    <row r="769" spans="2:4" ht="15.75" customHeight="1" x14ac:dyDescent="0.3">
      <c r="B769" s="152"/>
      <c r="D769" s="39"/>
    </row>
    <row r="770" spans="2:4" ht="15.75" customHeight="1" x14ac:dyDescent="0.3">
      <c r="B770" s="152"/>
      <c r="D770" s="39"/>
    </row>
    <row r="771" spans="2:4" ht="15.75" customHeight="1" x14ac:dyDescent="0.3">
      <c r="B771" s="152"/>
      <c r="D771" s="39"/>
    </row>
    <row r="772" spans="2:4" ht="15.75" customHeight="1" x14ac:dyDescent="0.3">
      <c r="B772" s="152"/>
      <c r="D772" s="39"/>
    </row>
    <row r="773" spans="2:4" ht="15.75" customHeight="1" x14ac:dyDescent="0.3">
      <c r="B773" s="152"/>
      <c r="D773" s="39"/>
    </row>
    <row r="774" spans="2:4" ht="15.75" customHeight="1" x14ac:dyDescent="0.3">
      <c r="B774" s="152"/>
      <c r="D774" s="39"/>
    </row>
    <row r="775" spans="2:4" ht="15.75" customHeight="1" x14ac:dyDescent="0.3">
      <c r="B775" s="152"/>
      <c r="D775" s="39"/>
    </row>
    <row r="776" spans="2:4" ht="15.75" customHeight="1" x14ac:dyDescent="0.3">
      <c r="B776" s="152"/>
      <c r="D776" s="39"/>
    </row>
    <row r="777" spans="2:4" ht="15.75" customHeight="1" x14ac:dyDescent="0.3">
      <c r="B777" s="152"/>
      <c r="D777" s="39"/>
    </row>
    <row r="778" spans="2:4" ht="15.75" customHeight="1" x14ac:dyDescent="0.3">
      <c r="B778" s="152"/>
      <c r="D778" s="39"/>
    </row>
    <row r="779" spans="2:4" ht="15.75" customHeight="1" x14ac:dyDescent="0.3">
      <c r="B779" s="152"/>
      <c r="D779" s="39"/>
    </row>
    <row r="780" spans="2:4" ht="15.75" customHeight="1" x14ac:dyDescent="0.3">
      <c r="B780" s="152"/>
      <c r="D780" s="39"/>
    </row>
    <row r="781" spans="2:4" ht="15.75" customHeight="1" x14ac:dyDescent="0.3">
      <c r="B781" s="152"/>
      <c r="D781" s="39"/>
    </row>
    <row r="782" spans="2:4" ht="15.75" customHeight="1" x14ac:dyDescent="0.3">
      <c r="B782" s="152"/>
      <c r="D782" s="39"/>
    </row>
    <row r="783" spans="2:4" ht="15.75" customHeight="1" x14ac:dyDescent="0.3">
      <c r="B783" s="152"/>
      <c r="D783" s="39"/>
    </row>
    <row r="784" spans="2:4" ht="15.75" customHeight="1" x14ac:dyDescent="0.3">
      <c r="B784" s="152"/>
      <c r="D784" s="39"/>
    </row>
    <row r="785" spans="2:4" ht="15.75" customHeight="1" x14ac:dyDescent="0.3">
      <c r="B785" s="152"/>
      <c r="D785" s="39"/>
    </row>
    <row r="786" spans="2:4" ht="15.75" customHeight="1" x14ac:dyDescent="0.3">
      <c r="B786" s="152"/>
      <c r="D786" s="39"/>
    </row>
    <row r="787" spans="2:4" ht="15.75" customHeight="1" x14ac:dyDescent="0.3">
      <c r="B787" s="152"/>
      <c r="D787" s="39"/>
    </row>
    <row r="788" spans="2:4" ht="15.75" customHeight="1" x14ac:dyDescent="0.3">
      <c r="B788" s="152"/>
      <c r="D788" s="39"/>
    </row>
    <row r="789" spans="2:4" ht="15.75" customHeight="1" x14ac:dyDescent="0.3">
      <c r="B789" s="152"/>
      <c r="D789" s="39"/>
    </row>
    <row r="790" spans="2:4" ht="15.75" customHeight="1" x14ac:dyDescent="0.3">
      <c r="B790" s="152"/>
      <c r="D790" s="39"/>
    </row>
    <row r="791" spans="2:4" ht="15.75" customHeight="1" x14ac:dyDescent="0.3">
      <c r="B791" s="152"/>
      <c r="D791" s="39"/>
    </row>
    <row r="792" spans="2:4" ht="15.75" customHeight="1" x14ac:dyDescent="0.3">
      <c r="B792" s="152"/>
      <c r="D792" s="39"/>
    </row>
    <row r="793" spans="2:4" ht="15.75" customHeight="1" x14ac:dyDescent="0.3">
      <c r="B793" s="152"/>
      <c r="D793" s="39"/>
    </row>
    <row r="794" spans="2:4" ht="15.75" customHeight="1" x14ac:dyDescent="0.3">
      <c r="B794" s="152"/>
      <c r="D794" s="39"/>
    </row>
    <row r="795" spans="2:4" ht="15.75" customHeight="1" x14ac:dyDescent="0.3">
      <c r="B795" s="152"/>
      <c r="D795" s="39"/>
    </row>
    <row r="796" spans="2:4" ht="15.75" customHeight="1" x14ac:dyDescent="0.3">
      <c r="B796" s="152"/>
      <c r="D796" s="39"/>
    </row>
    <row r="797" spans="2:4" ht="15.75" customHeight="1" x14ac:dyDescent="0.3">
      <c r="B797" s="152"/>
      <c r="D797" s="39"/>
    </row>
    <row r="798" spans="2:4" ht="15.75" customHeight="1" x14ac:dyDescent="0.3">
      <c r="B798" s="152"/>
      <c r="D798" s="39"/>
    </row>
    <row r="799" spans="2:4" ht="15.75" customHeight="1" x14ac:dyDescent="0.3">
      <c r="B799" s="152"/>
      <c r="D799" s="39"/>
    </row>
    <row r="800" spans="2:4" ht="15.75" customHeight="1" x14ac:dyDescent="0.3">
      <c r="B800" s="152"/>
      <c r="D800" s="39"/>
    </row>
    <row r="801" spans="2:4" ht="15.75" customHeight="1" x14ac:dyDescent="0.3">
      <c r="B801" s="152"/>
      <c r="D801" s="39"/>
    </row>
    <row r="802" spans="2:4" ht="15.75" customHeight="1" x14ac:dyDescent="0.3">
      <c r="B802" s="152"/>
      <c r="D802" s="39"/>
    </row>
    <row r="803" spans="2:4" ht="15.75" customHeight="1" x14ac:dyDescent="0.3">
      <c r="B803" s="152"/>
      <c r="D803" s="39"/>
    </row>
    <row r="804" spans="2:4" ht="15.75" customHeight="1" x14ac:dyDescent="0.3">
      <c r="B804" s="152"/>
      <c r="D804" s="39"/>
    </row>
    <row r="805" spans="2:4" ht="15.75" customHeight="1" x14ac:dyDescent="0.3">
      <c r="B805" s="152"/>
      <c r="D805" s="39"/>
    </row>
    <row r="806" spans="2:4" ht="15.75" customHeight="1" x14ac:dyDescent="0.3">
      <c r="B806" s="152"/>
      <c r="D806" s="39"/>
    </row>
    <row r="807" spans="2:4" ht="15.75" customHeight="1" x14ac:dyDescent="0.3">
      <c r="B807" s="152"/>
      <c r="D807" s="39"/>
    </row>
    <row r="808" spans="2:4" ht="15.75" customHeight="1" x14ac:dyDescent="0.3">
      <c r="B808" s="152"/>
      <c r="D808" s="39"/>
    </row>
    <row r="809" spans="2:4" ht="15.75" customHeight="1" x14ac:dyDescent="0.3">
      <c r="B809" s="152"/>
      <c r="D809" s="39"/>
    </row>
    <row r="810" spans="2:4" ht="15.75" customHeight="1" x14ac:dyDescent="0.3">
      <c r="B810" s="152"/>
      <c r="D810" s="39"/>
    </row>
    <row r="811" spans="2:4" ht="15.75" customHeight="1" x14ac:dyDescent="0.3">
      <c r="B811" s="152"/>
      <c r="D811" s="39"/>
    </row>
    <row r="812" spans="2:4" ht="15.75" customHeight="1" x14ac:dyDescent="0.3">
      <c r="B812" s="152"/>
      <c r="D812" s="39"/>
    </row>
    <row r="813" spans="2:4" ht="15.75" customHeight="1" x14ac:dyDescent="0.3">
      <c r="B813" s="152"/>
      <c r="D813" s="39"/>
    </row>
    <row r="814" spans="2:4" ht="15.75" customHeight="1" x14ac:dyDescent="0.3">
      <c r="B814" s="152"/>
      <c r="D814" s="39"/>
    </row>
    <row r="815" spans="2:4" ht="15.75" customHeight="1" x14ac:dyDescent="0.3">
      <c r="B815" s="152"/>
      <c r="D815" s="39"/>
    </row>
    <row r="816" spans="2:4" ht="15.75" customHeight="1" x14ac:dyDescent="0.3">
      <c r="B816" s="152"/>
      <c r="D816" s="39"/>
    </row>
    <row r="817" spans="2:4" ht="15.75" customHeight="1" x14ac:dyDescent="0.3">
      <c r="B817" s="152"/>
      <c r="D817" s="39"/>
    </row>
    <row r="818" spans="2:4" ht="15.75" customHeight="1" x14ac:dyDescent="0.3">
      <c r="B818" s="152"/>
      <c r="D818" s="39"/>
    </row>
    <row r="819" spans="2:4" ht="15.75" customHeight="1" x14ac:dyDescent="0.3">
      <c r="B819" s="152"/>
      <c r="D819" s="39"/>
    </row>
    <row r="820" spans="2:4" ht="15.75" customHeight="1" x14ac:dyDescent="0.3">
      <c r="B820" s="152"/>
      <c r="D820" s="39"/>
    </row>
    <row r="821" spans="2:4" ht="15.75" customHeight="1" x14ac:dyDescent="0.3">
      <c r="B821" s="152"/>
      <c r="D821" s="39"/>
    </row>
    <row r="822" spans="2:4" ht="15.75" customHeight="1" x14ac:dyDescent="0.3">
      <c r="B822" s="152"/>
      <c r="D822" s="39"/>
    </row>
    <row r="823" spans="2:4" ht="15.75" customHeight="1" x14ac:dyDescent="0.3">
      <c r="B823" s="152"/>
      <c r="D823" s="39"/>
    </row>
    <row r="824" spans="2:4" ht="15.75" customHeight="1" x14ac:dyDescent="0.3">
      <c r="B824" s="152"/>
      <c r="D824" s="39"/>
    </row>
    <row r="825" spans="2:4" ht="15.75" customHeight="1" x14ac:dyDescent="0.3">
      <c r="B825" s="152"/>
      <c r="D825" s="39"/>
    </row>
    <row r="826" spans="2:4" ht="15.75" customHeight="1" x14ac:dyDescent="0.3">
      <c r="B826" s="152"/>
      <c r="D826" s="39"/>
    </row>
    <row r="827" spans="2:4" ht="15.75" customHeight="1" x14ac:dyDescent="0.3">
      <c r="B827" s="152"/>
      <c r="D827" s="39"/>
    </row>
    <row r="828" spans="2:4" ht="15.75" customHeight="1" x14ac:dyDescent="0.3">
      <c r="B828" s="152"/>
      <c r="D828" s="39"/>
    </row>
    <row r="829" spans="2:4" ht="15.75" customHeight="1" x14ac:dyDescent="0.3">
      <c r="B829" s="152"/>
      <c r="D829" s="39"/>
    </row>
    <row r="830" spans="2:4" ht="15.75" customHeight="1" x14ac:dyDescent="0.3">
      <c r="B830" s="152"/>
      <c r="D830" s="39"/>
    </row>
    <row r="831" spans="2:4" ht="15.75" customHeight="1" x14ac:dyDescent="0.3">
      <c r="B831" s="152"/>
      <c r="D831" s="39"/>
    </row>
    <row r="832" spans="2:4" ht="15.75" customHeight="1" x14ac:dyDescent="0.3">
      <c r="B832" s="152"/>
      <c r="D832" s="39"/>
    </row>
    <row r="833" spans="2:4" ht="15.75" customHeight="1" x14ac:dyDescent="0.3">
      <c r="B833" s="152"/>
      <c r="D833" s="39"/>
    </row>
    <row r="834" spans="2:4" ht="15.75" customHeight="1" x14ac:dyDescent="0.3">
      <c r="B834" s="152"/>
      <c r="D834" s="39"/>
    </row>
    <row r="835" spans="2:4" ht="15.75" customHeight="1" x14ac:dyDescent="0.3">
      <c r="B835" s="152"/>
      <c r="D835" s="39"/>
    </row>
    <row r="836" spans="2:4" ht="15.75" customHeight="1" x14ac:dyDescent="0.3">
      <c r="B836" s="152"/>
      <c r="D836" s="39"/>
    </row>
    <row r="837" spans="2:4" ht="15.75" customHeight="1" x14ac:dyDescent="0.3">
      <c r="B837" s="152"/>
      <c r="D837" s="39"/>
    </row>
    <row r="838" spans="2:4" ht="15.75" customHeight="1" x14ac:dyDescent="0.3">
      <c r="B838" s="152"/>
      <c r="D838" s="39"/>
    </row>
    <row r="839" spans="2:4" ht="15.75" customHeight="1" x14ac:dyDescent="0.3">
      <c r="B839" s="152"/>
      <c r="D839" s="39"/>
    </row>
    <row r="840" spans="2:4" ht="15.75" customHeight="1" x14ac:dyDescent="0.3">
      <c r="B840" s="152"/>
      <c r="D840" s="39"/>
    </row>
    <row r="841" spans="2:4" ht="15.75" customHeight="1" x14ac:dyDescent="0.3">
      <c r="B841" s="152"/>
      <c r="D841" s="39"/>
    </row>
    <row r="842" spans="2:4" ht="15.75" customHeight="1" x14ac:dyDescent="0.3">
      <c r="B842" s="152"/>
      <c r="D842" s="39"/>
    </row>
    <row r="843" spans="2:4" ht="15.75" customHeight="1" x14ac:dyDescent="0.3">
      <c r="B843" s="152"/>
      <c r="D843" s="39"/>
    </row>
    <row r="844" spans="2:4" ht="15.75" customHeight="1" x14ac:dyDescent="0.3">
      <c r="B844" s="152"/>
      <c r="D844" s="39"/>
    </row>
    <row r="845" spans="2:4" ht="15.75" customHeight="1" x14ac:dyDescent="0.3">
      <c r="B845" s="152"/>
      <c r="D845" s="39"/>
    </row>
    <row r="846" spans="2:4" ht="15.75" customHeight="1" x14ac:dyDescent="0.3">
      <c r="B846" s="152"/>
      <c r="D846" s="39"/>
    </row>
    <row r="847" spans="2:4" ht="15.75" customHeight="1" x14ac:dyDescent="0.3">
      <c r="B847" s="152"/>
      <c r="D847" s="39"/>
    </row>
    <row r="848" spans="2:4" ht="15.75" customHeight="1" x14ac:dyDescent="0.3">
      <c r="B848" s="152"/>
      <c r="D848" s="39"/>
    </row>
    <row r="849" spans="2:4" ht="15.75" customHeight="1" x14ac:dyDescent="0.3">
      <c r="B849" s="152"/>
      <c r="D849" s="39"/>
    </row>
    <row r="850" spans="2:4" ht="15.75" customHeight="1" x14ac:dyDescent="0.3">
      <c r="B850" s="152"/>
      <c r="D850" s="39"/>
    </row>
    <row r="851" spans="2:4" ht="15.75" customHeight="1" x14ac:dyDescent="0.3">
      <c r="B851" s="152"/>
      <c r="D851" s="39"/>
    </row>
    <row r="852" spans="2:4" ht="15.75" customHeight="1" x14ac:dyDescent="0.3">
      <c r="B852" s="152"/>
      <c r="D852" s="39"/>
    </row>
    <row r="853" spans="2:4" ht="15.75" customHeight="1" x14ac:dyDescent="0.3">
      <c r="B853" s="152"/>
      <c r="D853" s="39"/>
    </row>
    <row r="854" spans="2:4" ht="15.75" customHeight="1" x14ac:dyDescent="0.3">
      <c r="B854" s="152"/>
      <c r="D854" s="39"/>
    </row>
    <row r="855" spans="2:4" ht="15.75" customHeight="1" x14ac:dyDescent="0.3">
      <c r="B855" s="152"/>
      <c r="D855" s="39"/>
    </row>
    <row r="856" spans="2:4" ht="15.75" customHeight="1" x14ac:dyDescent="0.3">
      <c r="B856" s="152"/>
      <c r="D856" s="39"/>
    </row>
    <row r="857" spans="2:4" ht="15.75" customHeight="1" x14ac:dyDescent="0.3">
      <c r="B857" s="152"/>
      <c r="D857" s="39"/>
    </row>
    <row r="858" spans="2:4" ht="15.75" customHeight="1" x14ac:dyDescent="0.3">
      <c r="B858" s="152"/>
      <c r="D858" s="39"/>
    </row>
    <row r="859" spans="2:4" ht="15.75" customHeight="1" x14ac:dyDescent="0.3">
      <c r="B859" s="152"/>
      <c r="D859" s="39"/>
    </row>
    <row r="860" spans="2:4" ht="15.75" customHeight="1" x14ac:dyDescent="0.3">
      <c r="B860" s="152"/>
      <c r="D860" s="39"/>
    </row>
    <row r="861" spans="2:4" ht="15.75" customHeight="1" x14ac:dyDescent="0.3">
      <c r="B861" s="152"/>
      <c r="D861" s="39"/>
    </row>
    <row r="862" spans="2:4" ht="15.75" customHeight="1" x14ac:dyDescent="0.3">
      <c r="B862" s="152"/>
      <c r="D862" s="39"/>
    </row>
    <row r="863" spans="2:4" ht="15.75" customHeight="1" x14ac:dyDescent="0.3">
      <c r="B863" s="152"/>
      <c r="D863" s="39"/>
    </row>
    <row r="864" spans="2:4" ht="15.75" customHeight="1" x14ac:dyDescent="0.3">
      <c r="B864" s="152"/>
      <c r="D864" s="39"/>
    </row>
    <row r="865" spans="2:4" ht="15.75" customHeight="1" x14ac:dyDescent="0.3">
      <c r="B865" s="152"/>
      <c r="D865" s="39"/>
    </row>
    <row r="866" spans="2:4" ht="15.75" customHeight="1" x14ac:dyDescent="0.3">
      <c r="B866" s="152"/>
      <c r="D866" s="39"/>
    </row>
    <row r="867" spans="2:4" ht="15.75" customHeight="1" x14ac:dyDescent="0.3">
      <c r="B867" s="152"/>
      <c r="D867" s="39"/>
    </row>
    <row r="868" spans="2:4" ht="15.75" customHeight="1" x14ac:dyDescent="0.3">
      <c r="B868" s="152"/>
      <c r="D868" s="39"/>
    </row>
    <row r="869" spans="2:4" ht="15.75" customHeight="1" x14ac:dyDescent="0.3">
      <c r="B869" s="152"/>
      <c r="D869" s="39"/>
    </row>
    <row r="870" spans="2:4" ht="15.75" customHeight="1" x14ac:dyDescent="0.3">
      <c r="B870" s="152"/>
      <c r="D870" s="39"/>
    </row>
    <row r="871" spans="2:4" ht="15.75" customHeight="1" x14ac:dyDescent="0.3">
      <c r="B871" s="152"/>
      <c r="D871" s="39"/>
    </row>
    <row r="872" spans="2:4" ht="15.75" customHeight="1" x14ac:dyDescent="0.3">
      <c r="B872" s="152"/>
      <c r="D872" s="39"/>
    </row>
    <row r="873" spans="2:4" ht="15.75" customHeight="1" x14ac:dyDescent="0.3">
      <c r="B873" s="152"/>
      <c r="D873" s="39"/>
    </row>
    <row r="874" spans="2:4" ht="15.75" customHeight="1" x14ac:dyDescent="0.3">
      <c r="B874" s="152"/>
      <c r="D874" s="39"/>
    </row>
    <row r="875" spans="2:4" ht="15.75" customHeight="1" x14ac:dyDescent="0.3">
      <c r="B875" s="152"/>
      <c r="D875" s="39"/>
    </row>
    <row r="876" spans="2:4" ht="15.75" customHeight="1" x14ac:dyDescent="0.3">
      <c r="B876" s="152"/>
      <c r="D876" s="39"/>
    </row>
    <row r="877" spans="2:4" ht="15.75" customHeight="1" x14ac:dyDescent="0.3">
      <c r="B877" s="152"/>
      <c r="D877" s="39"/>
    </row>
    <row r="878" spans="2:4" ht="15.75" customHeight="1" x14ac:dyDescent="0.3">
      <c r="B878" s="152"/>
      <c r="D878" s="39"/>
    </row>
    <row r="879" spans="2:4" ht="15.75" customHeight="1" x14ac:dyDescent="0.3">
      <c r="B879" s="152"/>
      <c r="D879" s="39"/>
    </row>
    <row r="880" spans="2:4" ht="15.75" customHeight="1" x14ac:dyDescent="0.3">
      <c r="B880" s="152"/>
      <c r="D880" s="39"/>
    </row>
    <row r="881" spans="2:4" ht="15.75" customHeight="1" x14ac:dyDescent="0.3">
      <c r="B881" s="152"/>
      <c r="D881" s="39"/>
    </row>
    <row r="882" spans="2:4" ht="15.75" customHeight="1" x14ac:dyDescent="0.3">
      <c r="B882" s="152"/>
      <c r="D882" s="39"/>
    </row>
    <row r="883" spans="2:4" ht="15.75" customHeight="1" x14ac:dyDescent="0.3">
      <c r="B883" s="152"/>
      <c r="D883" s="39"/>
    </row>
    <row r="884" spans="2:4" ht="15.75" customHeight="1" x14ac:dyDescent="0.3">
      <c r="B884" s="152"/>
      <c r="D884" s="39"/>
    </row>
    <row r="885" spans="2:4" ht="15.75" customHeight="1" x14ac:dyDescent="0.3">
      <c r="B885" s="152"/>
      <c r="D885" s="39"/>
    </row>
    <row r="886" spans="2:4" ht="15.75" customHeight="1" x14ac:dyDescent="0.3">
      <c r="B886" s="152"/>
      <c r="D886" s="39"/>
    </row>
    <row r="887" spans="2:4" ht="15.75" customHeight="1" x14ac:dyDescent="0.3">
      <c r="B887" s="152"/>
      <c r="D887" s="39"/>
    </row>
    <row r="888" spans="2:4" ht="15.75" customHeight="1" x14ac:dyDescent="0.3">
      <c r="B888" s="152"/>
      <c r="D888" s="39"/>
    </row>
    <row r="889" spans="2:4" ht="15.75" customHeight="1" x14ac:dyDescent="0.3">
      <c r="B889" s="152"/>
      <c r="D889" s="39"/>
    </row>
    <row r="890" spans="2:4" ht="15.75" customHeight="1" x14ac:dyDescent="0.3">
      <c r="B890" s="152"/>
      <c r="D890" s="39"/>
    </row>
    <row r="891" spans="2:4" ht="15.75" customHeight="1" x14ac:dyDescent="0.3">
      <c r="B891" s="152"/>
      <c r="D891" s="39"/>
    </row>
    <row r="892" spans="2:4" ht="15.75" customHeight="1" x14ac:dyDescent="0.3">
      <c r="B892" s="152"/>
      <c r="D892" s="39"/>
    </row>
    <row r="893" spans="2:4" ht="15.75" customHeight="1" x14ac:dyDescent="0.3">
      <c r="B893" s="152"/>
      <c r="D893" s="39"/>
    </row>
    <row r="894" spans="2:4" ht="15.75" customHeight="1" x14ac:dyDescent="0.3">
      <c r="B894" s="152"/>
      <c r="D894" s="39"/>
    </row>
    <row r="895" spans="2:4" ht="15.75" customHeight="1" x14ac:dyDescent="0.3">
      <c r="B895" s="152"/>
      <c r="D895" s="39"/>
    </row>
    <row r="896" spans="2:4" ht="15.75" customHeight="1" x14ac:dyDescent="0.3">
      <c r="B896" s="152"/>
      <c r="D896" s="39"/>
    </row>
    <row r="897" spans="2:4" ht="15.75" customHeight="1" x14ac:dyDescent="0.3">
      <c r="B897" s="152"/>
      <c r="D897" s="39"/>
    </row>
    <row r="898" spans="2:4" ht="15.75" customHeight="1" x14ac:dyDescent="0.3">
      <c r="B898" s="152"/>
      <c r="D898" s="39"/>
    </row>
    <row r="899" spans="2:4" ht="15.75" customHeight="1" x14ac:dyDescent="0.3">
      <c r="B899" s="152"/>
      <c r="D899" s="39"/>
    </row>
    <row r="900" spans="2:4" ht="15.75" customHeight="1" x14ac:dyDescent="0.3">
      <c r="B900" s="152"/>
      <c r="D900" s="39"/>
    </row>
    <row r="901" spans="2:4" ht="15.75" customHeight="1" x14ac:dyDescent="0.3">
      <c r="B901" s="152"/>
      <c r="D901" s="39"/>
    </row>
    <row r="902" spans="2:4" ht="15.75" customHeight="1" x14ac:dyDescent="0.3">
      <c r="B902" s="152"/>
      <c r="D902" s="39"/>
    </row>
    <row r="903" spans="2:4" ht="15.75" customHeight="1" x14ac:dyDescent="0.3">
      <c r="B903" s="152"/>
      <c r="D903" s="39"/>
    </row>
    <row r="904" spans="2:4" ht="15.75" customHeight="1" x14ac:dyDescent="0.3">
      <c r="B904" s="152"/>
      <c r="D904" s="39"/>
    </row>
    <row r="905" spans="2:4" ht="15.75" customHeight="1" x14ac:dyDescent="0.3">
      <c r="B905" s="152"/>
      <c r="D905" s="39"/>
    </row>
    <row r="906" spans="2:4" ht="15.75" customHeight="1" x14ac:dyDescent="0.3">
      <c r="B906" s="152"/>
      <c r="D906" s="39"/>
    </row>
    <row r="907" spans="2:4" ht="15.75" customHeight="1" x14ac:dyDescent="0.3">
      <c r="B907" s="152"/>
      <c r="D907" s="39"/>
    </row>
    <row r="908" spans="2:4" ht="15.75" customHeight="1" x14ac:dyDescent="0.3">
      <c r="B908" s="152"/>
      <c r="D908" s="39"/>
    </row>
    <row r="909" spans="2:4" ht="15.75" customHeight="1" x14ac:dyDescent="0.3">
      <c r="B909" s="152"/>
      <c r="D909" s="39"/>
    </row>
    <row r="910" spans="2:4" ht="15.75" customHeight="1" x14ac:dyDescent="0.3">
      <c r="B910" s="152"/>
      <c r="D910" s="39"/>
    </row>
    <row r="911" spans="2:4" ht="15.75" customHeight="1" x14ac:dyDescent="0.3">
      <c r="B911" s="152"/>
      <c r="D911" s="39"/>
    </row>
    <row r="912" spans="2:4" ht="15.75" customHeight="1" x14ac:dyDescent="0.3">
      <c r="B912" s="152"/>
      <c r="D912" s="39"/>
    </row>
    <row r="913" spans="2:4" ht="15.75" customHeight="1" x14ac:dyDescent="0.3">
      <c r="B913" s="152"/>
      <c r="D913" s="39"/>
    </row>
    <row r="914" spans="2:4" ht="15.75" customHeight="1" x14ac:dyDescent="0.3">
      <c r="B914" s="152"/>
      <c r="D914" s="39"/>
    </row>
    <row r="915" spans="2:4" ht="15.75" customHeight="1" x14ac:dyDescent="0.3">
      <c r="B915" s="152"/>
      <c r="D915" s="39"/>
    </row>
    <row r="916" spans="2:4" ht="15.75" customHeight="1" x14ac:dyDescent="0.3">
      <c r="B916" s="152"/>
      <c r="D916" s="39"/>
    </row>
    <row r="917" spans="2:4" ht="15.75" customHeight="1" x14ac:dyDescent="0.3">
      <c r="B917" s="152"/>
      <c r="D917" s="39"/>
    </row>
    <row r="918" spans="2:4" ht="15.75" customHeight="1" x14ac:dyDescent="0.3">
      <c r="B918" s="152"/>
      <c r="D918" s="39"/>
    </row>
    <row r="919" spans="2:4" ht="15.75" customHeight="1" x14ac:dyDescent="0.3">
      <c r="B919" s="152"/>
      <c r="D919" s="39"/>
    </row>
    <row r="920" spans="2:4" ht="15.75" customHeight="1" x14ac:dyDescent="0.3">
      <c r="B920" s="152"/>
      <c r="D920" s="39"/>
    </row>
    <row r="921" spans="2:4" ht="15.75" customHeight="1" x14ac:dyDescent="0.3">
      <c r="B921" s="152"/>
      <c r="D921" s="39"/>
    </row>
    <row r="922" spans="2:4" ht="15.75" customHeight="1" x14ac:dyDescent="0.3">
      <c r="B922" s="152"/>
      <c r="D922" s="39"/>
    </row>
    <row r="923" spans="2:4" ht="15.75" customHeight="1" x14ac:dyDescent="0.3">
      <c r="B923" s="152"/>
      <c r="D923" s="39"/>
    </row>
    <row r="924" spans="2:4" ht="15.75" customHeight="1" x14ac:dyDescent="0.3">
      <c r="B924" s="152"/>
      <c r="D924" s="39"/>
    </row>
    <row r="925" spans="2:4" ht="15.75" customHeight="1" x14ac:dyDescent="0.3">
      <c r="B925" s="152"/>
      <c r="D925" s="39"/>
    </row>
    <row r="926" spans="2:4" ht="15.75" customHeight="1" x14ac:dyDescent="0.3">
      <c r="B926" s="152"/>
      <c r="D926" s="39"/>
    </row>
    <row r="927" spans="2:4" ht="15.75" customHeight="1" x14ac:dyDescent="0.3">
      <c r="B927" s="152"/>
      <c r="D927" s="39"/>
    </row>
    <row r="928" spans="2:4" ht="15.75" customHeight="1" x14ac:dyDescent="0.3">
      <c r="B928" s="152"/>
      <c r="D928" s="39"/>
    </row>
    <row r="929" spans="2:4" ht="15.75" customHeight="1" x14ac:dyDescent="0.3">
      <c r="B929" s="152"/>
      <c r="D929" s="39"/>
    </row>
    <row r="930" spans="2:4" ht="15.75" customHeight="1" x14ac:dyDescent="0.3">
      <c r="B930" s="152"/>
      <c r="D930" s="39"/>
    </row>
    <row r="931" spans="2:4" ht="15.75" customHeight="1" x14ac:dyDescent="0.3">
      <c r="B931" s="152"/>
      <c r="D931" s="39"/>
    </row>
    <row r="932" spans="2:4" ht="15.75" customHeight="1" x14ac:dyDescent="0.3">
      <c r="B932" s="152"/>
      <c r="D932" s="39"/>
    </row>
    <row r="933" spans="2:4" ht="15.75" customHeight="1" x14ac:dyDescent="0.3">
      <c r="B933" s="152"/>
      <c r="D933" s="39"/>
    </row>
    <row r="934" spans="2:4" ht="15.75" customHeight="1" x14ac:dyDescent="0.3">
      <c r="B934" s="152"/>
      <c r="D934" s="39"/>
    </row>
    <row r="935" spans="2:4" ht="15.75" customHeight="1" x14ac:dyDescent="0.3">
      <c r="B935" s="152"/>
      <c r="D935" s="39"/>
    </row>
    <row r="936" spans="2:4" ht="15.75" customHeight="1" x14ac:dyDescent="0.3">
      <c r="B936" s="152"/>
      <c r="D936" s="39"/>
    </row>
    <row r="937" spans="2:4" ht="15.75" customHeight="1" x14ac:dyDescent="0.3">
      <c r="B937" s="152"/>
      <c r="D937" s="39"/>
    </row>
    <row r="938" spans="2:4" ht="15.75" customHeight="1" x14ac:dyDescent="0.3">
      <c r="B938" s="152"/>
      <c r="D938" s="39"/>
    </row>
    <row r="939" spans="2:4" ht="15.75" customHeight="1" x14ac:dyDescent="0.3">
      <c r="B939" s="152"/>
      <c r="D939" s="39"/>
    </row>
    <row r="940" spans="2:4" ht="15.75" customHeight="1" x14ac:dyDescent="0.3">
      <c r="B940" s="152"/>
      <c r="D940" s="39"/>
    </row>
    <row r="941" spans="2:4" ht="15.75" customHeight="1" x14ac:dyDescent="0.3">
      <c r="B941" s="152"/>
      <c r="D941" s="39"/>
    </row>
    <row r="942" spans="2:4" ht="15.75" customHeight="1" x14ac:dyDescent="0.3">
      <c r="B942" s="152"/>
      <c r="D942" s="39"/>
    </row>
    <row r="943" spans="2:4" ht="15.75" customHeight="1" x14ac:dyDescent="0.3">
      <c r="B943" s="152"/>
      <c r="D943" s="39"/>
    </row>
    <row r="944" spans="2:4" ht="15.75" customHeight="1" x14ac:dyDescent="0.3">
      <c r="B944" s="152"/>
      <c r="D944" s="39"/>
    </row>
    <row r="945" spans="2:4" ht="15.75" customHeight="1" x14ac:dyDescent="0.3">
      <c r="B945" s="152"/>
      <c r="D945" s="39"/>
    </row>
    <row r="946" spans="2:4" ht="15.75" customHeight="1" x14ac:dyDescent="0.3">
      <c r="B946" s="152"/>
      <c r="D946" s="39"/>
    </row>
    <row r="947" spans="2:4" ht="15.75" customHeight="1" x14ac:dyDescent="0.3">
      <c r="B947" s="152"/>
      <c r="D947" s="39"/>
    </row>
    <row r="948" spans="2:4" ht="15.75" customHeight="1" x14ac:dyDescent="0.3">
      <c r="B948" s="152"/>
      <c r="D948" s="39"/>
    </row>
    <row r="949" spans="2:4" ht="15.75" customHeight="1" x14ac:dyDescent="0.3">
      <c r="B949" s="152"/>
      <c r="D949" s="39"/>
    </row>
    <row r="950" spans="2:4" ht="15.75" customHeight="1" x14ac:dyDescent="0.3">
      <c r="B950" s="152"/>
      <c r="D950" s="39"/>
    </row>
    <row r="951" spans="2:4" ht="15.75" customHeight="1" x14ac:dyDescent="0.3">
      <c r="B951" s="152"/>
      <c r="D951" s="39"/>
    </row>
    <row r="952" spans="2:4" ht="15.75" customHeight="1" x14ac:dyDescent="0.3">
      <c r="B952" s="152"/>
      <c r="D952" s="39"/>
    </row>
    <row r="953" spans="2:4" ht="15.75" customHeight="1" x14ac:dyDescent="0.3">
      <c r="B953" s="152"/>
      <c r="D953" s="39"/>
    </row>
    <row r="954" spans="2:4" ht="15.75" customHeight="1" x14ac:dyDescent="0.3">
      <c r="B954" s="152"/>
      <c r="D954" s="39"/>
    </row>
    <row r="955" spans="2:4" ht="15.75" customHeight="1" x14ac:dyDescent="0.3">
      <c r="B955" s="152"/>
      <c r="D955" s="39"/>
    </row>
    <row r="956" spans="2:4" ht="15.75" customHeight="1" x14ac:dyDescent="0.3">
      <c r="B956" s="152"/>
      <c r="D956" s="39"/>
    </row>
    <row r="957" spans="2:4" ht="15.75" customHeight="1" x14ac:dyDescent="0.3">
      <c r="B957" s="152"/>
      <c r="D957" s="39"/>
    </row>
    <row r="958" spans="2:4" ht="15.75" customHeight="1" x14ac:dyDescent="0.3">
      <c r="B958" s="152"/>
      <c r="D958" s="39"/>
    </row>
    <row r="959" spans="2:4" ht="15.75" customHeight="1" x14ac:dyDescent="0.3">
      <c r="B959" s="152"/>
      <c r="D959" s="39"/>
    </row>
    <row r="960" spans="2:4" ht="15.75" customHeight="1" x14ac:dyDescent="0.3">
      <c r="B960" s="152"/>
      <c r="D960" s="39"/>
    </row>
    <row r="961" spans="2:4" ht="15.75" customHeight="1" x14ac:dyDescent="0.3">
      <c r="B961" s="152"/>
      <c r="D961" s="39"/>
    </row>
    <row r="962" spans="2:4" ht="15.75" customHeight="1" x14ac:dyDescent="0.3">
      <c r="B962" s="152"/>
      <c r="D962" s="39"/>
    </row>
    <row r="963" spans="2:4" ht="15.75" customHeight="1" x14ac:dyDescent="0.3">
      <c r="B963" s="152"/>
      <c r="D963" s="39"/>
    </row>
    <row r="964" spans="2:4" ht="15.75" customHeight="1" x14ac:dyDescent="0.3">
      <c r="B964" s="152"/>
      <c r="D964" s="39"/>
    </row>
    <row r="965" spans="2:4" ht="15.75" customHeight="1" x14ac:dyDescent="0.3">
      <c r="B965" s="152"/>
      <c r="D965" s="39"/>
    </row>
    <row r="966" spans="2:4" ht="15.75" customHeight="1" x14ac:dyDescent="0.3">
      <c r="B966" s="152"/>
      <c r="D966" s="39"/>
    </row>
    <row r="967" spans="2:4" ht="15.75" customHeight="1" x14ac:dyDescent="0.3">
      <c r="B967" s="152"/>
      <c r="D967" s="39"/>
    </row>
    <row r="968" spans="2:4" ht="15.75" customHeight="1" x14ac:dyDescent="0.3">
      <c r="B968" s="152"/>
      <c r="D968" s="39"/>
    </row>
    <row r="969" spans="2:4" ht="15.75" customHeight="1" x14ac:dyDescent="0.3">
      <c r="B969" s="152"/>
      <c r="D969" s="39"/>
    </row>
    <row r="970" spans="2:4" ht="15.75" customHeight="1" x14ac:dyDescent="0.3">
      <c r="B970" s="152"/>
      <c r="D970" s="39"/>
    </row>
    <row r="971" spans="2:4" ht="15.75" customHeight="1" x14ac:dyDescent="0.3">
      <c r="B971" s="152"/>
      <c r="D971" s="39"/>
    </row>
    <row r="972" spans="2:4" ht="15.75" customHeight="1" x14ac:dyDescent="0.3">
      <c r="B972" s="152"/>
      <c r="D972" s="39"/>
    </row>
    <row r="973" spans="2:4" ht="15.75" customHeight="1" x14ac:dyDescent="0.3">
      <c r="B973" s="152"/>
      <c r="D973" s="39"/>
    </row>
    <row r="974" spans="2:4" ht="15.75" customHeight="1" x14ac:dyDescent="0.3">
      <c r="B974" s="152"/>
      <c r="D974" s="39"/>
    </row>
    <row r="975" spans="2:4" ht="15.75" customHeight="1" x14ac:dyDescent="0.3">
      <c r="B975" s="152"/>
      <c r="D975" s="39"/>
    </row>
    <row r="976" spans="2:4" ht="15.75" customHeight="1" x14ac:dyDescent="0.3">
      <c r="B976" s="152"/>
      <c r="D976" s="39"/>
    </row>
    <row r="977" spans="2:4" ht="15.75" customHeight="1" x14ac:dyDescent="0.3">
      <c r="B977" s="152"/>
      <c r="D977" s="39"/>
    </row>
    <row r="978" spans="2:4" ht="15.75" customHeight="1" x14ac:dyDescent="0.3">
      <c r="B978" s="152"/>
      <c r="D978" s="39"/>
    </row>
    <row r="979" spans="2:4" ht="15.75" customHeight="1" x14ac:dyDescent="0.3">
      <c r="B979" s="152"/>
      <c r="D979" s="39"/>
    </row>
    <row r="980" spans="2:4" ht="15.75" customHeight="1" x14ac:dyDescent="0.3">
      <c r="B980" s="152"/>
      <c r="D980" s="39"/>
    </row>
    <row r="981" spans="2:4" ht="15.75" customHeight="1" x14ac:dyDescent="0.3">
      <c r="B981" s="152"/>
      <c r="D981" s="39"/>
    </row>
    <row r="982" spans="2:4" ht="15.75" customHeight="1" x14ac:dyDescent="0.3">
      <c r="B982" s="152"/>
      <c r="D982" s="39"/>
    </row>
    <row r="983" spans="2:4" ht="15.75" customHeight="1" x14ac:dyDescent="0.3">
      <c r="B983" s="152"/>
      <c r="D983" s="39"/>
    </row>
    <row r="984" spans="2:4" ht="15.75" customHeight="1" x14ac:dyDescent="0.3">
      <c r="B984" s="152"/>
      <c r="D984" s="39"/>
    </row>
    <row r="985" spans="2:4" ht="15.75" customHeight="1" x14ac:dyDescent="0.3">
      <c r="B985" s="152"/>
      <c r="D985" s="39"/>
    </row>
    <row r="986" spans="2:4" ht="15.75" customHeight="1" x14ac:dyDescent="0.3">
      <c r="B986" s="152"/>
      <c r="D986" s="39"/>
    </row>
    <row r="987" spans="2:4" ht="15.75" customHeight="1" x14ac:dyDescent="0.3">
      <c r="B987" s="152"/>
      <c r="D987" s="39"/>
    </row>
    <row r="988" spans="2:4" ht="15.75" customHeight="1" x14ac:dyDescent="0.3">
      <c r="B988" s="152"/>
      <c r="D988" s="39"/>
    </row>
    <row r="989" spans="2:4" ht="15.75" customHeight="1" x14ac:dyDescent="0.3">
      <c r="B989" s="152"/>
      <c r="D989" s="39"/>
    </row>
    <row r="990" spans="2:4" ht="15.75" customHeight="1" x14ac:dyDescent="0.3">
      <c r="B990" s="152"/>
      <c r="D990" s="39"/>
    </row>
    <row r="991" spans="2:4" ht="15.75" customHeight="1" x14ac:dyDescent="0.3">
      <c r="B991" s="152"/>
      <c r="D991" s="39"/>
    </row>
    <row r="992" spans="2:4" ht="15.75" customHeight="1" x14ac:dyDescent="0.3">
      <c r="B992" s="152"/>
      <c r="D992" s="39"/>
    </row>
    <row r="993" spans="2:4" ht="15.75" customHeight="1" x14ac:dyDescent="0.3">
      <c r="B993" s="152"/>
      <c r="D993" s="39"/>
    </row>
    <row r="994" spans="2:4" ht="15.75" customHeight="1" x14ac:dyDescent="0.3">
      <c r="B994" s="152"/>
      <c r="D994" s="39"/>
    </row>
    <row r="995" spans="2:4" ht="15.75" customHeight="1" x14ac:dyDescent="0.3">
      <c r="B995" s="152"/>
      <c r="D995" s="39"/>
    </row>
    <row r="996" spans="2:4" ht="15.75" customHeight="1" x14ac:dyDescent="0.3">
      <c r="B996" s="152"/>
      <c r="D996" s="39"/>
    </row>
    <row r="997" spans="2:4" ht="15.75" customHeight="1" x14ac:dyDescent="0.3">
      <c r="B997" s="152"/>
      <c r="D997" s="39"/>
    </row>
    <row r="998" spans="2:4" ht="15.75" customHeight="1" x14ac:dyDescent="0.3">
      <c r="B998" s="152"/>
      <c r="D998" s="39"/>
    </row>
    <row r="999" spans="2:4" ht="15.75" customHeight="1" x14ac:dyDescent="0.3">
      <c r="B999" s="152"/>
      <c r="D999" s="39"/>
    </row>
    <row r="1000" spans="2:4" ht="15.75" customHeight="1" x14ac:dyDescent="0.3">
      <c r="B1000" s="152"/>
      <c r="D1000" s="39"/>
    </row>
  </sheetData>
  <mergeCells count="8">
    <mergeCell ref="A2:R2"/>
    <mergeCell ref="A3:B3"/>
    <mergeCell ref="A5:A6"/>
    <mergeCell ref="B5:B6"/>
    <mergeCell ref="C5:C6"/>
    <mergeCell ref="D5:D6"/>
    <mergeCell ref="E5:E6"/>
    <mergeCell ref="F5:R5"/>
  </mergeCells>
  <pageMargins left="0.7" right="0.7" top="0.75" bottom="0.75" header="0" footer="0"/>
  <pageSetup paperSize="9" orientation="portrait"/>
  <headerFooter>
    <oddFooter>&amp;L000000Open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xSplit="4" ySplit="6" topLeftCell="G85" activePane="bottomRight" state="frozen"/>
      <selection pane="topRight" activeCell="E1" sqref="E1"/>
      <selection pane="bottomLeft" activeCell="A7" sqref="A7"/>
      <selection pane="bottomRight" activeCell="C94" sqref="C94"/>
    </sheetView>
  </sheetViews>
  <sheetFormatPr defaultColWidth="14.44140625" defaultRowHeight="15" customHeight="1" x14ac:dyDescent="0.3"/>
  <cols>
    <col min="1" max="1" width="8.88671875" style="148" customWidth="1"/>
    <col min="2" max="2" width="10.6640625" style="148" customWidth="1"/>
    <col min="3" max="3" width="45.33203125" customWidth="1"/>
    <col min="4" max="4" width="9.44140625" customWidth="1"/>
    <col min="5" max="5" width="13.109375" customWidth="1"/>
    <col min="6" max="6" width="4" customWidth="1"/>
    <col min="7" max="7" width="3.88671875" customWidth="1"/>
    <col min="8" max="8" width="4.33203125" customWidth="1"/>
    <col min="9" max="9" width="3.6640625" customWidth="1"/>
    <col min="10" max="10" width="4.44140625" customWidth="1"/>
    <col min="11" max="13" width="4" customWidth="1"/>
    <col min="14" max="15" width="3.88671875" customWidth="1"/>
    <col min="16" max="16" width="4.33203125" customWidth="1"/>
    <col min="17" max="17" width="4.109375" customWidth="1"/>
    <col min="18" max="19" width="6.6640625" customWidth="1"/>
    <col min="20" max="22" width="8.88671875" customWidth="1"/>
    <col min="23" max="23" width="11.44140625" customWidth="1"/>
    <col min="24" max="26" width="8.88671875" customWidth="1"/>
  </cols>
  <sheetData>
    <row r="1" spans="1:25" ht="14.4" x14ac:dyDescent="0.3">
      <c r="B1" s="152"/>
      <c r="D1" s="39"/>
    </row>
    <row r="2" spans="1:25" ht="21" x14ac:dyDescent="0.4">
      <c r="A2" s="376" t="s">
        <v>686</v>
      </c>
      <c r="B2" s="377"/>
      <c r="C2" s="377"/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40"/>
    </row>
    <row r="3" spans="1:25" ht="21" x14ac:dyDescent="0.4">
      <c r="A3" s="376" t="s">
        <v>687</v>
      </c>
      <c r="B3" s="377"/>
      <c r="C3" s="41">
        <f>E143+R143</f>
        <v>3590</v>
      </c>
      <c r="D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V3" s="20" t="e">
        <f>#REF!</f>
        <v>#REF!</v>
      </c>
      <c r="W3" s="42" t="e">
        <f>V3-C3</f>
        <v>#REF!</v>
      </c>
      <c r="Y3" s="20">
        <v>4360</v>
      </c>
    </row>
    <row r="4" spans="1:25" ht="14.4" x14ac:dyDescent="0.3">
      <c r="B4" s="152"/>
      <c r="D4" s="39"/>
      <c r="Y4" s="20">
        <v>408</v>
      </c>
    </row>
    <row r="5" spans="1:25" ht="14.4" x14ac:dyDescent="0.3">
      <c r="A5" s="378" t="s">
        <v>3</v>
      </c>
      <c r="B5" s="380" t="s">
        <v>688</v>
      </c>
      <c r="C5" s="378" t="s">
        <v>689</v>
      </c>
      <c r="D5" s="380" t="s">
        <v>690</v>
      </c>
      <c r="E5" s="378" t="s">
        <v>691</v>
      </c>
      <c r="F5" s="382" t="s">
        <v>692</v>
      </c>
      <c r="G5" s="383"/>
      <c r="H5" s="383"/>
      <c r="I5" s="383"/>
      <c r="J5" s="383"/>
      <c r="K5" s="383"/>
      <c r="L5" s="383"/>
      <c r="M5" s="383"/>
      <c r="N5" s="383"/>
      <c r="O5" s="383"/>
      <c r="P5" s="383"/>
      <c r="Q5" s="383"/>
      <c r="R5" s="384"/>
      <c r="S5" s="63"/>
    </row>
    <row r="6" spans="1:25" ht="14.4" x14ac:dyDescent="0.3">
      <c r="A6" s="381"/>
      <c r="B6" s="381"/>
      <c r="C6" s="379"/>
      <c r="D6" s="379"/>
      <c r="E6" s="379"/>
      <c r="F6" s="43" t="s">
        <v>693</v>
      </c>
      <c r="G6" s="43" t="s">
        <v>694</v>
      </c>
      <c r="H6" s="43" t="s">
        <v>695</v>
      </c>
      <c r="I6" s="43" t="s">
        <v>696</v>
      </c>
      <c r="J6" s="43" t="s">
        <v>697</v>
      </c>
      <c r="K6" s="43" t="s">
        <v>698</v>
      </c>
      <c r="L6" s="43" t="s">
        <v>699</v>
      </c>
      <c r="M6" s="43" t="s">
        <v>700</v>
      </c>
      <c r="N6" s="43" t="s">
        <v>701</v>
      </c>
      <c r="O6" s="43" t="s">
        <v>702</v>
      </c>
      <c r="P6" s="43" t="s">
        <v>703</v>
      </c>
      <c r="Q6" s="43" t="s">
        <v>704</v>
      </c>
      <c r="R6" s="43" t="s">
        <v>705</v>
      </c>
      <c r="S6" s="64"/>
      <c r="Y6" s="20">
        <f>Y3+Y4+Y5</f>
        <v>4768</v>
      </c>
    </row>
    <row r="7" spans="1:25" ht="14.4" x14ac:dyDescent="0.3">
      <c r="A7" s="120">
        <v>1</v>
      </c>
      <c r="B7" s="360" t="s">
        <v>636</v>
      </c>
      <c r="C7" s="86" t="s">
        <v>638</v>
      </c>
      <c r="D7" s="72" t="s">
        <v>706</v>
      </c>
      <c r="E7" s="74"/>
      <c r="F7" s="74">
        <v>10</v>
      </c>
      <c r="G7" s="74">
        <v>10</v>
      </c>
      <c r="H7" s="74">
        <v>10</v>
      </c>
      <c r="I7" s="74">
        <v>10</v>
      </c>
      <c r="J7" s="74">
        <v>10</v>
      </c>
      <c r="K7" s="74">
        <v>10</v>
      </c>
      <c r="L7" s="74">
        <v>10</v>
      </c>
      <c r="M7" s="74">
        <v>10</v>
      </c>
      <c r="N7" s="74">
        <v>10</v>
      </c>
      <c r="O7" s="74">
        <v>10</v>
      </c>
      <c r="P7" s="74">
        <v>10</v>
      </c>
      <c r="Q7" s="74">
        <v>10</v>
      </c>
      <c r="R7" s="74">
        <f>SUM(F7:Q7)</f>
        <v>120</v>
      </c>
      <c r="S7" s="75"/>
      <c r="T7" s="75" t="s">
        <v>915</v>
      </c>
      <c r="U7" s="75"/>
      <c r="V7" s="76"/>
      <c r="Y7" s="20">
        <v>276.8</v>
      </c>
    </row>
    <row r="8" spans="1:25" ht="14.4" x14ac:dyDescent="0.3">
      <c r="A8" s="120">
        <v>2</v>
      </c>
      <c r="B8" s="206" t="s">
        <v>455</v>
      </c>
      <c r="C8" s="44" t="s">
        <v>708</v>
      </c>
      <c r="D8" s="47" t="s">
        <v>709</v>
      </c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65"/>
      <c r="S8" s="53"/>
      <c r="Y8" s="20">
        <f>Y6-Y7</f>
        <v>4491.2</v>
      </c>
    </row>
    <row r="9" spans="1:25" ht="14.4" x14ac:dyDescent="0.3">
      <c r="A9" s="196">
        <v>3</v>
      </c>
      <c r="B9" s="361" t="s">
        <v>103</v>
      </c>
      <c r="C9" s="163" t="s">
        <v>936</v>
      </c>
      <c r="D9" s="162" t="s">
        <v>711</v>
      </c>
      <c r="E9" s="156"/>
      <c r="F9" s="163">
        <v>10</v>
      </c>
      <c r="G9" s="163">
        <v>10</v>
      </c>
      <c r="H9" s="163">
        <v>10</v>
      </c>
      <c r="I9" s="163">
        <v>10</v>
      </c>
      <c r="J9" s="163">
        <v>10</v>
      </c>
      <c r="K9" s="163">
        <v>10</v>
      </c>
      <c r="L9" s="163">
        <v>10</v>
      </c>
      <c r="M9" s="163">
        <v>10</v>
      </c>
      <c r="N9" s="163">
        <v>10</v>
      </c>
      <c r="O9" s="163">
        <v>10</v>
      </c>
      <c r="P9" s="163">
        <v>10</v>
      </c>
      <c r="Q9" s="163">
        <v>10</v>
      </c>
      <c r="R9" s="163">
        <f t="shared" ref="R9:R10" si="0">SUM(F9:Q9)</f>
        <v>120</v>
      </c>
      <c r="S9" s="164"/>
      <c r="T9" s="164" t="s">
        <v>937</v>
      </c>
      <c r="U9" s="164"/>
      <c r="V9" s="165"/>
    </row>
    <row r="10" spans="1:25" ht="14.4" x14ac:dyDescent="0.3">
      <c r="A10" s="120">
        <v>4</v>
      </c>
      <c r="B10" s="153" t="s">
        <v>283</v>
      </c>
      <c r="C10" s="44" t="s">
        <v>712</v>
      </c>
      <c r="D10" s="47" t="s">
        <v>713</v>
      </c>
      <c r="E10" s="44"/>
      <c r="F10" s="44">
        <v>10</v>
      </c>
      <c r="G10" s="44">
        <v>10</v>
      </c>
      <c r="H10" s="44">
        <v>10</v>
      </c>
      <c r="I10" s="44">
        <v>10</v>
      </c>
      <c r="J10" s="44">
        <v>10</v>
      </c>
      <c r="K10" s="44">
        <v>10</v>
      </c>
      <c r="L10" s="44">
        <v>10</v>
      </c>
      <c r="M10" s="44">
        <v>10</v>
      </c>
      <c r="N10" s="44">
        <v>10</v>
      </c>
      <c r="O10" s="44">
        <v>10</v>
      </c>
      <c r="P10" s="44">
        <v>10</v>
      </c>
      <c r="Q10" s="44">
        <v>10</v>
      </c>
      <c r="R10" s="44">
        <f t="shared" si="0"/>
        <v>120</v>
      </c>
      <c r="S10" s="53"/>
      <c r="U10" s="20">
        <f>IF(R10=120,(R10+E10),0)</f>
        <v>120</v>
      </c>
      <c r="V10" s="20" t="s">
        <v>938</v>
      </c>
    </row>
    <row r="11" spans="1:25" ht="14.4" x14ac:dyDescent="0.3">
      <c r="A11" s="120">
        <v>5</v>
      </c>
      <c r="B11" s="153" t="s">
        <v>39</v>
      </c>
      <c r="C11" s="14" t="s">
        <v>715</v>
      </c>
      <c r="D11" s="47" t="s">
        <v>716</v>
      </c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65"/>
      <c r="S11" s="53"/>
    </row>
    <row r="12" spans="1:25" ht="14.4" x14ac:dyDescent="0.3">
      <c r="A12" s="120">
        <v>6</v>
      </c>
      <c r="B12" s="153" t="s">
        <v>200</v>
      </c>
      <c r="C12" s="44" t="s">
        <v>717</v>
      </c>
      <c r="D12" s="47" t="s">
        <v>718</v>
      </c>
      <c r="E12" s="44"/>
      <c r="F12" s="44">
        <v>10</v>
      </c>
      <c r="G12" s="44">
        <v>10</v>
      </c>
      <c r="H12" s="44">
        <v>10</v>
      </c>
      <c r="I12" s="44">
        <v>10</v>
      </c>
      <c r="J12" s="44">
        <v>10</v>
      </c>
      <c r="K12" s="44">
        <v>10</v>
      </c>
      <c r="L12" s="44">
        <v>10</v>
      </c>
      <c r="M12" s="44">
        <v>10</v>
      </c>
      <c r="N12" s="44">
        <v>10</v>
      </c>
      <c r="O12" s="44">
        <v>10</v>
      </c>
      <c r="P12" s="44">
        <v>10</v>
      </c>
      <c r="Q12" s="44">
        <v>10</v>
      </c>
      <c r="R12" s="44">
        <f>SUM(F12:Q12)</f>
        <v>120</v>
      </c>
      <c r="S12" s="53"/>
    </row>
    <row r="13" spans="1:25" ht="14.4" x14ac:dyDescent="0.3">
      <c r="A13" s="120">
        <v>7</v>
      </c>
      <c r="B13" s="153" t="s">
        <v>402</v>
      </c>
      <c r="C13" s="44" t="s">
        <v>720</v>
      </c>
      <c r="D13" s="47" t="s">
        <v>963</v>
      </c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53"/>
    </row>
    <row r="14" spans="1:25" ht="14.4" x14ac:dyDescent="0.3">
      <c r="A14" s="120">
        <v>8</v>
      </c>
      <c r="B14" s="153" t="s">
        <v>54</v>
      </c>
      <c r="C14" s="14" t="s">
        <v>56</v>
      </c>
      <c r="D14" s="47" t="s">
        <v>722</v>
      </c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53"/>
    </row>
    <row r="15" spans="1:25" ht="14.4" x14ac:dyDescent="0.3">
      <c r="A15" s="120">
        <v>9</v>
      </c>
      <c r="B15" s="153" t="s">
        <v>423</v>
      </c>
      <c r="C15" s="44" t="s">
        <v>425</v>
      </c>
      <c r="D15" s="47" t="s">
        <v>723</v>
      </c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65"/>
      <c r="S15" s="53"/>
    </row>
    <row r="16" spans="1:25" ht="14.4" x14ac:dyDescent="0.3">
      <c r="A16" s="120">
        <v>10</v>
      </c>
      <c r="B16" s="153" t="s">
        <v>430</v>
      </c>
      <c r="C16" s="14" t="s">
        <v>432</v>
      </c>
      <c r="D16" s="47" t="s">
        <v>724</v>
      </c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53"/>
    </row>
    <row r="17" spans="1:25" ht="14.4" x14ac:dyDescent="0.3">
      <c r="A17" s="120">
        <v>11</v>
      </c>
      <c r="B17" s="153" t="s">
        <v>72</v>
      </c>
      <c r="C17" s="14" t="s">
        <v>74</v>
      </c>
      <c r="D17" s="47" t="s">
        <v>725</v>
      </c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53"/>
    </row>
    <row r="18" spans="1:25" ht="14.4" x14ac:dyDescent="0.3">
      <c r="A18" s="120">
        <v>12</v>
      </c>
      <c r="B18" s="153" t="s">
        <v>335</v>
      </c>
      <c r="C18" s="14" t="s">
        <v>337</v>
      </c>
      <c r="D18" s="47" t="s">
        <v>726</v>
      </c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65"/>
      <c r="S18" s="53"/>
    </row>
    <row r="19" spans="1:25" ht="14.4" x14ac:dyDescent="0.3">
      <c r="A19" s="120">
        <v>13</v>
      </c>
      <c r="B19" s="153" t="s">
        <v>519</v>
      </c>
      <c r="C19" s="44" t="s">
        <v>521</v>
      </c>
      <c r="D19" s="47" t="s">
        <v>727</v>
      </c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53"/>
    </row>
    <row r="20" spans="1:25" ht="14.4" x14ac:dyDescent="0.3">
      <c r="A20" s="120">
        <v>14</v>
      </c>
      <c r="B20" s="153" t="s">
        <v>372</v>
      </c>
      <c r="C20" s="14" t="s">
        <v>374</v>
      </c>
      <c r="D20" s="47" t="s">
        <v>729</v>
      </c>
      <c r="E20" s="44"/>
      <c r="F20" s="44">
        <v>10</v>
      </c>
      <c r="G20" s="44">
        <v>10</v>
      </c>
      <c r="H20" s="44">
        <v>10</v>
      </c>
      <c r="I20" s="44">
        <v>10</v>
      </c>
      <c r="J20" s="44">
        <v>10</v>
      </c>
      <c r="K20" s="44">
        <v>10</v>
      </c>
      <c r="L20" s="44">
        <v>10</v>
      </c>
      <c r="M20" s="44">
        <v>10</v>
      </c>
      <c r="N20" s="44">
        <v>10</v>
      </c>
      <c r="O20" s="44">
        <v>10</v>
      </c>
      <c r="P20" s="44">
        <v>10</v>
      </c>
      <c r="Q20" s="44">
        <v>10</v>
      </c>
      <c r="R20" s="44">
        <f t="shared" ref="R20:R21" si="1">SUM(F20:Q20)</f>
        <v>120</v>
      </c>
      <c r="S20" s="53"/>
      <c r="U20" s="20" t="s">
        <v>964</v>
      </c>
    </row>
    <row r="21" spans="1:25" ht="15.75" customHeight="1" x14ac:dyDescent="0.3">
      <c r="A21" s="120">
        <v>15</v>
      </c>
      <c r="B21" s="153" t="s">
        <v>79</v>
      </c>
      <c r="C21" s="44" t="s">
        <v>81</v>
      </c>
      <c r="D21" s="47" t="s">
        <v>730</v>
      </c>
      <c r="E21" s="44"/>
      <c r="F21" s="44">
        <v>10</v>
      </c>
      <c r="G21" s="44">
        <v>10</v>
      </c>
      <c r="H21" s="44">
        <v>10</v>
      </c>
      <c r="I21" s="44">
        <v>10</v>
      </c>
      <c r="J21" s="44">
        <v>10</v>
      </c>
      <c r="K21" s="44">
        <v>10</v>
      </c>
      <c r="L21" s="44">
        <v>10</v>
      </c>
      <c r="M21" s="44">
        <v>10</v>
      </c>
      <c r="N21" s="44">
        <v>10</v>
      </c>
      <c r="O21" s="44">
        <v>10</v>
      </c>
      <c r="P21" s="44">
        <v>10</v>
      </c>
      <c r="Q21" s="44">
        <v>0</v>
      </c>
      <c r="R21" s="44">
        <f t="shared" si="1"/>
        <v>110</v>
      </c>
      <c r="S21" s="53"/>
      <c r="U21" s="20" t="s">
        <v>906</v>
      </c>
    </row>
    <row r="22" spans="1:25" ht="15.75" customHeight="1" x14ac:dyDescent="0.3">
      <c r="A22" s="120">
        <v>16</v>
      </c>
      <c r="B22" s="153" t="s">
        <v>232</v>
      </c>
      <c r="C22" s="14" t="s">
        <v>234</v>
      </c>
      <c r="D22" s="47" t="s">
        <v>731</v>
      </c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53"/>
    </row>
    <row r="23" spans="1:25" ht="15.75" customHeight="1" x14ac:dyDescent="0.3">
      <c r="A23" s="120">
        <v>17</v>
      </c>
      <c r="B23" s="153" t="s">
        <v>503</v>
      </c>
      <c r="C23" s="14" t="s">
        <v>505</v>
      </c>
      <c r="D23" s="47" t="s">
        <v>732</v>
      </c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53"/>
    </row>
    <row r="24" spans="1:25" ht="15.75" customHeight="1" x14ac:dyDescent="0.3">
      <c r="A24" s="120">
        <v>18</v>
      </c>
      <c r="B24" s="153" t="s">
        <v>556</v>
      </c>
      <c r="C24" s="44" t="s">
        <v>733</v>
      </c>
      <c r="D24" s="47" t="s">
        <v>734</v>
      </c>
      <c r="E24" s="44"/>
      <c r="F24" s="81">
        <v>10</v>
      </c>
      <c r="G24" s="81">
        <v>10</v>
      </c>
      <c r="H24" s="81">
        <v>10</v>
      </c>
      <c r="I24" s="81">
        <v>10</v>
      </c>
      <c r="J24" s="81">
        <v>10</v>
      </c>
      <c r="K24" s="81">
        <v>10</v>
      </c>
      <c r="L24" s="81">
        <v>10</v>
      </c>
      <c r="M24" s="81">
        <v>10</v>
      </c>
      <c r="N24" s="81">
        <v>10</v>
      </c>
      <c r="O24" s="81">
        <v>10</v>
      </c>
      <c r="P24" s="81">
        <v>10</v>
      </c>
      <c r="Q24" s="81">
        <v>10</v>
      </c>
      <c r="R24" s="81">
        <f>SUM(F24:Q24)</f>
        <v>120</v>
      </c>
      <c r="S24" s="82"/>
      <c r="T24" s="82"/>
      <c r="U24" s="82">
        <f>IF(R24=120,(R24+E24),0)</f>
        <v>120</v>
      </c>
      <c r="V24" s="82" t="s">
        <v>942</v>
      </c>
      <c r="W24" s="82"/>
      <c r="X24" s="76" t="s">
        <v>943</v>
      </c>
      <c r="Y24" s="76"/>
    </row>
    <row r="25" spans="1:25" ht="15.75" customHeight="1" x14ac:dyDescent="0.3">
      <c r="A25" s="120">
        <v>19</v>
      </c>
      <c r="B25" s="153" t="s">
        <v>595</v>
      </c>
      <c r="C25" s="44" t="s">
        <v>735</v>
      </c>
      <c r="D25" s="47" t="s">
        <v>736</v>
      </c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53"/>
    </row>
    <row r="26" spans="1:25" ht="15.75" customHeight="1" x14ac:dyDescent="0.3">
      <c r="A26" s="120">
        <v>20</v>
      </c>
      <c r="B26" s="153" t="s">
        <v>524</v>
      </c>
      <c r="C26" s="14" t="s">
        <v>526</v>
      </c>
      <c r="D26" s="47" t="s">
        <v>737</v>
      </c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53"/>
    </row>
    <row r="27" spans="1:25" ht="15.75" customHeight="1" x14ac:dyDescent="0.3">
      <c r="A27" s="120">
        <v>21</v>
      </c>
      <c r="B27" s="153" t="s">
        <v>532</v>
      </c>
      <c r="C27" s="14" t="s">
        <v>534</v>
      </c>
      <c r="D27" s="47" t="s">
        <v>738</v>
      </c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65"/>
      <c r="S27" s="53"/>
    </row>
    <row r="28" spans="1:25" ht="15.75" customHeight="1" x14ac:dyDescent="0.3">
      <c r="A28" s="120">
        <v>22</v>
      </c>
      <c r="B28" s="153" t="s">
        <v>653</v>
      </c>
      <c r="C28" s="14" t="s">
        <v>656</v>
      </c>
      <c r="D28" s="47" t="s">
        <v>739</v>
      </c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53"/>
    </row>
    <row r="29" spans="1:25" ht="15.75" customHeight="1" x14ac:dyDescent="0.3">
      <c r="A29" s="120">
        <v>23</v>
      </c>
      <c r="B29" s="153" t="s">
        <v>678</v>
      </c>
      <c r="C29" s="14" t="s">
        <v>681</v>
      </c>
      <c r="D29" s="47" t="s">
        <v>740</v>
      </c>
      <c r="E29" s="44"/>
      <c r="F29" s="44">
        <v>10</v>
      </c>
      <c r="G29" s="44">
        <v>10</v>
      </c>
      <c r="H29" s="44">
        <v>10</v>
      </c>
      <c r="I29" s="44">
        <v>10</v>
      </c>
      <c r="J29" s="44">
        <v>10</v>
      </c>
      <c r="K29" s="44">
        <v>10</v>
      </c>
      <c r="L29" s="44">
        <v>10</v>
      </c>
      <c r="M29" s="44">
        <v>10</v>
      </c>
      <c r="N29" s="44">
        <v>10</v>
      </c>
      <c r="O29" s="44">
        <v>10</v>
      </c>
      <c r="P29" s="44">
        <v>10</v>
      </c>
      <c r="Q29" s="44">
        <v>10</v>
      </c>
      <c r="R29" s="44">
        <v>120</v>
      </c>
      <c r="S29" s="53"/>
      <c r="U29" s="20" t="s">
        <v>965</v>
      </c>
    </row>
    <row r="30" spans="1:25" ht="15.75" customHeight="1" x14ac:dyDescent="0.3">
      <c r="A30" s="120">
        <v>24</v>
      </c>
      <c r="B30" s="153" t="s">
        <v>356</v>
      </c>
      <c r="C30" s="44" t="s">
        <v>741</v>
      </c>
      <c r="D30" s="47" t="s">
        <v>742</v>
      </c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53"/>
    </row>
    <row r="31" spans="1:25" ht="15.75" customHeight="1" x14ac:dyDescent="0.3">
      <c r="A31" s="120">
        <v>25</v>
      </c>
      <c r="B31" s="153" t="s">
        <v>462</v>
      </c>
      <c r="C31" s="44" t="s">
        <v>743</v>
      </c>
      <c r="D31" s="47" t="s">
        <v>744</v>
      </c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53"/>
    </row>
    <row r="32" spans="1:25" ht="15.75" customHeight="1" x14ac:dyDescent="0.3">
      <c r="A32" s="120">
        <v>26</v>
      </c>
      <c r="B32" s="153" t="s">
        <v>224</v>
      </c>
      <c r="C32" s="44" t="s">
        <v>745</v>
      </c>
      <c r="D32" s="47" t="s">
        <v>746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53"/>
    </row>
    <row r="33" spans="1:26" ht="15.75" customHeight="1" x14ac:dyDescent="0.3">
      <c r="A33" s="120">
        <v>27</v>
      </c>
      <c r="B33" s="153" t="s">
        <v>328</v>
      </c>
      <c r="C33" s="44" t="s">
        <v>329</v>
      </c>
      <c r="D33" s="47" t="s">
        <v>747</v>
      </c>
      <c r="E33" s="44"/>
      <c r="F33" s="44">
        <v>10</v>
      </c>
      <c r="G33" s="44">
        <v>10</v>
      </c>
      <c r="H33" s="44">
        <v>10</v>
      </c>
      <c r="I33" s="44">
        <v>10</v>
      </c>
      <c r="J33" s="44">
        <v>10</v>
      </c>
      <c r="K33" s="44">
        <v>10</v>
      </c>
      <c r="L33" s="44">
        <v>10</v>
      </c>
      <c r="M33" s="44">
        <v>10</v>
      </c>
      <c r="N33" s="44">
        <v>10</v>
      </c>
      <c r="O33" s="44">
        <v>10</v>
      </c>
      <c r="P33" s="44">
        <v>10</v>
      </c>
      <c r="Q33" s="44">
        <v>10</v>
      </c>
      <c r="R33" s="44">
        <f t="shared" ref="R33:R35" si="2">SUM(F33:Q33)</f>
        <v>120</v>
      </c>
      <c r="S33" s="53"/>
      <c r="U33" s="20" t="s">
        <v>966</v>
      </c>
    </row>
    <row r="34" spans="1:26" ht="15.75" customHeight="1" x14ac:dyDescent="0.3">
      <c r="A34" s="120">
        <v>28</v>
      </c>
      <c r="B34" s="153" t="s">
        <v>172</v>
      </c>
      <c r="C34" s="44" t="s">
        <v>174</v>
      </c>
      <c r="D34" s="47" t="s">
        <v>748</v>
      </c>
      <c r="E34" s="44"/>
      <c r="F34" s="44">
        <v>10</v>
      </c>
      <c r="G34" s="44">
        <v>10</v>
      </c>
      <c r="H34" s="44">
        <v>10</v>
      </c>
      <c r="I34" s="44">
        <v>10</v>
      </c>
      <c r="J34" s="44">
        <v>10</v>
      </c>
      <c r="K34" s="44">
        <v>10</v>
      </c>
      <c r="L34" s="44">
        <v>10</v>
      </c>
      <c r="M34" s="44">
        <v>10</v>
      </c>
      <c r="N34" s="44">
        <v>10</v>
      </c>
      <c r="O34" s="44">
        <v>10</v>
      </c>
      <c r="P34" s="44">
        <v>10</v>
      </c>
      <c r="Q34" s="44">
        <v>10</v>
      </c>
      <c r="R34" s="44">
        <f t="shared" si="2"/>
        <v>120</v>
      </c>
      <c r="S34" s="53"/>
    </row>
    <row r="35" spans="1:26" ht="15.75" customHeight="1" x14ac:dyDescent="0.3">
      <c r="A35" s="120">
        <v>29</v>
      </c>
      <c r="B35" s="153" t="s">
        <v>348</v>
      </c>
      <c r="C35" s="14" t="s">
        <v>749</v>
      </c>
      <c r="D35" s="47" t="s">
        <v>750</v>
      </c>
      <c r="E35" s="44"/>
      <c r="F35" s="44">
        <v>10</v>
      </c>
      <c r="G35" s="44">
        <v>10</v>
      </c>
      <c r="H35" s="44">
        <v>10</v>
      </c>
      <c r="I35" s="44">
        <v>10</v>
      </c>
      <c r="J35" s="44">
        <v>10</v>
      </c>
      <c r="K35" s="44">
        <v>10</v>
      </c>
      <c r="L35" s="44">
        <v>10</v>
      </c>
      <c r="M35" s="44">
        <v>10</v>
      </c>
      <c r="N35" s="44">
        <v>10</v>
      </c>
      <c r="O35" s="44">
        <v>10</v>
      </c>
      <c r="P35" s="44">
        <v>10</v>
      </c>
      <c r="Q35" s="44">
        <v>10</v>
      </c>
      <c r="R35" s="44">
        <f t="shared" si="2"/>
        <v>120</v>
      </c>
      <c r="S35" s="53"/>
    </row>
    <row r="36" spans="1:26" ht="15.75" customHeight="1" x14ac:dyDescent="0.3">
      <c r="A36" s="120">
        <v>30</v>
      </c>
      <c r="B36" s="153" t="s">
        <v>85</v>
      </c>
      <c r="C36" s="44" t="s">
        <v>751</v>
      </c>
      <c r="D36" s="47" t="s">
        <v>752</v>
      </c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53"/>
    </row>
    <row r="37" spans="1:26" ht="15.75" customHeight="1" x14ac:dyDescent="0.3">
      <c r="A37" s="120">
        <v>31</v>
      </c>
      <c r="B37" s="153" t="s">
        <v>577</v>
      </c>
      <c r="C37" s="14" t="s">
        <v>579</v>
      </c>
      <c r="D37" s="47" t="s">
        <v>753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53"/>
    </row>
    <row r="38" spans="1:26" ht="15.75" customHeight="1" x14ac:dyDescent="0.3">
      <c r="A38" s="120">
        <v>32</v>
      </c>
      <c r="B38" s="153" t="s">
        <v>31</v>
      </c>
      <c r="C38" s="62" t="s">
        <v>754</v>
      </c>
      <c r="D38" s="47" t="s">
        <v>755</v>
      </c>
      <c r="E38" s="44"/>
      <c r="F38" s="44">
        <v>10</v>
      </c>
      <c r="G38" s="44">
        <v>10</v>
      </c>
      <c r="H38" s="44">
        <v>10</v>
      </c>
      <c r="I38" s="44">
        <v>10</v>
      </c>
      <c r="J38" s="44">
        <v>10</v>
      </c>
      <c r="K38" s="44">
        <v>10</v>
      </c>
      <c r="L38" s="44">
        <v>10</v>
      </c>
      <c r="M38" s="44">
        <v>10</v>
      </c>
      <c r="N38" s="44">
        <v>10</v>
      </c>
      <c r="O38" s="44">
        <v>10</v>
      </c>
      <c r="P38" s="44">
        <v>10</v>
      </c>
      <c r="Q38" s="44">
        <v>10</v>
      </c>
      <c r="R38" s="44">
        <f>SUM(F38:Q38)</f>
        <v>120</v>
      </c>
      <c r="S38" s="53"/>
      <c r="U38" s="20" t="s">
        <v>967</v>
      </c>
    </row>
    <row r="39" spans="1:26" ht="15.75" customHeight="1" x14ac:dyDescent="0.3">
      <c r="A39" s="120">
        <v>33</v>
      </c>
      <c r="B39" s="153" t="s">
        <v>117</v>
      </c>
      <c r="C39" s="44" t="s">
        <v>119</v>
      </c>
      <c r="D39" s="47" t="s">
        <v>756</v>
      </c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53"/>
    </row>
    <row r="40" spans="1:26" ht="15.75" customHeight="1" x14ac:dyDescent="0.3">
      <c r="A40" s="196">
        <v>34</v>
      </c>
      <c r="B40" s="179" t="s">
        <v>444</v>
      </c>
      <c r="C40" s="156" t="s">
        <v>446</v>
      </c>
      <c r="D40" s="157" t="s">
        <v>757</v>
      </c>
      <c r="E40" s="156"/>
      <c r="F40" s="156">
        <v>10</v>
      </c>
      <c r="G40" s="156">
        <v>10</v>
      </c>
      <c r="H40" s="156">
        <v>10</v>
      </c>
      <c r="I40" s="156">
        <v>10</v>
      </c>
      <c r="J40" s="156">
        <v>10</v>
      </c>
      <c r="K40" s="156">
        <v>10</v>
      </c>
      <c r="L40" s="156">
        <v>10</v>
      </c>
      <c r="M40" s="156">
        <v>10</v>
      </c>
      <c r="N40" s="156">
        <v>10</v>
      </c>
      <c r="O40" s="156">
        <v>10</v>
      </c>
      <c r="P40" s="156">
        <v>10</v>
      </c>
      <c r="Q40" s="156">
        <v>10</v>
      </c>
      <c r="R40" s="156">
        <f>SUM(F40:Q40)</f>
        <v>120</v>
      </c>
      <c r="S40" s="159"/>
      <c r="T40" s="161"/>
      <c r="U40" s="166" t="s">
        <v>1133</v>
      </c>
      <c r="V40" s="161"/>
      <c r="W40" s="161"/>
    </row>
    <row r="41" spans="1:26" ht="15.75" customHeight="1" x14ac:dyDescent="0.3">
      <c r="A41" s="120">
        <v>35</v>
      </c>
      <c r="B41" s="153" t="s">
        <v>265</v>
      </c>
      <c r="C41" s="14" t="s">
        <v>267</v>
      </c>
      <c r="D41" s="47" t="s">
        <v>758</v>
      </c>
      <c r="E41" s="44"/>
      <c r="F41" s="44">
        <v>10</v>
      </c>
      <c r="G41" s="44">
        <v>10</v>
      </c>
      <c r="H41" s="44">
        <v>10</v>
      </c>
      <c r="I41" s="44">
        <v>10</v>
      </c>
      <c r="J41" s="44">
        <v>10</v>
      </c>
      <c r="K41" s="44">
        <v>10</v>
      </c>
      <c r="L41" s="44">
        <v>10</v>
      </c>
      <c r="M41" s="44">
        <v>10</v>
      </c>
      <c r="N41" s="44">
        <v>10</v>
      </c>
      <c r="O41" s="44">
        <v>10</v>
      </c>
      <c r="P41" s="44">
        <v>10</v>
      </c>
      <c r="Q41" s="44">
        <v>10</v>
      </c>
      <c r="R41" s="44">
        <f>SUM(F41:Q41)</f>
        <v>120</v>
      </c>
      <c r="S41" s="53"/>
      <c r="T41" s="20" t="s">
        <v>968</v>
      </c>
    </row>
    <row r="42" spans="1:26" ht="15.75" customHeight="1" x14ac:dyDescent="0.3">
      <c r="A42" s="120">
        <v>36</v>
      </c>
      <c r="B42" s="153" t="s">
        <v>63</v>
      </c>
      <c r="C42" s="14" t="s">
        <v>65</v>
      </c>
      <c r="D42" s="47" t="s">
        <v>759</v>
      </c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53"/>
    </row>
    <row r="43" spans="1:26" ht="15.75" customHeight="1" x14ac:dyDescent="0.3">
      <c r="A43" s="120">
        <v>37</v>
      </c>
      <c r="B43" s="362" t="s">
        <v>47</v>
      </c>
      <c r="C43" s="24" t="s">
        <v>49</v>
      </c>
      <c r="D43" s="77" t="s">
        <v>761</v>
      </c>
      <c r="E43" s="78"/>
      <c r="F43" s="74">
        <v>10</v>
      </c>
      <c r="G43" s="74">
        <v>10</v>
      </c>
      <c r="H43" s="74">
        <v>10</v>
      </c>
      <c r="I43" s="74">
        <v>10</v>
      </c>
      <c r="J43" s="74">
        <v>10</v>
      </c>
      <c r="K43" s="74">
        <v>10</v>
      </c>
      <c r="L43" s="74">
        <v>10</v>
      </c>
      <c r="M43" s="74">
        <v>10</v>
      </c>
      <c r="N43" s="74">
        <v>10</v>
      </c>
      <c r="O43" s="74">
        <v>10</v>
      </c>
      <c r="P43" s="74">
        <v>10</v>
      </c>
      <c r="Q43" s="74">
        <v>10</v>
      </c>
      <c r="R43" s="74">
        <v>120</v>
      </c>
      <c r="S43" s="75"/>
      <c r="T43" s="75" t="s">
        <v>969</v>
      </c>
      <c r="U43" s="75"/>
      <c r="V43" s="75"/>
    </row>
    <row r="44" spans="1:26" ht="15.75" customHeight="1" x14ac:dyDescent="0.3">
      <c r="A44" s="120">
        <v>38</v>
      </c>
      <c r="B44" s="153" t="s">
        <v>380</v>
      </c>
      <c r="C44" s="14" t="s">
        <v>382</v>
      </c>
      <c r="D44" s="47" t="s">
        <v>762</v>
      </c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53"/>
    </row>
    <row r="45" spans="1:26" ht="15.75" customHeight="1" x14ac:dyDescent="0.3">
      <c r="A45" s="120">
        <v>39</v>
      </c>
      <c r="B45" s="363" t="s">
        <v>511</v>
      </c>
      <c r="C45" s="86" t="s">
        <v>513</v>
      </c>
      <c r="D45" s="72" t="s">
        <v>763</v>
      </c>
      <c r="E45" s="74"/>
      <c r="F45" s="74">
        <v>10</v>
      </c>
      <c r="G45" s="74">
        <v>10</v>
      </c>
      <c r="H45" s="74">
        <v>10</v>
      </c>
      <c r="I45" s="74">
        <v>10</v>
      </c>
      <c r="J45" s="74">
        <v>10</v>
      </c>
      <c r="K45" s="74">
        <v>10</v>
      </c>
      <c r="L45" s="74">
        <v>10</v>
      </c>
      <c r="M45" s="74">
        <v>10</v>
      </c>
      <c r="N45" s="74">
        <v>10</v>
      </c>
      <c r="O45" s="74">
        <v>10</v>
      </c>
      <c r="P45" s="74">
        <v>10</v>
      </c>
      <c r="Q45" s="74">
        <v>10</v>
      </c>
      <c r="R45" s="74">
        <v>120</v>
      </c>
      <c r="S45" s="75"/>
      <c r="T45" s="75" t="s">
        <v>970</v>
      </c>
      <c r="U45" s="75"/>
      <c r="V45" s="75"/>
    </row>
    <row r="46" spans="1:26" ht="15.75" customHeight="1" x14ac:dyDescent="0.3">
      <c r="A46" s="120">
        <v>40</v>
      </c>
      <c r="B46" s="363" t="s">
        <v>157</v>
      </c>
      <c r="C46" s="86" t="s">
        <v>159</v>
      </c>
      <c r="D46" s="72" t="s">
        <v>764</v>
      </c>
      <c r="E46" s="74"/>
      <c r="F46" s="74">
        <v>10</v>
      </c>
      <c r="G46" s="74">
        <v>10</v>
      </c>
      <c r="H46" s="74">
        <v>10</v>
      </c>
      <c r="I46" s="74">
        <v>10</v>
      </c>
      <c r="J46" s="74">
        <v>10</v>
      </c>
      <c r="K46" s="74">
        <v>10</v>
      </c>
      <c r="L46" s="74">
        <v>10</v>
      </c>
      <c r="M46" s="74">
        <v>10</v>
      </c>
      <c r="N46" s="74">
        <v>10</v>
      </c>
      <c r="O46" s="74">
        <v>10</v>
      </c>
      <c r="P46" s="74">
        <v>10</v>
      </c>
      <c r="Q46" s="74">
        <v>10</v>
      </c>
      <c r="R46" s="74">
        <v>120</v>
      </c>
      <c r="S46" s="75"/>
      <c r="T46" s="75" t="s">
        <v>971</v>
      </c>
      <c r="U46" s="75"/>
      <c r="V46" s="75"/>
      <c r="W46" s="53"/>
      <c r="X46" s="53"/>
      <c r="Y46" s="53"/>
      <c r="Z46" s="53"/>
    </row>
    <row r="47" spans="1:26" ht="15.75" customHeight="1" x14ac:dyDescent="0.3">
      <c r="A47" s="120">
        <v>41</v>
      </c>
      <c r="B47" s="153" t="s">
        <v>590</v>
      </c>
      <c r="C47" s="44" t="s">
        <v>765</v>
      </c>
      <c r="D47" s="47" t="s">
        <v>766</v>
      </c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53"/>
    </row>
    <row r="48" spans="1:26" ht="15.75" customHeight="1" x14ac:dyDescent="0.3">
      <c r="A48" s="120">
        <v>42</v>
      </c>
      <c r="B48" s="153" t="s">
        <v>614</v>
      </c>
      <c r="C48" s="44" t="s">
        <v>767</v>
      </c>
      <c r="D48" s="47" t="s">
        <v>768</v>
      </c>
      <c r="E48" s="44"/>
      <c r="F48" s="44">
        <v>10</v>
      </c>
      <c r="G48" s="44">
        <v>10</v>
      </c>
      <c r="H48" s="44">
        <v>10</v>
      </c>
      <c r="I48" s="44">
        <v>10</v>
      </c>
      <c r="J48" s="44">
        <v>10</v>
      </c>
      <c r="K48" s="44">
        <v>10</v>
      </c>
      <c r="L48" s="44">
        <v>10</v>
      </c>
      <c r="M48" s="44">
        <v>10</v>
      </c>
      <c r="N48" s="44">
        <v>10</v>
      </c>
      <c r="O48" s="44">
        <v>10</v>
      </c>
      <c r="P48" s="44">
        <v>10</v>
      </c>
      <c r="Q48" s="44">
        <v>10</v>
      </c>
      <c r="R48" s="44">
        <f t="shared" ref="R48" si="3">SUM(F48:Q48)</f>
        <v>120</v>
      </c>
      <c r="S48" s="53"/>
      <c r="T48" s="20" t="s">
        <v>972</v>
      </c>
    </row>
    <row r="49" spans="1:26" ht="15.75" customHeight="1" x14ac:dyDescent="0.3">
      <c r="A49" s="120">
        <v>43</v>
      </c>
      <c r="B49" s="153" t="s">
        <v>22</v>
      </c>
      <c r="C49" s="3" t="s">
        <v>25</v>
      </c>
      <c r="D49" s="47" t="s">
        <v>770</v>
      </c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53"/>
      <c r="T49" s="173"/>
      <c r="U49" s="20"/>
      <c r="V49" s="20"/>
    </row>
    <row r="50" spans="1:26" ht="15.75" customHeight="1" x14ac:dyDescent="0.3">
      <c r="A50" s="120">
        <v>44</v>
      </c>
      <c r="B50" s="153" t="s">
        <v>110</v>
      </c>
      <c r="C50" s="44" t="s">
        <v>112</v>
      </c>
      <c r="D50" s="47" t="s">
        <v>771</v>
      </c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53"/>
    </row>
    <row r="51" spans="1:26" ht="15.75" customHeight="1" x14ac:dyDescent="0.3">
      <c r="A51" s="120">
        <v>45</v>
      </c>
      <c r="B51" s="153" t="s">
        <v>134</v>
      </c>
      <c r="C51" s="3" t="s">
        <v>136</v>
      </c>
      <c r="D51" s="47" t="s">
        <v>772</v>
      </c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53"/>
    </row>
    <row r="52" spans="1:26" ht="15.75" customHeight="1" x14ac:dyDescent="0.3">
      <c r="A52" s="120">
        <v>46</v>
      </c>
      <c r="B52" s="153" t="s">
        <v>192</v>
      </c>
      <c r="C52" s="44" t="s">
        <v>773</v>
      </c>
      <c r="D52" s="47" t="s">
        <v>774</v>
      </c>
      <c r="E52" s="44"/>
      <c r="F52" s="44">
        <v>10</v>
      </c>
      <c r="G52" s="44">
        <v>10</v>
      </c>
      <c r="H52" s="44">
        <v>10</v>
      </c>
      <c r="I52" s="44">
        <v>10</v>
      </c>
      <c r="J52" s="44">
        <v>10</v>
      </c>
      <c r="K52" s="44">
        <v>10</v>
      </c>
      <c r="L52" s="44">
        <v>10</v>
      </c>
      <c r="M52" s="44">
        <v>10</v>
      </c>
      <c r="N52" s="44">
        <v>10</v>
      </c>
      <c r="O52" s="44">
        <v>10</v>
      </c>
      <c r="P52" s="44">
        <v>10</v>
      </c>
      <c r="Q52" s="44">
        <v>10</v>
      </c>
      <c r="R52" s="44">
        <f>SUM(F52:Q52)</f>
        <v>120</v>
      </c>
      <c r="S52" s="53"/>
      <c r="T52" s="20" t="s">
        <v>954</v>
      </c>
    </row>
    <row r="53" spans="1:26" ht="15.75" customHeight="1" x14ac:dyDescent="0.3">
      <c r="A53" s="120">
        <v>47</v>
      </c>
      <c r="B53" s="153" t="s">
        <v>321</v>
      </c>
      <c r="C53" s="3" t="s">
        <v>323</v>
      </c>
      <c r="D53" s="47" t="s">
        <v>775</v>
      </c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53"/>
    </row>
    <row r="54" spans="1:26" ht="15.75" customHeight="1" x14ac:dyDescent="0.3">
      <c r="A54" s="120">
        <v>48</v>
      </c>
      <c r="B54" s="153" t="s">
        <v>450</v>
      </c>
      <c r="C54" s="14" t="s">
        <v>452</v>
      </c>
      <c r="D54" s="47" t="s">
        <v>776</v>
      </c>
      <c r="E54" s="44"/>
      <c r="F54" s="44">
        <v>10</v>
      </c>
      <c r="G54" s="44">
        <v>10</v>
      </c>
      <c r="H54" s="44">
        <v>10</v>
      </c>
      <c r="I54" s="44">
        <v>10</v>
      </c>
      <c r="J54" s="44">
        <v>10</v>
      </c>
      <c r="K54" s="44">
        <v>10</v>
      </c>
      <c r="L54" s="44">
        <v>10</v>
      </c>
      <c r="M54" s="44">
        <v>10</v>
      </c>
      <c r="N54" s="44">
        <v>10</v>
      </c>
      <c r="O54" s="44">
        <v>10</v>
      </c>
      <c r="P54" s="44">
        <v>10</v>
      </c>
      <c r="Q54" s="44">
        <v>10</v>
      </c>
      <c r="R54" s="44">
        <f>SUM(F54:Q54)</f>
        <v>120</v>
      </c>
      <c r="S54" s="53"/>
      <c r="T54" s="20" t="s">
        <v>974</v>
      </c>
    </row>
    <row r="55" spans="1:26" ht="15.75" customHeight="1" x14ac:dyDescent="0.3">
      <c r="A55" s="120">
        <v>49</v>
      </c>
      <c r="B55" s="153" t="s">
        <v>669</v>
      </c>
      <c r="C55" s="14" t="s">
        <v>672</v>
      </c>
      <c r="D55" s="47" t="s">
        <v>777</v>
      </c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53"/>
      <c r="T55" s="53"/>
      <c r="U55" s="53"/>
      <c r="V55" s="53"/>
      <c r="W55" s="53"/>
      <c r="X55" s="53"/>
      <c r="Y55" s="53"/>
      <c r="Z55" s="53"/>
    </row>
    <row r="56" spans="1:26" ht="15.75" customHeight="1" x14ac:dyDescent="0.3">
      <c r="A56" s="120">
        <v>50</v>
      </c>
      <c r="B56" s="153" t="s">
        <v>257</v>
      </c>
      <c r="C56" s="3" t="s">
        <v>259</v>
      </c>
      <c r="D56" s="47" t="s">
        <v>778</v>
      </c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53"/>
      <c r="T56" s="53"/>
      <c r="U56" s="53"/>
      <c r="V56" s="53"/>
      <c r="W56" s="53"/>
      <c r="X56" s="53"/>
      <c r="Y56" s="53"/>
      <c r="Z56" s="53"/>
    </row>
    <row r="57" spans="1:26" ht="15.75" customHeight="1" x14ac:dyDescent="0.3">
      <c r="A57" s="120">
        <v>51</v>
      </c>
      <c r="B57" s="153" t="s">
        <v>364</v>
      </c>
      <c r="C57" s="44" t="s">
        <v>366</v>
      </c>
      <c r="D57" s="47" t="s">
        <v>779</v>
      </c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65"/>
      <c r="S57" s="53"/>
      <c r="T57" s="53"/>
      <c r="U57" s="53"/>
      <c r="V57" s="53"/>
      <c r="W57" s="53"/>
      <c r="X57" s="53"/>
      <c r="Y57" s="53"/>
      <c r="Z57" s="53"/>
    </row>
    <row r="58" spans="1:26" ht="15.75" customHeight="1" x14ac:dyDescent="0.3">
      <c r="A58" s="120">
        <v>52</v>
      </c>
      <c r="B58" s="363" t="s">
        <v>489</v>
      </c>
      <c r="C58" s="86" t="s">
        <v>491</v>
      </c>
      <c r="D58" s="72" t="s">
        <v>780</v>
      </c>
      <c r="E58" s="74"/>
      <c r="F58" s="74">
        <v>10</v>
      </c>
      <c r="G58" s="74">
        <v>10</v>
      </c>
      <c r="H58" s="74">
        <v>10</v>
      </c>
      <c r="I58" s="74">
        <v>10</v>
      </c>
      <c r="J58" s="74">
        <v>10</v>
      </c>
      <c r="K58" s="74">
        <v>10</v>
      </c>
      <c r="L58" s="74">
        <v>10</v>
      </c>
      <c r="M58" s="74">
        <v>10</v>
      </c>
      <c r="N58" s="74">
        <v>10</v>
      </c>
      <c r="O58" s="74">
        <v>10</v>
      </c>
      <c r="P58" s="74">
        <v>10</v>
      </c>
      <c r="Q58" s="74">
        <v>10</v>
      </c>
      <c r="R58" s="74">
        <v>120</v>
      </c>
      <c r="S58" s="75"/>
      <c r="T58" s="75" t="s">
        <v>956</v>
      </c>
      <c r="U58" s="75"/>
      <c r="V58" s="53"/>
      <c r="W58" s="53"/>
      <c r="X58" s="53"/>
      <c r="Y58" s="53"/>
      <c r="Z58" s="53"/>
    </row>
    <row r="59" spans="1:26" ht="15.75" customHeight="1" x14ac:dyDescent="0.3">
      <c r="A59" s="120">
        <v>53</v>
      </c>
      <c r="B59" s="363" t="s">
        <v>126</v>
      </c>
      <c r="C59" s="86" t="s">
        <v>128</v>
      </c>
      <c r="D59" s="72" t="s">
        <v>781</v>
      </c>
      <c r="E59" s="74"/>
      <c r="F59" s="94">
        <v>10</v>
      </c>
      <c r="G59" s="95">
        <v>10</v>
      </c>
      <c r="H59" s="95">
        <v>10</v>
      </c>
      <c r="I59" s="95">
        <v>10</v>
      </c>
      <c r="J59" s="95">
        <v>10</v>
      </c>
      <c r="K59" s="95">
        <v>10</v>
      </c>
      <c r="L59" s="95">
        <v>10</v>
      </c>
      <c r="M59" s="95">
        <v>10</v>
      </c>
      <c r="N59" s="95">
        <v>10</v>
      </c>
      <c r="O59" s="95">
        <v>10</v>
      </c>
      <c r="P59" s="95">
        <v>10</v>
      </c>
      <c r="Q59" s="95">
        <v>10</v>
      </c>
      <c r="R59" s="95">
        <v>120</v>
      </c>
      <c r="S59" s="75"/>
      <c r="T59" s="75" t="s">
        <v>975</v>
      </c>
      <c r="U59" s="75"/>
      <c r="V59" s="76"/>
      <c r="W59" s="53"/>
      <c r="X59" s="53"/>
      <c r="Y59" s="53"/>
      <c r="Z59" s="53"/>
    </row>
    <row r="60" spans="1:26" ht="15.75" customHeight="1" x14ac:dyDescent="0.3">
      <c r="A60" s="120">
        <v>54</v>
      </c>
      <c r="B60" s="363" t="s">
        <v>239</v>
      </c>
      <c r="C60" s="74" t="s">
        <v>782</v>
      </c>
      <c r="D60" s="72" t="s">
        <v>783</v>
      </c>
      <c r="E60" s="74"/>
      <c r="F60" s="74">
        <v>10</v>
      </c>
      <c r="G60" s="74">
        <v>10</v>
      </c>
      <c r="H60" s="74">
        <v>10</v>
      </c>
      <c r="I60" s="74">
        <v>10</v>
      </c>
      <c r="J60" s="74">
        <v>10</v>
      </c>
      <c r="K60" s="74">
        <v>10</v>
      </c>
      <c r="L60" s="74">
        <v>10</v>
      </c>
      <c r="M60" s="74">
        <v>10</v>
      </c>
      <c r="N60" s="74">
        <v>10</v>
      </c>
      <c r="O60" s="74">
        <v>10</v>
      </c>
      <c r="P60" s="74">
        <v>10</v>
      </c>
      <c r="Q60" s="74">
        <v>10</v>
      </c>
      <c r="R60" s="74">
        <v>120</v>
      </c>
      <c r="S60" s="75"/>
      <c r="T60" s="75" t="s">
        <v>976</v>
      </c>
      <c r="U60" s="75"/>
      <c r="V60" s="53"/>
      <c r="W60" s="53"/>
      <c r="X60" s="53"/>
      <c r="Y60" s="53"/>
      <c r="Z60" s="53"/>
    </row>
    <row r="61" spans="1:26" ht="15.75" customHeight="1" x14ac:dyDescent="0.3">
      <c r="A61" s="120">
        <v>55</v>
      </c>
      <c r="B61" s="153" t="s">
        <v>249</v>
      </c>
      <c r="C61" s="14" t="s">
        <v>251</v>
      </c>
      <c r="D61" s="47" t="s">
        <v>785</v>
      </c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53"/>
      <c r="T61" s="53"/>
      <c r="U61" s="53"/>
      <c r="V61" s="53"/>
      <c r="W61" s="53"/>
      <c r="X61" s="53"/>
      <c r="Y61" s="53"/>
      <c r="Z61" s="53"/>
    </row>
    <row r="62" spans="1:26" ht="15.75" customHeight="1" x14ac:dyDescent="0.3">
      <c r="A62" s="120">
        <v>56</v>
      </c>
      <c r="B62" s="153" t="s">
        <v>395</v>
      </c>
      <c r="C62" s="14" t="s">
        <v>397</v>
      </c>
      <c r="D62" s="47" t="s">
        <v>786</v>
      </c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53"/>
      <c r="T62" s="53"/>
      <c r="U62" s="53"/>
      <c r="V62" s="53"/>
      <c r="W62" s="53"/>
      <c r="X62" s="53"/>
      <c r="Y62" s="53"/>
      <c r="Z62" s="53"/>
    </row>
    <row r="63" spans="1:26" ht="15.75" customHeight="1" x14ac:dyDescent="0.3">
      <c r="A63" s="120">
        <v>57</v>
      </c>
      <c r="B63" s="153" t="s">
        <v>150</v>
      </c>
      <c r="C63" s="14" t="s">
        <v>152</v>
      </c>
      <c r="D63" s="47" t="s">
        <v>789</v>
      </c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53"/>
      <c r="T63" s="53"/>
      <c r="U63" s="53"/>
      <c r="V63" s="53"/>
      <c r="W63" s="53"/>
      <c r="X63" s="53"/>
      <c r="Y63" s="53"/>
      <c r="Z63" s="53"/>
    </row>
    <row r="64" spans="1:26" ht="15.75" customHeight="1" x14ac:dyDescent="0.3">
      <c r="A64" s="120">
        <v>58</v>
      </c>
      <c r="B64" s="153" t="s">
        <v>438</v>
      </c>
      <c r="C64" s="3" t="s">
        <v>440</v>
      </c>
      <c r="D64" s="47" t="s">
        <v>791</v>
      </c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53"/>
      <c r="T64" s="53"/>
      <c r="U64" s="53"/>
      <c r="V64" s="53"/>
      <c r="W64" s="53"/>
      <c r="X64" s="53"/>
      <c r="Y64" s="53"/>
      <c r="Z64" s="53"/>
    </row>
    <row r="65" spans="1:26" ht="15.75" customHeight="1" x14ac:dyDescent="0.3">
      <c r="A65" s="120">
        <v>59</v>
      </c>
      <c r="B65" s="153" t="s">
        <v>307</v>
      </c>
      <c r="C65" s="3" t="s">
        <v>309</v>
      </c>
      <c r="D65" s="47" t="s">
        <v>792</v>
      </c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53"/>
      <c r="T65" s="53"/>
      <c r="U65" s="53"/>
      <c r="V65" s="53"/>
      <c r="W65" s="53"/>
      <c r="X65" s="53"/>
      <c r="Y65" s="53"/>
      <c r="Z65" s="53"/>
    </row>
    <row r="66" spans="1:26" ht="15.75" customHeight="1" x14ac:dyDescent="0.3">
      <c r="A66" s="120">
        <v>60</v>
      </c>
      <c r="B66" s="153" t="s">
        <v>217</v>
      </c>
      <c r="C66" s="3" t="s">
        <v>219</v>
      </c>
      <c r="D66" s="47" t="s">
        <v>793</v>
      </c>
      <c r="E66" s="44"/>
      <c r="F66" s="44">
        <v>10</v>
      </c>
      <c r="G66" s="44">
        <v>10</v>
      </c>
      <c r="H66" s="44">
        <v>10</v>
      </c>
      <c r="I66" s="44">
        <v>10</v>
      </c>
      <c r="J66" s="44">
        <v>10</v>
      </c>
      <c r="K66" s="44">
        <v>10</v>
      </c>
      <c r="L66" s="44">
        <v>10</v>
      </c>
      <c r="M66" s="44">
        <v>10</v>
      </c>
      <c r="N66" s="44">
        <v>10</v>
      </c>
      <c r="O66" s="44">
        <v>10</v>
      </c>
      <c r="P66" s="44">
        <v>10</v>
      </c>
      <c r="Q66" s="44">
        <v>10</v>
      </c>
      <c r="R66" s="44">
        <f>SUM(F66:Q66)</f>
        <v>120</v>
      </c>
      <c r="S66" s="53"/>
      <c r="T66" s="53"/>
      <c r="U66" s="53"/>
      <c r="V66" s="53"/>
      <c r="W66" s="53"/>
      <c r="X66" s="53"/>
      <c r="Y66" s="53"/>
      <c r="Z66" s="53"/>
    </row>
    <row r="67" spans="1:26" ht="15.75" customHeight="1" x14ac:dyDescent="0.3">
      <c r="A67" s="120">
        <v>61</v>
      </c>
      <c r="B67" s="153" t="s">
        <v>301</v>
      </c>
      <c r="C67" s="44" t="s">
        <v>794</v>
      </c>
      <c r="D67" s="47" t="s">
        <v>795</v>
      </c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53"/>
      <c r="T67" s="53"/>
      <c r="U67" s="53"/>
      <c r="V67" s="53"/>
      <c r="W67" s="53"/>
      <c r="X67" s="53"/>
      <c r="Y67" s="53"/>
      <c r="Z67" s="53"/>
    </row>
    <row r="68" spans="1:26" ht="15.75" customHeight="1" x14ac:dyDescent="0.3">
      <c r="A68" s="120">
        <v>62</v>
      </c>
      <c r="B68" s="153" t="s">
        <v>342</v>
      </c>
      <c r="C68" s="3" t="s">
        <v>344</v>
      </c>
      <c r="D68" s="47" t="s">
        <v>796</v>
      </c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65"/>
      <c r="S68" s="53"/>
      <c r="T68" s="53"/>
      <c r="U68" s="53"/>
      <c r="V68" s="53"/>
      <c r="W68" s="53"/>
      <c r="X68" s="53"/>
      <c r="Y68" s="53"/>
      <c r="Z68" s="53"/>
    </row>
    <row r="69" spans="1:26" ht="15.75" customHeight="1" x14ac:dyDescent="0.3">
      <c r="A69" s="120">
        <v>63</v>
      </c>
      <c r="B69" s="153" t="s">
        <v>289</v>
      </c>
      <c r="C69" s="3" t="s">
        <v>291</v>
      </c>
      <c r="D69" s="47" t="s">
        <v>797</v>
      </c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53"/>
      <c r="T69" s="53"/>
      <c r="U69" s="53"/>
      <c r="V69" s="53"/>
      <c r="W69" s="53"/>
      <c r="X69" s="53"/>
      <c r="Y69" s="53"/>
      <c r="Z69" s="53"/>
    </row>
    <row r="70" spans="1:26" ht="15.75" customHeight="1" x14ac:dyDescent="0.3">
      <c r="A70" s="120">
        <v>64</v>
      </c>
      <c r="B70" s="153" t="s">
        <v>608</v>
      </c>
      <c r="C70" s="44" t="s">
        <v>798</v>
      </c>
      <c r="D70" s="47" t="s">
        <v>799</v>
      </c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53"/>
      <c r="T70" s="53"/>
      <c r="U70" s="53"/>
      <c r="V70" s="53"/>
      <c r="W70" s="53"/>
      <c r="X70" s="53"/>
      <c r="Y70" s="53"/>
      <c r="Z70" s="53"/>
    </row>
    <row r="71" spans="1:26" ht="15.75" customHeight="1" x14ac:dyDescent="0.3">
      <c r="A71" s="120">
        <v>65</v>
      </c>
      <c r="B71" s="362" t="s">
        <v>548</v>
      </c>
      <c r="C71" s="24" t="s">
        <v>550</v>
      </c>
      <c r="D71" s="77" t="s">
        <v>800</v>
      </c>
      <c r="E71" s="78"/>
      <c r="F71" s="74">
        <v>10</v>
      </c>
      <c r="G71" s="74">
        <v>10</v>
      </c>
      <c r="H71" s="74">
        <v>10</v>
      </c>
      <c r="I71" s="74">
        <v>10</v>
      </c>
      <c r="J71" s="74">
        <v>10</v>
      </c>
      <c r="K71" s="74">
        <v>10</v>
      </c>
      <c r="L71" s="74">
        <v>10</v>
      </c>
      <c r="M71" s="74">
        <v>10</v>
      </c>
      <c r="N71" s="74">
        <v>10</v>
      </c>
      <c r="O71" s="74">
        <v>10</v>
      </c>
      <c r="P71" s="74">
        <v>10</v>
      </c>
      <c r="Q71" s="74">
        <v>10</v>
      </c>
      <c r="R71" s="74">
        <v>120</v>
      </c>
      <c r="S71" s="75"/>
      <c r="T71" s="75" t="s">
        <v>977</v>
      </c>
      <c r="U71" s="75"/>
      <c r="V71" s="53"/>
      <c r="W71" s="53"/>
      <c r="X71" s="53"/>
      <c r="Y71" s="53"/>
      <c r="Z71" s="53"/>
    </row>
    <row r="72" spans="1:26" ht="15.75" customHeight="1" x14ac:dyDescent="0.3">
      <c r="A72" s="120">
        <v>66</v>
      </c>
      <c r="B72" s="153" t="s">
        <v>482</v>
      </c>
      <c r="C72" s="44" t="s">
        <v>801</v>
      </c>
      <c r="D72" s="47" t="s">
        <v>802</v>
      </c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53"/>
    </row>
    <row r="73" spans="1:26" ht="15.75" customHeight="1" x14ac:dyDescent="0.3">
      <c r="A73" s="120">
        <v>67</v>
      </c>
      <c r="B73" s="153" t="s">
        <v>185</v>
      </c>
      <c r="C73" s="3" t="s">
        <v>187</v>
      </c>
      <c r="D73" s="47" t="s">
        <v>804</v>
      </c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53"/>
    </row>
    <row r="74" spans="1:26" ht="15.75" customHeight="1" x14ac:dyDescent="0.3">
      <c r="A74" s="120">
        <v>68</v>
      </c>
      <c r="B74" s="153" t="s">
        <v>276</v>
      </c>
      <c r="C74" s="44" t="s">
        <v>805</v>
      </c>
      <c r="D74" s="47" t="s">
        <v>806</v>
      </c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53"/>
    </row>
    <row r="75" spans="1:26" ht="15.75" customHeight="1" x14ac:dyDescent="0.3">
      <c r="A75" s="120">
        <v>69</v>
      </c>
      <c r="B75" s="153" t="s">
        <v>564</v>
      </c>
      <c r="C75" s="44" t="s">
        <v>807</v>
      </c>
      <c r="D75" s="47" t="s">
        <v>808</v>
      </c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53"/>
    </row>
    <row r="76" spans="1:26" ht="15.75" customHeight="1" x14ac:dyDescent="0.3">
      <c r="A76" s="120">
        <v>70</v>
      </c>
      <c r="B76" s="153" t="s">
        <v>629</v>
      </c>
      <c r="C76" s="3" t="s">
        <v>631</v>
      </c>
      <c r="D76" s="47" t="s">
        <v>809</v>
      </c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53"/>
    </row>
    <row r="77" spans="1:26" ht="15.75" customHeight="1" x14ac:dyDescent="0.3">
      <c r="A77" s="120">
        <v>71</v>
      </c>
      <c r="B77" s="153" t="s">
        <v>810</v>
      </c>
      <c r="C77" s="44" t="s">
        <v>811</v>
      </c>
      <c r="D77" s="47" t="s">
        <v>812</v>
      </c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53"/>
    </row>
    <row r="78" spans="1:26" ht="15.75" customHeight="1" x14ac:dyDescent="0.3">
      <c r="A78" s="120">
        <v>72</v>
      </c>
      <c r="B78" s="363" t="s">
        <v>813</v>
      </c>
      <c r="C78" s="74" t="s">
        <v>814</v>
      </c>
      <c r="D78" s="72" t="s">
        <v>815</v>
      </c>
      <c r="E78" s="74"/>
      <c r="F78" s="74">
        <v>10</v>
      </c>
      <c r="G78" s="74">
        <v>10</v>
      </c>
      <c r="H78" s="74">
        <v>10</v>
      </c>
      <c r="I78" s="74">
        <v>10</v>
      </c>
      <c r="J78" s="74">
        <v>10</v>
      </c>
      <c r="K78" s="74">
        <v>10</v>
      </c>
      <c r="L78" s="74">
        <v>10</v>
      </c>
      <c r="M78" s="74">
        <v>10</v>
      </c>
      <c r="N78" s="74">
        <v>10</v>
      </c>
      <c r="O78" s="74">
        <v>10</v>
      </c>
      <c r="P78" s="74">
        <v>10</v>
      </c>
      <c r="Q78" s="74">
        <v>10</v>
      </c>
      <c r="R78" s="74">
        <v>120</v>
      </c>
      <c r="S78" s="75"/>
      <c r="T78" s="75" t="s">
        <v>978</v>
      </c>
      <c r="U78" s="75"/>
      <c r="V78" s="53"/>
    </row>
    <row r="79" spans="1:26" ht="15.75" customHeight="1" x14ac:dyDescent="0.3">
      <c r="A79" s="120">
        <v>73</v>
      </c>
      <c r="B79" s="153" t="s">
        <v>816</v>
      </c>
      <c r="C79" s="44" t="s">
        <v>817</v>
      </c>
      <c r="D79" s="47" t="s">
        <v>818</v>
      </c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53"/>
    </row>
    <row r="80" spans="1:26" ht="15.75" customHeight="1" x14ac:dyDescent="0.3">
      <c r="A80" s="120">
        <v>74</v>
      </c>
      <c r="B80" s="153" t="s">
        <v>819</v>
      </c>
      <c r="C80" s="44" t="s">
        <v>820</v>
      </c>
      <c r="D80" s="47" t="s">
        <v>821</v>
      </c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53"/>
    </row>
    <row r="81" spans="1:21" ht="15.75" customHeight="1" x14ac:dyDescent="0.3">
      <c r="A81" s="120">
        <v>75</v>
      </c>
      <c r="B81" s="153" t="s">
        <v>822</v>
      </c>
      <c r="C81" s="44" t="s">
        <v>823</v>
      </c>
      <c r="D81" s="47" t="s">
        <v>824</v>
      </c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53"/>
    </row>
    <row r="82" spans="1:21" ht="15.75" customHeight="1" x14ac:dyDescent="0.3">
      <c r="A82" s="120">
        <v>76</v>
      </c>
      <c r="B82" s="153" t="s">
        <v>825</v>
      </c>
      <c r="C82" s="44" t="s">
        <v>826</v>
      </c>
      <c r="D82" s="47" t="s">
        <v>827</v>
      </c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53"/>
    </row>
    <row r="83" spans="1:21" ht="15.75" customHeight="1" x14ac:dyDescent="0.3">
      <c r="A83" s="120">
        <v>77</v>
      </c>
      <c r="B83" s="153" t="s">
        <v>416</v>
      </c>
      <c r="C83" s="14" t="s">
        <v>418</v>
      </c>
      <c r="D83" s="47" t="s">
        <v>828</v>
      </c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53"/>
    </row>
    <row r="84" spans="1:21" ht="15.75" customHeight="1" x14ac:dyDescent="0.3">
      <c r="A84" s="120">
        <v>78</v>
      </c>
      <c r="B84" s="153" t="s">
        <v>829</v>
      </c>
      <c r="C84" s="44" t="s">
        <v>830</v>
      </c>
      <c r="D84" s="47" t="s">
        <v>831</v>
      </c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53"/>
    </row>
    <row r="85" spans="1:21" ht="15.75" customHeight="1" x14ac:dyDescent="0.3">
      <c r="A85" s="120">
        <v>79</v>
      </c>
      <c r="B85" s="153" t="s">
        <v>832</v>
      </c>
      <c r="C85" s="3" t="s">
        <v>584</v>
      </c>
      <c r="D85" s="47" t="s">
        <v>721</v>
      </c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53"/>
    </row>
    <row r="86" spans="1:21" ht="15.75" customHeight="1" x14ac:dyDescent="0.3">
      <c r="A86" s="120">
        <v>80</v>
      </c>
      <c r="B86" s="153" t="s">
        <v>833</v>
      </c>
      <c r="C86" s="14" t="s">
        <v>296</v>
      </c>
      <c r="D86" s="47" t="s">
        <v>834</v>
      </c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53"/>
    </row>
    <row r="87" spans="1:21" ht="15.75" customHeight="1" x14ac:dyDescent="0.3">
      <c r="A87" s="120">
        <v>81</v>
      </c>
      <c r="B87" s="153" t="s">
        <v>836</v>
      </c>
      <c r="C87" s="44" t="s">
        <v>919</v>
      </c>
      <c r="D87" s="47" t="s">
        <v>920</v>
      </c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53"/>
    </row>
    <row r="88" spans="1:21" ht="15.75" customHeight="1" x14ac:dyDescent="0.3">
      <c r="A88" s="120">
        <v>82</v>
      </c>
      <c r="B88" s="153" t="s">
        <v>837</v>
      </c>
      <c r="C88" s="44" t="s">
        <v>921</v>
      </c>
      <c r="D88" s="47" t="s">
        <v>922</v>
      </c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53"/>
    </row>
    <row r="89" spans="1:21" ht="15.75" customHeight="1" x14ac:dyDescent="0.3">
      <c r="A89" s="120">
        <v>83</v>
      </c>
      <c r="B89" s="153" t="s">
        <v>142</v>
      </c>
      <c r="C89" s="14" t="s">
        <v>144</v>
      </c>
      <c r="D89" s="47" t="s">
        <v>838</v>
      </c>
      <c r="E89" s="44"/>
      <c r="F89" s="44">
        <v>10</v>
      </c>
      <c r="G89" s="44">
        <v>10</v>
      </c>
      <c r="H89" s="44">
        <v>10</v>
      </c>
      <c r="I89" s="44">
        <v>10</v>
      </c>
      <c r="J89" s="44">
        <v>10</v>
      </c>
      <c r="K89" s="44">
        <v>10</v>
      </c>
      <c r="L89" s="44">
        <v>10</v>
      </c>
      <c r="M89" s="44">
        <v>10</v>
      </c>
      <c r="N89" s="44">
        <v>10</v>
      </c>
      <c r="O89" s="44">
        <v>10</v>
      </c>
      <c r="P89" s="44">
        <v>10</v>
      </c>
      <c r="Q89" s="44">
        <v>10</v>
      </c>
      <c r="R89" s="65">
        <f>SUM(F89:Q89)</f>
        <v>120</v>
      </c>
      <c r="S89" s="53"/>
    </row>
    <row r="90" spans="1:21" ht="15.75" customHeight="1" x14ac:dyDescent="0.3">
      <c r="A90" s="120">
        <v>84</v>
      </c>
      <c r="B90" s="153" t="s">
        <v>839</v>
      </c>
      <c r="C90" s="3" t="s">
        <v>572</v>
      </c>
      <c r="D90" s="47" t="s">
        <v>923</v>
      </c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53"/>
    </row>
    <row r="91" spans="1:21" ht="15.75" customHeight="1" x14ac:dyDescent="0.3">
      <c r="A91" s="120">
        <v>85</v>
      </c>
      <c r="B91" s="153" t="s">
        <v>840</v>
      </c>
      <c r="C91" s="44"/>
      <c r="D91" s="47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53"/>
    </row>
    <row r="92" spans="1:21" ht="15.75" customHeight="1" x14ac:dyDescent="0.3">
      <c r="A92" s="120">
        <v>86</v>
      </c>
      <c r="B92" s="153" t="s">
        <v>841</v>
      </c>
      <c r="C92" s="3" t="s">
        <v>212</v>
      </c>
      <c r="D92" s="47" t="s">
        <v>926</v>
      </c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53"/>
    </row>
    <row r="93" spans="1:21" ht="15.75" customHeight="1" x14ac:dyDescent="0.3">
      <c r="A93" s="120">
        <v>87</v>
      </c>
      <c r="B93" s="153" t="s">
        <v>842</v>
      </c>
      <c r="C93" s="44"/>
      <c r="D93" s="47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53"/>
    </row>
    <row r="94" spans="1:21" ht="15.75" customHeight="1" x14ac:dyDescent="0.3">
      <c r="A94" s="326">
        <v>88</v>
      </c>
      <c r="B94" s="327" t="s">
        <v>644</v>
      </c>
      <c r="C94" s="336" t="s">
        <v>647</v>
      </c>
      <c r="D94" s="343" t="s">
        <v>843</v>
      </c>
      <c r="E94" s="333"/>
      <c r="F94" s="333">
        <v>10</v>
      </c>
      <c r="G94" s="333">
        <v>10</v>
      </c>
      <c r="H94" s="333">
        <v>10</v>
      </c>
      <c r="I94" s="333">
        <v>10</v>
      </c>
      <c r="J94" s="333">
        <v>10</v>
      </c>
      <c r="K94" s="333">
        <v>10</v>
      </c>
      <c r="L94" s="333">
        <v>10</v>
      </c>
      <c r="M94" s="333">
        <v>10</v>
      </c>
      <c r="N94" s="333">
        <v>10</v>
      </c>
      <c r="O94" s="333">
        <v>10</v>
      </c>
      <c r="P94" s="333">
        <v>10</v>
      </c>
      <c r="Q94" s="333">
        <v>10</v>
      </c>
      <c r="R94" s="333">
        <f>SUM(E94:Q94)</f>
        <v>120</v>
      </c>
      <c r="S94" s="334" t="s">
        <v>1226</v>
      </c>
      <c r="T94" s="335"/>
      <c r="U94" s="335"/>
    </row>
    <row r="95" spans="1:21" ht="15.75" customHeight="1" x14ac:dyDescent="0.3">
      <c r="A95" s="120">
        <v>89</v>
      </c>
      <c r="B95" s="153" t="s">
        <v>844</v>
      </c>
      <c r="C95" s="44"/>
      <c r="D95" s="47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53"/>
    </row>
    <row r="96" spans="1:21" ht="15.75" customHeight="1" x14ac:dyDescent="0.3">
      <c r="A96" s="120">
        <v>90</v>
      </c>
      <c r="B96" s="153" t="s">
        <v>845</v>
      </c>
      <c r="C96" s="44"/>
      <c r="D96" s="47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53"/>
    </row>
    <row r="97" spans="1:19" ht="15.75" customHeight="1" x14ac:dyDescent="0.3">
      <c r="A97" s="120">
        <v>91</v>
      </c>
      <c r="B97" s="153" t="s">
        <v>846</v>
      </c>
      <c r="C97" s="44"/>
      <c r="D97" s="47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53"/>
    </row>
    <row r="98" spans="1:19" ht="15.75" customHeight="1" x14ac:dyDescent="0.3">
      <c r="A98" s="120">
        <v>92</v>
      </c>
      <c r="B98" s="153" t="s">
        <v>847</v>
      </c>
      <c r="C98" s="44"/>
      <c r="D98" s="47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53"/>
    </row>
    <row r="99" spans="1:19" ht="15.75" customHeight="1" x14ac:dyDescent="0.3">
      <c r="A99" s="120">
        <v>93</v>
      </c>
      <c r="B99" s="153" t="s">
        <v>848</v>
      </c>
      <c r="C99" s="44"/>
      <c r="D99" s="47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53"/>
    </row>
    <row r="100" spans="1:19" ht="15.75" customHeight="1" x14ac:dyDescent="0.3">
      <c r="A100" s="120">
        <v>94</v>
      </c>
      <c r="B100" s="153" t="s">
        <v>849</v>
      </c>
      <c r="C100" s="44"/>
      <c r="D100" s="47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53"/>
    </row>
    <row r="101" spans="1:19" ht="15.75" customHeight="1" x14ac:dyDescent="0.3">
      <c r="A101" s="120">
        <v>95</v>
      </c>
      <c r="B101" s="153" t="s">
        <v>850</v>
      </c>
      <c r="C101" s="44"/>
      <c r="D101" s="47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53"/>
    </row>
    <row r="102" spans="1:19" ht="15.75" customHeight="1" x14ac:dyDescent="0.3">
      <c r="A102" s="120">
        <v>96</v>
      </c>
      <c r="B102" s="153" t="s">
        <v>851</v>
      </c>
      <c r="C102" s="44"/>
      <c r="D102" s="47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53"/>
    </row>
    <row r="103" spans="1:19" ht="15.75" customHeight="1" x14ac:dyDescent="0.3">
      <c r="A103" s="120">
        <v>97</v>
      </c>
      <c r="B103" s="153" t="s">
        <v>852</v>
      </c>
      <c r="C103" s="44"/>
      <c r="D103" s="47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53"/>
    </row>
    <row r="104" spans="1:19" ht="15.75" customHeight="1" x14ac:dyDescent="0.3">
      <c r="A104" s="120">
        <v>98</v>
      </c>
      <c r="B104" s="153" t="s">
        <v>853</v>
      </c>
      <c r="C104" s="44"/>
      <c r="D104" s="47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53"/>
    </row>
    <row r="105" spans="1:19" ht="15.75" customHeight="1" x14ac:dyDescent="0.3">
      <c r="A105" s="120">
        <v>99</v>
      </c>
      <c r="B105" s="153" t="s">
        <v>854</v>
      </c>
      <c r="C105" s="44"/>
      <c r="D105" s="47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53"/>
    </row>
    <row r="106" spans="1:19" ht="15.75" customHeight="1" x14ac:dyDescent="0.3">
      <c r="A106" s="120">
        <v>100</v>
      </c>
      <c r="B106" s="153" t="s">
        <v>855</v>
      </c>
      <c r="C106" s="44"/>
      <c r="D106" s="47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53"/>
    </row>
    <row r="107" spans="1:19" ht="15.75" customHeight="1" x14ac:dyDescent="0.3">
      <c r="A107" s="120">
        <v>101</v>
      </c>
      <c r="B107" s="153" t="s">
        <v>856</v>
      </c>
      <c r="C107" s="44"/>
      <c r="D107" s="47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53"/>
    </row>
    <row r="108" spans="1:19" ht="15.75" customHeight="1" x14ac:dyDescent="0.3">
      <c r="A108" s="120">
        <v>102</v>
      </c>
      <c r="B108" s="153" t="s">
        <v>857</v>
      </c>
      <c r="C108" s="44"/>
      <c r="D108" s="47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53"/>
    </row>
    <row r="109" spans="1:19" ht="15.75" customHeight="1" x14ac:dyDescent="0.3">
      <c r="A109" s="120">
        <v>103</v>
      </c>
      <c r="B109" s="153" t="s">
        <v>858</v>
      </c>
      <c r="C109" s="44"/>
      <c r="D109" s="47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53"/>
    </row>
    <row r="110" spans="1:19" ht="15.75" customHeight="1" x14ac:dyDescent="0.3">
      <c r="A110" s="120">
        <v>104</v>
      </c>
      <c r="B110" s="153" t="s">
        <v>859</v>
      </c>
      <c r="C110" s="44"/>
      <c r="D110" s="47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53"/>
    </row>
    <row r="111" spans="1:19" ht="15.75" customHeight="1" x14ac:dyDescent="0.3">
      <c r="A111" s="120">
        <v>105</v>
      </c>
      <c r="B111" s="153" t="s">
        <v>468</v>
      </c>
      <c r="C111" s="44" t="s">
        <v>470</v>
      </c>
      <c r="D111" s="47" t="s">
        <v>860</v>
      </c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53"/>
    </row>
    <row r="112" spans="1:19" ht="15.75" customHeight="1" x14ac:dyDescent="0.3">
      <c r="A112" s="120">
        <v>106</v>
      </c>
      <c r="B112" s="153" t="s">
        <v>861</v>
      </c>
      <c r="C112" s="44"/>
      <c r="D112" s="47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53"/>
    </row>
    <row r="113" spans="1:19" ht="15.75" customHeight="1" x14ac:dyDescent="0.3">
      <c r="A113" s="120">
        <v>107</v>
      </c>
      <c r="B113" s="153" t="s">
        <v>862</v>
      </c>
      <c r="C113" s="44"/>
      <c r="D113" s="47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53"/>
    </row>
    <row r="114" spans="1:19" ht="15.75" customHeight="1" x14ac:dyDescent="0.3">
      <c r="A114" s="120">
        <v>108</v>
      </c>
      <c r="B114" s="153" t="s">
        <v>863</v>
      </c>
      <c r="C114" s="44"/>
      <c r="D114" s="47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53"/>
    </row>
    <row r="115" spans="1:19" ht="15.75" customHeight="1" x14ac:dyDescent="0.3">
      <c r="A115" s="120">
        <v>109</v>
      </c>
      <c r="B115" s="153" t="s">
        <v>864</v>
      </c>
      <c r="C115" s="44"/>
      <c r="D115" s="47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53"/>
    </row>
    <row r="116" spans="1:19" ht="15.75" customHeight="1" x14ac:dyDescent="0.3">
      <c r="A116" s="120">
        <v>110</v>
      </c>
      <c r="B116" s="153" t="s">
        <v>865</v>
      </c>
      <c r="C116" s="44"/>
      <c r="D116" s="47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53"/>
    </row>
    <row r="117" spans="1:19" ht="15.75" customHeight="1" x14ac:dyDescent="0.3">
      <c r="A117" s="120">
        <v>111</v>
      </c>
      <c r="B117" s="153" t="s">
        <v>621</v>
      </c>
      <c r="C117" s="14" t="s">
        <v>623</v>
      </c>
      <c r="D117" s="47" t="s">
        <v>866</v>
      </c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53"/>
    </row>
    <row r="118" spans="1:19" ht="15.75" customHeight="1" x14ac:dyDescent="0.3">
      <c r="A118" s="120">
        <v>112</v>
      </c>
      <c r="B118" s="153" t="s">
        <v>208</v>
      </c>
      <c r="C118" s="44"/>
      <c r="D118" s="47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53"/>
    </row>
    <row r="119" spans="1:19" ht="15.75" customHeight="1" x14ac:dyDescent="0.3">
      <c r="A119" s="120">
        <v>113</v>
      </c>
      <c r="B119" s="153" t="s">
        <v>867</v>
      </c>
      <c r="C119" s="44"/>
      <c r="D119" s="47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53"/>
    </row>
    <row r="120" spans="1:19" ht="15.75" customHeight="1" x14ac:dyDescent="0.3">
      <c r="A120" s="120">
        <v>114</v>
      </c>
      <c r="B120" s="153" t="s">
        <v>868</v>
      </c>
      <c r="C120" s="44"/>
      <c r="D120" s="47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53"/>
    </row>
    <row r="121" spans="1:19" ht="15.75" customHeight="1" x14ac:dyDescent="0.3">
      <c r="A121" s="120">
        <v>115</v>
      </c>
      <c r="B121" s="153" t="s">
        <v>869</v>
      </c>
      <c r="C121" s="44"/>
      <c r="D121" s="47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53"/>
    </row>
    <row r="122" spans="1:19" ht="15.75" customHeight="1" x14ac:dyDescent="0.3">
      <c r="A122" s="120">
        <v>116</v>
      </c>
      <c r="B122" s="153" t="s">
        <v>870</v>
      </c>
      <c r="C122" s="44"/>
      <c r="D122" s="47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53"/>
    </row>
    <row r="123" spans="1:19" ht="15.75" customHeight="1" x14ac:dyDescent="0.3">
      <c r="A123" s="120">
        <v>117</v>
      </c>
      <c r="B123" s="153" t="s">
        <v>871</v>
      </c>
      <c r="C123" s="44"/>
      <c r="D123" s="47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53"/>
    </row>
    <row r="124" spans="1:19" ht="15.75" customHeight="1" x14ac:dyDescent="0.3">
      <c r="A124" s="120">
        <v>118</v>
      </c>
      <c r="B124" s="153" t="s">
        <v>872</v>
      </c>
      <c r="C124" s="44"/>
      <c r="D124" s="47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53"/>
    </row>
    <row r="125" spans="1:19" ht="15.75" customHeight="1" x14ac:dyDescent="0.3">
      <c r="A125" s="120">
        <v>119</v>
      </c>
      <c r="B125" s="153" t="s">
        <v>873</v>
      </c>
      <c r="C125" s="44"/>
      <c r="D125" s="47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53"/>
    </row>
    <row r="126" spans="1:19" ht="15.75" customHeight="1" x14ac:dyDescent="0.3">
      <c r="A126" s="120">
        <v>120</v>
      </c>
      <c r="B126" s="153" t="s">
        <v>246</v>
      </c>
      <c r="C126" s="44"/>
      <c r="D126" s="47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53"/>
    </row>
    <row r="127" spans="1:19" ht="15.75" customHeight="1" x14ac:dyDescent="0.3">
      <c r="A127" s="120">
        <v>121</v>
      </c>
      <c r="B127" s="153" t="s">
        <v>540</v>
      </c>
      <c r="C127" s="44" t="s">
        <v>874</v>
      </c>
      <c r="D127" s="47" t="s">
        <v>875</v>
      </c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53"/>
    </row>
    <row r="128" spans="1:19" ht="15.75" customHeight="1" x14ac:dyDescent="0.3">
      <c r="A128" s="120">
        <v>122</v>
      </c>
      <c r="B128" s="153" t="s">
        <v>876</v>
      </c>
      <c r="C128" s="44"/>
      <c r="D128" s="47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53"/>
    </row>
    <row r="129" spans="1:26" ht="15.75" customHeight="1" x14ac:dyDescent="0.3">
      <c r="A129" s="120">
        <v>123</v>
      </c>
      <c r="B129" s="153" t="s">
        <v>165</v>
      </c>
      <c r="C129" s="14" t="s">
        <v>167</v>
      </c>
      <c r="D129" s="47" t="s">
        <v>877</v>
      </c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53"/>
    </row>
    <row r="130" spans="1:26" ht="15.75" customHeight="1" x14ac:dyDescent="0.3">
      <c r="A130" s="120">
        <v>124</v>
      </c>
      <c r="B130" s="153" t="s">
        <v>878</v>
      </c>
      <c r="C130" s="44"/>
      <c r="D130" s="47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53"/>
    </row>
    <row r="131" spans="1:26" ht="15.75" customHeight="1" x14ac:dyDescent="0.3">
      <c r="A131" s="120">
        <v>125</v>
      </c>
      <c r="B131" s="153" t="s">
        <v>476</v>
      </c>
      <c r="C131" s="14" t="s">
        <v>478</v>
      </c>
      <c r="D131" s="47" t="s">
        <v>879</v>
      </c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53"/>
    </row>
    <row r="132" spans="1:26" ht="15.75" customHeight="1" x14ac:dyDescent="0.3">
      <c r="A132" s="120"/>
      <c r="B132" s="153" t="s">
        <v>387</v>
      </c>
      <c r="C132" s="14" t="s">
        <v>880</v>
      </c>
      <c r="D132" s="47" t="s">
        <v>881</v>
      </c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53"/>
    </row>
    <row r="133" spans="1:26" ht="15.75" customHeight="1" x14ac:dyDescent="0.3">
      <c r="A133" s="120"/>
      <c r="B133" s="153" t="s">
        <v>662</v>
      </c>
      <c r="C133" s="14" t="s">
        <v>665</v>
      </c>
      <c r="D133" s="47" t="s">
        <v>882</v>
      </c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53"/>
    </row>
    <row r="134" spans="1:26" ht="15.75" customHeight="1" x14ac:dyDescent="0.3">
      <c r="A134" s="120"/>
      <c r="B134" s="153" t="s">
        <v>496</v>
      </c>
      <c r="C134" s="14" t="s">
        <v>883</v>
      </c>
      <c r="D134" s="47" t="s">
        <v>884</v>
      </c>
      <c r="E134" s="44"/>
      <c r="F134" s="44">
        <v>10</v>
      </c>
      <c r="G134" s="44">
        <v>10</v>
      </c>
      <c r="H134" s="44">
        <v>10</v>
      </c>
      <c r="I134" s="44">
        <v>10</v>
      </c>
      <c r="J134" s="44">
        <v>10</v>
      </c>
      <c r="K134" s="44">
        <v>10</v>
      </c>
      <c r="L134" s="44">
        <v>10</v>
      </c>
      <c r="M134" s="44">
        <v>10</v>
      </c>
      <c r="N134" s="44">
        <v>10</v>
      </c>
      <c r="O134" s="44">
        <v>10</v>
      </c>
      <c r="P134" s="44">
        <v>10</v>
      </c>
      <c r="Q134" s="44">
        <v>10</v>
      </c>
      <c r="R134" s="44">
        <f>SUM(F134:Q134)</f>
        <v>120</v>
      </c>
      <c r="S134" s="53"/>
    </row>
    <row r="135" spans="1:26" ht="15.75" customHeight="1" x14ac:dyDescent="0.3">
      <c r="A135" s="120"/>
      <c r="B135" s="153" t="s">
        <v>13</v>
      </c>
      <c r="C135" s="44" t="s">
        <v>886</v>
      </c>
      <c r="D135" s="47" t="s">
        <v>887</v>
      </c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53"/>
      <c r="U135" s="20">
        <f t="shared" ref="U135:U139" si="4">IF(R135=120,(R135+E135),0)</f>
        <v>0</v>
      </c>
    </row>
    <row r="136" spans="1:26" ht="15.75" customHeight="1" x14ac:dyDescent="0.3">
      <c r="A136" s="120"/>
      <c r="B136" s="153" t="s">
        <v>93</v>
      </c>
      <c r="C136" s="44" t="s">
        <v>95</v>
      </c>
      <c r="D136" s="47"/>
      <c r="E136" s="44"/>
      <c r="F136" s="44">
        <v>10</v>
      </c>
      <c r="G136" s="44">
        <v>10</v>
      </c>
      <c r="H136" s="44">
        <v>10</v>
      </c>
      <c r="I136" s="44">
        <v>10</v>
      </c>
      <c r="J136" s="44">
        <v>10</v>
      </c>
      <c r="K136" s="44">
        <v>10</v>
      </c>
      <c r="L136" s="44">
        <v>10</v>
      </c>
      <c r="M136" s="44">
        <v>10</v>
      </c>
      <c r="N136" s="44">
        <v>10</v>
      </c>
      <c r="O136" s="44">
        <v>10</v>
      </c>
      <c r="P136" s="44">
        <v>10</v>
      </c>
      <c r="Q136" s="44">
        <v>10</v>
      </c>
      <c r="R136" s="44">
        <f>SUM(F136:Q136)</f>
        <v>120</v>
      </c>
      <c r="S136" s="53"/>
      <c r="U136" s="20">
        <f t="shared" si="4"/>
        <v>120</v>
      </c>
      <c r="V136" s="20" t="s">
        <v>932</v>
      </c>
    </row>
    <row r="137" spans="1:26" ht="15.75" customHeight="1" x14ac:dyDescent="0.3">
      <c r="A137" s="120"/>
      <c r="B137" s="153" t="s">
        <v>409</v>
      </c>
      <c r="C137" s="3" t="s">
        <v>412</v>
      </c>
      <c r="D137" s="47" t="s">
        <v>888</v>
      </c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53"/>
      <c r="U137" s="20">
        <f t="shared" si="4"/>
        <v>0</v>
      </c>
    </row>
    <row r="138" spans="1:26" ht="15.75" customHeight="1" x14ac:dyDescent="0.3">
      <c r="A138" s="120"/>
      <c r="B138" s="153" t="s">
        <v>602</v>
      </c>
      <c r="C138" s="3" t="s">
        <v>933</v>
      </c>
      <c r="D138" s="47" t="s">
        <v>736</v>
      </c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53"/>
      <c r="T138" s="53">
        <f>R138+E138</f>
        <v>0</v>
      </c>
      <c r="U138" s="53">
        <f t="shared" si="4"/>
        <v>0</v>
      </c>
      <c r="V138" s="53"/>
      <c r="W138" s="53"/>
      <c r="X138" s="53"/>
      <c r="Y138" s="53"/>
      <c r="Z138" s="53"/>
    </row>
    <row r="139" spans="1:26" ht="15.75" customHeight="1" x14ac:dyDescent="0.3">
      <c r="A139" s="120"/>
      <c r="B139" s="153" t="s">
        <v>890</v>
      </c>
      <c r="C139" s="3" t="s">
        <v>891</v>
      </c>
      <c r="D139" s="47" t="s">
        <v>892</v>
      </c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53"/>
      <c r="T139" s="53"/>
      <c r="U139" s="53">
        <f t="shared" si="4"/>
        <v>0</v>
      </c>
      <c r="V139" s="53"/>
      <c r="W139" s="53"/>
      <c r="X139" s="53"/>
      <c r="Y139" s="53"/>
      <c r="Z139" s="53"/>
    </row>
    <row r="140" spans="1:26" ht="15.75" customHeight="1" x14ac:dyDescent="0.3">
      <c r="A140" s="120"/>
      <c r="B140" s="153" t="s">
        <v>893</v>
      </c>
      <c r="C140" s="3" t="s">
        <v>894</v>
      </c>
      <c r="D140" s="47" t="s">
        <v>895</v>
      </c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 x14ac:dyDescent="0.3">
      <c r="A141" s="120"/>
      <c r="B141" s="153"/>
      <c r="C141" s="14"/>
      <c r="D141" s="47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53"/>
    </row>
    <row r="142" spans="1:26" ht="15.75" customHeight="1" x14ac:dyDescent="0.3">
      <c r="A142" s="149"/>
      <c r="B142" s="152"/>
      <c r="C142" s="62"/>
      <c r="D142" s="39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</row>
    <row r="143" spans="1:26" ht="15.75" customHeight="1" x14ac:dyDescent="0.3">
      <c r="B143" s="152"/>
      <c r="D143" s="39" t="s">
        <v>896</v>
      </c>
      <c r="E143" s="20">
        <f t="shared" ref="E143:U143" si="5">SUM(E7:E141)</f>
        <v>0</v>
      </c>
      <c r="F143" s="20">
        <f t="shared" si="5"/>
        <v>300</v>
      </c>
      <c r="G143" s="20">
        <f t="shared" si="5"/>
        <v>300</v>
      </c>
      <c r="H143" s="20">
        <f t="shared" si="5"/>
        <v>300</v>
      </c>
      <c r="I143" s="20">
        <f t="shared" si="5"/>
        <v>300</v>
      </c>
      <c r="J143" s="20">
        <f t="shared" si="5"/>
        <v>300</v>
      </c>
      <c r="K143" s="20">
        <f t="shared" si="5"/>
        <v>300</v>
      </c>
      <c r="L143" s="20">
        <f t="shared" si="5"/>
        <v>300</v>
      </c>
      <c r="M143" s="20">
        <f t="shared" si="5"/>
        <v>300</v>
      </c>
      <c r="N143" s="20">
        <f t="shared" si="5"/>
        <v>300</v>
      </c>
      <c r="O143" s="20">
        <f t="shared" si="5"/>
        <v>300</v>
      </c>
      <c r="P143" s="20">
        <f t="shared" si="5"/>
        <v>300</v>
      </c>
      <c r="Q143" s="20">
        <f t="shared" si="5"/>
        <v>290</v>
      </c>
      <c r="R143" s="20">
        <f t="shared" si="5"/>
        <v>3590</v>
      </c>
      <c r="S143" s="20">
        <f t="shared" si="5"/>
        <v>0</v>
      </c>
      <c r="T143" s="20">
        <f t="shared" si="5"/>
        <v>0</v>
      </c>
      <c r="U143" s="20">
        <f t="shared" si="5"/>
        <v>360</v>
      </c>
    </row>
    <row r="144" spans="1:26" ht="15.75" customHeight="1" x14ac:dyDescent="0.3">
      <c r="B144" s="152"/>
      <c r="D144" s="39"/>
      <c r="E144" s="20">
        <f>E143/20</f>
        <v>0</v>
      </c>
    </row>
    <row r="145" spans="2:19" ht="15.75" customHeight="1" x14ac:dyDescent="0.3">
      <c r="B145" s="152"/>
      <c r="D145" s="39"/>
    </row>
    <row r="146" spans="2:19" ht="15.75" customHeight="1" x14ac:dyDescent="0.3">
      <c r="B146" s="152"/>
      <c r="D146" s="39"/>
      <c r="S146" s="20">
        <f>S143-110</f>
        <v>-110</v>
      </c>
    </row>
    <row r="147" spans="2:19" ht="15.75" customHeight="1" x14ac:dyDescent="0.3">
      <c r="B147" s="152"/>
      <c r="D147" s="39"/>
      <c r="S147" s="20">
        <f>S146/120</f>
        <v>-0.91666666666666663</v>
      </c>
    </row>
    <row r="148" spans="2:19" ht="15.75" customHeight="1" x14ac:dyDescent="0.3">
      <c r="B148" s="152"/>
      <c r="D148" s="39"/>
    </row>
    <row r="149" spans="2:19" ht="15.75" customHeight="1" x14ac:dyDescent="0.3">
      <c r="B149" s="152"/>
      <c r="D149" s="39"/>
    </row>
    <row r="150" spans="2:19" ht="15.75" customHeight="1" x14ac:dyDescent="0.3">
      <c r="B150" s="152"/>
      <c r="D150" s="39"/>
    </row>
    <row r="151" spans="2:19" ht="15.75" customHeight="1" x14ac:dyDescent="0.3">
      <c r="B151" s="152"/>
      <c r="D151" s="39"/>
    </row>
    <row r="152" spans="2:19" ht="15.75" customHeight="1" x14ac:dyDescent="0.3">
      <c r="B152" s="152"/>
      <c r="D152" s="39"/>
    </row>
    <row r="153" spans="2:19" ht="15.75" customHeight="1" x14ac:dyDescent="0.3">
      <c r="B153" s="152"/>
      <c r="D153" s="39"/>
    </row>
    <row r="154" spans="2:19" ht="15.75" customHeight="1" x14ac:dyDescent="0.3">
      <c r="B154" s="152"/>
      <c r="D154" s="39"/>
    </row>
    <row r="155" spans="2:19" ht="15.75" customHeight="1" x14ac:dyDescent="0.3">
      <c r="B155" s="152"/>
      <c r="D155" s="39"/>
    </row>
    <row r="156" spans="2:19" ht="15.75" customHeight="1" x14ac:dyDescent="0.3">
      <c r="B156" s="152"/>
      <c r="D156" s="39"/>
    </row>
    <row r="157" spans="2:19" ht="15.75" customHeight="1" x14ac:dyDescent="0.3">
      <c r="B157" s="152"/>
      <c r="D157" s="39"/>
    </row>
    <row r="158" spans="2:19" ht="15.75" customHeight="1" x14ac:dyDescent="0.3">
      <c r="B158" s="152"/>
      <c r="D158" s="39"/>
    </row>
    <row r="159" spans="2:19" ht="15.75" customHeight="1" x14ac:dyDescent="0.3">
      <c r="B159" s="152"/>
      <c r="D159" s="39"/>
    </row>
    <row r="160" spans="2:19" ht="15.75" customHeight="1" x14ac:dyDescent="0.3">
      <c r="B160" s="152"/>
      <c r="D160" s="39"/>
    </row>
    <row r="161" spans="2:4" ht="15.75" customHeight="1" x14ac:dyDescent="0.3">
      <c r="B161" s="152"/>
      <c r="D161" s="39"/>
    </row>
    <row r="162" spans="2:4" ht="15.75" customHeight="1" x14ac:dyDescent="0.3">
      <c r="B162" s="152"/>
      <c r="D162" s="39"/>
    </row>
    <row r="163" spans="2:4" ht="15.75" customHeight="1" x14ac:dyDescent="0.3">
      <c r="B163" s="152"/>
      <c r="D163" s="39"/>
    </row>
    <row r="164" spans="2:4" ht="15.75" customHeight="1" x14ac:dyDescent="0.3">
      <c r="B164" s="152"/>
      <c r="D164" s="39"/>
    </row>
    <row r="165" spans="2:4" ht="15.75" customHeight="1" x14ac:dyDescent="0.3">
      <c r="B165" s="152"/>
      <c r="D165" s="39"/>
    </row>
    <row r="166" spans="2:4" ht="15.75" customHeight="1" x14ac:dyDescent="0.3">
      <c r="B166" s="152"/>
      <c r="D166" s="39"/>
    </row>
    <row r="167" spans="2:4" ht="15.75" customHeight="1" x14ac:dyDescent="0.3">
      <c r="B167" s="152"/>
      <c r="D167" s="39"/>
    </row>
    <row r="168" spans="2:4" ht="15.75" customHeight="1" x14ac:dyDescent="0.3">
      <c r="B168" s="152"/>
      <c r="D168" s="39"/>
    </row>
    <row r="169" spans="2:4" ht="15.75" customHeight="1" x14ac:dyDescent="0.3">
      <c r="B169" s="152"/>
      <c r="D169" s="39"/>
    </row>
    <row r="170" spans="2:4" ht="15.75" customHeight="1" x14ac:dyDescent="0.3">
      <c r="B170" s="152"/>
      <c r="D170" s="39"/>
    </row>
    <row r="171" spans="2:4" ht="15.75" customHeight="1" x14ac:dyDescent="0.3">
      <c r="B171" s="152"/>
      <c r="D171" s="39"/>
    </row>
    <row r="172" spans="2:4" ht="15.75" customHeight="1" x14ac:dyDescent="0.3">
      <c r="B172" s="152"/>
      <c r="D172" s="39"/>
    </row>
    <row r="173" spans="2:4" ht="15.75" customHeight="1" x14ac:dyDescent="0.3">
      <c r="B173" s="152"/>
      <c r="D173" s="39"/>
    </row>
    <row r="174" spans="2:4" ht="15.75" customHeight="1" x14ac:dyDescent="0.3">
      <c r="B174" s="152"/>
      <c r="D174" s="39"/>
    </row>
    <row r="175" spans="2:4" ht="15.75" customHeight="1" x14ac:dyDescent="0.3">
      <c r="B175" s="152"/>
      <c r="D175" s="39"/>
    </row>
    <row r="176" spans="2:4" ht="15.75" customHeight="1" x14ac:dyDescent="0.3">
      <c r="B176" s="152"/>
      <c r="D176" s="39"/>
    </row>
    <row r="177" spans="2:4" ht="15.75" customHeight="1" x14ac:dyDescent="0.3">
      <c r="B177" s="152"/>
      <c r="D177" s="39"/>
    </row>
    <row r="178" spans="2:4" ht="15.75" customHeight="1" x14ac:dyDescent="0.3">
      <c r="B178" s="152"/>
      <c r="D178" s="39"/>
    </row>
    <row r="179" spans="2:4" ht="15.75" customHeight="1" x14ac:dyDescent="0.3">
      <c r="B179" s="152"/>
      <c r="D179" s="39"/>
    </row>
    <row r="180" spans="2:4" ht="15.75" customHeight="1" x14ac:dyDescent="0.3">
      <c r="B180" s="152"/>
      <c r="D180" s="39"/>
    </row>
    <row r="181" spans="2:4" ht="15.75" customHeight="1" x14ac:dyDescent="0.3">
      <c r="B181" s="152"/>
      <c r="D181" s="39"/>
    </row>
    <row r="182" spans="2:4" ht="15.75" customHeight="1" x14ac:dyDescent="0.3">
      <c r="B182" s="152"/>
      <c r="D182" s="39"/>
    </row>
    <row r="183" spans="2:4" ht="15.75" customHeight="1" x14ac:dyDescent="0.3">
      <c r="B183" s="152"/>
      <c r="D183" s="39"/>
    </row>
    <row r="184" spans="2:4" ht="15.75" customHeight="1" x14ac:dyDescent="0.3">
      <c r="B184" s="152"/>
      <c r="D184" s="39"/>
    </row>
    <row r="185" spans="2:4" ht="15.75" customHeight="1" x14ac:dyDescent="0.3">
      <c r="B185" s="152"/>
      <c r="D185" s="39"/>
    </row>
    <row r="186" spans="2:4" ht="15.75" customHeight="1" x14ac:dyDescent="0.3">
      <c r="B186" s="152"/>
      <c r="D186" s="39"/>
    </row>
    <row r="187" spans="2:4" ht="15.75" customHeight="1" x14ac:dyDescent="0.3">
      <c r="B187" s="152"/>
      <c r="D187" s="39"/>
    </row>
    <row r="188" spans="2:4" ht="15.75" customHeight="1" x14ac:dyDescent="0.3">
      <c r="B188" s="152"/>
      <c r="D188" s="39"/>
    </row>
    <row r="189" spans="2:4" ht="15.75" customHeight="1" x14ac:dyDescent="0.3">
      <c r="B189" s="152"/>
      <c r="D189" s="39"/>
    </row>
    <row r="190" spans="2:4" ht="15.75" customHeight="1" x14ac:dyDescent="0.3">
      <c r="B190" s="152"/>
      <c r="D190" s="39"/>
    </row>
    <row r="191" spans="2:4" ht="15.75" customHeight="1" x14ac:dyDescent="0.3">
      <c r="B191" s="152"/>
      <c r="D191" s="39"/>
    </row>
    <row r="192" spans="2:4" ht="15.75" customHeight="1" x14ac:dyDescent="0.3">
      <c r="B192" s="152"/>
      <c r="D192" s="39"/>
    </row>
    <row r="193" spans="2:4" ht="15.75" customHeight="1" x14ac:dyDescent="0.3">
      <c r="B193" s="152"/>
      <c r="D193" s="39"/>
    </row>
    <row r="194" spans="2:4" ht="15.75" customHeight="1" x14ac:dyDescent="0.3">
      <c r="B194" s="152"/>
      <c r="D194" s="39"/>
    </row>
    <row r="195" spans="2:4" ht="15.75" customHeight="1" x14ac:dyDescent="0.3">
      <c r="B195" s="152"/>
      <c r="D195" s="39"/>
    </row>
    <row r="196" spans="2:4" ht="15.75" customHeight="1" x14ac:dyDescent="0.3">
      <c r="B196" s="152"/>
      <c r="D196" s="39"/>
    </row>
    <row r="197" spans="2:4" ht="15.75" customHeight="1" x14ac:dyDescent="0.3">
      <c r="B197" s="152"/>
      <c r="D197" s="39"/>
    </row>
    <row r="198" spans="2:4" ht="15.75" customHeight="1" x14ac:dyDescent="0.3">
      <c r="B198" s="152"/>
      <c r="D198" s="39"/>
    </row>
    <row r="199" spans="2:4" ht="15.75" customHeight="1" x14ac:dyDescent="0.3">
      <c r="B199" s="152"/>
      <c r="D199" s="39"/>
    </row>
    <row r="200" spans="2:4" ht="15.75" customHeight="1" x14ac:dyDescent="0.3">
      <c r="B200" s="152"/>
      <c r="D200" s="39"/>
    </row>
    <row r="201" spans="2:4" ht="15.75" customHeight="1" x14ac:dyDescent="0.3">
      <c r="B201" s="152"/>
      <c r="D201" s="39"/>
    </row>
    <row r="202" spans="2:4" ht="15.75" customHeight="1" x14ac:dyDescent="0.3">
      <c r="B202" s="152"/>
      <c r="D202" s="39"/>
    </row>
    <row r="203" spans="2:4" ht="15.75" customHeight="1" x14ac:dyDescent="0.3">
      <c r="B203" s="152"/>
      <c r="D203" s="39"/>
    </row>
    <row r="204" spans="2:4" ht="15.75" customHeight="1" x14ac:dyDescent="0.3">
      <c r="B204" s="152"/>
      <c r="D204" s="39"/>
    </row>
    <row r="205" spans="2:4" ht="15.75" customHeight="1" x14ac:dyDescent="0.3">
      <c r="B205" s="152"/>
      <c r="D205" s="39"/>
    </row>
    <row r="206" spans="2:4" ht="15.75" customHeight="1" x14ac:dyDescent="0.3">
      <c r="B206" s="152"/>
      <c r="D206" s="39"/>
    </row>
    <row r="207" spans="2:4" ht="15.75" customHeight="1" x14ac:dyDescent="0.3">
      <c r="B207" s="152"/>
      <c r="D207" s="39"/>
    </row>
    <row r="208" spans="2:4" ht="15.75" customHeight="1" x14ac:dyDescent="0.3">
      <c r="B208" s="152"/>
      <c r="D208" s="39"/>
    </row>
    <row r="209" spans="2:4" ht="15.75" customHeight="1" x14ac:dyDescent="0.3">
      <c r="B209" s="152"/>
      <c r="D209" s="39"/>
    </row>
    <row r="210" spans="2:4" ht="15.75" customHeight="1" x14ac:dyDescent="0.3">
      <c r="B210" s="152"/>
      <c r="D210" s="39"/>
    </row>
    <row r="211" spans="2:4" ht="15.75" customHeight="1" x14ac:dyDescent="0.3">
      <c r="B211" s="152"/>
      <c r="D211" s="39"/>
    </row>
    <row r="212" spans="2:4" ht="15.75" customHeight="1" x14ac:dyDescent="0.3">
      <c r="B212" s="152"/>
      <c r="D212" s="39"/>
    </row>
    <row r="213" spans="2:4" ht="15.75" customHeight="1" x14ac:dyDescent="0.3">
      <c r="B213" s="152"/>
      <c r="D213" s="39"/>
    </row>
    <row r="214" spans="2:4" ht="15.75" customHeight="1" x14ac:dyDescent="0.3">
      <c r="B214" s="152"/>
      <c r="D214" s="39"/>
    </row>
    <row r="215" spans="2:4" ht="15.75" customHeight="1" x14ac:dyDescent="0.3">
      <c r="B215" s="152"/>
      <c r="D215" s="39"/>
    </row>
    <row r="216" spans="2:4" ht="15.75" customHeight="1" x14ac:dyDescent="0.3">
      <c r="B216" s="152"/>
      <c r="D216" s="39"/>
    </row>
    <row r="217" spans="2:4" ht="15.75" customHeight="1" x14ac:dyDescent="0.3">
      <c r="B217" s="152"/>
      <c r="D217" s="39"/>
    </row>
    <row r="218" spans="2:4" ht="15.75" customHeight="1" x14ac:dyDescent="0.3">
      <c r="B218" s="152"/>
      <c r="D218" s="39"/>
    </row>
    <row r="219" spans="2:4" ht="15.75" customHeight="1" x14ac:dyDescent="0.3">
      <c r="B219" s="152"/>
      <c r="D219" s="39"/>
    </row>
    <row r="220" spans="2:4" ht="15.75" customHeight="1" x14ac:dyDescent="0.3">
      <c r="B220" s="152"/>
      <c r="D220" s="39"/>
    </row>
    <row r="221" spans="2:4" ht="15.75" customHeight="1" x14ac:dyDescent="0.3">
      <c r="B221" s="152"/>
      <c r="D221" s="39"/>
    </row>
    <row r="222" spans="2:4" ht="15.75" customHeight="1" x14ac:dyDescent="0.3">
      <c r="B222" s="152"/>
      <c r="D222" s="39"/>
    </row>
    <row r="223" spans="2:4" ht="15.75" customHeight="1" x14ac:dyDescent="0.3">
      <c r="B223" s="152"/>
      <c r="D223" s="39"/>
    </row>
    <row r="224" spans="2:4" ht="15.75" customHeight="1" x14ac:dyDescent="0.3">
      <c r="B224" s="152"/>
      <c r="D224" s="39"/>
    </row>
    <row r="225" spans="2:4" ht="15.75" customHeight="1" x14ac:dyDescent="0.3">
      <c r="B225" s="152"/>
      <c r="D225" s="39"/>
    </row>
    <row r="226" spans="2:4" ht="15.75" customHeight="1" x14ac:dyDescent="0.3">
      <c r="B226" s="152"/>
      <c r="D226" s="39"/>
    </row>
    <row r="227" spans="2:4" ht="15.75" customHeight="1" x14ac:dyDescent="0.3">
      <c r="B227" s="152"/>
      <c r="D227" s="39"/>
    </row>
    <row r="228" spans="2:4" ht="15.75" customHeight="1" x14ac:dyDescent="0.3">
      <c r="B228" s="152"/>
      <c r="D228" s="39"/>
    </row>
    <row r="229" spans="2:4" ht="15.75" customHeight="1" x14ac:dyDescent="0.3">
      <c r="B229" s="152"/>
      <c r="D229" s="39"/>
    </row>
    <row r="230" spans="2:4" ht="15.75" customHeight="1" x14ac:dyDescent="0.3">
      <c r="B230" s="152"/>
      <c r="D230" s="39"/>
    </row>
    <row r="231" spans="2:4" ht="15.75" customHeight="1" x14ac:dyDescent="0.3">
      <c r="B231" s="152"/>
      <c r="D231" s="39"/>
    </row>
    <row r="232" spans="2:4" ht="15.75" customHeight="1" x14ac:dyDescent="0.3">
      <c r="B232" s="152"/>
      <c r="D232" s="39"/>
    </row>
    <row r="233" spans="2:4" ht="15.75" customHeight="1" x14ac:dyDescent="0.3">
      <c r="B233" s="152"/>
      <c r="D233" s="39"/>
    </row>
    <row r="234" spans="2:4" ht="15.75" customHeight="1" x14ac:dyDescent="0.3">
      <c r="B234" s="152"/>
      <c r="D234" s="39"/>
    </row>
    <row r="235" spans="2:4" ht="15.75" customHeight="1" x14ac:dyDescent="0.3">
      <c r="B235" s="152"/>
      <c r="D235" s="39"/>
    </row>
    <row r="236" spans="2:4" ht="15.75" customHeight="1" x14ac:dyDescent="0.3">
      <c r="B236" s="152"/>
      <c r="D236" s="39"/>
    </row>
    <row r="237" spans="2:4" ht="15.75" customHeight="1" x14ac:dyDescent="0.3">
      <c r="B237" s="152"/>
      <c r="D237" s="39"/>
    </row>
    <row r="238" spans="2:4" ht="15.75" customHeight="1" x14ac:dyDescent="0.3">
      <c r="B238" s="152"/>
      <c r="D238" s="39"/>
    </row>
    <row r="239" spans="2:4" ht="15.75" customHeight="1" x14ac:dyDescent="0.3">
      <c r="B239" s="152"/>
      <c r="D239" s="39"/>
    </row>
    <row r="240" spans="2:4" ht="15.75" customHeight="1" x14ac:dyDescent="0.3">
      <c r="B240" s="152"/>
      <c r="D240" s="39"/>
    </row>
    <row r="241" spans="2:4" ht="15.75" customHeight="1" x14ac:dyDescent="0.3">
      <c r="B241" s="152"/>
      <c r="D241" s="39"/>
    </row>
    <row r="242" spans="2:4" ht="15.75" customHeight="1" x14ac:dyDescent="0.3">
      <c r="B242" s="152"/>
      <c r="D242" s="39"/>
    </row>
    <row r="243" spans="2:4" ht="15.75" customHeight="1" x14ac:dyDescent="0.3">
      <c r="B243" s="152"/>
      <c r="D243" s="39"/>
    </row>
    <row r="244" spans="2:4" ht="15.75" customHeight="1" x14ac:dyDescent="0.3">
      <c r="B244" s="152"/>
      <c r="D244" s="39"/>
    </row>
    <row r="245" spans="2:4" ht="15.75" customHeight="1" x14ac:dyDescent="0.3">
      <c r="B245" s="152"/>
      <c r="D245" s="39"/>
    </row>
    <row r="246" spans="2:4" ht="15.75" customHeight="1" x14ac:dyDescent="0.3">
      <c r="B246" s="152"/>
      <c r="D246" s="39"/>
    </row>
    <row r="247" spans="2:4" ht="15.75" customHeight="1" x14ac:dyDescent="0.3">
      <c r="B247" s="152"/>
      <c r="D247" s="39"/>
    </row>
    <row r="248" spans="2:4" ht="15.75" customHeight="1" x14ac:dyDescent="0.3">
      <c r="B248" s="152"/>
      <c r="D248" s="39"/>
    </row>
    <row r="249" spans="2:4" ht="15.75" customHeight="1" x14ac:dyDescent="0.3">
      <c r="B249" s="152"/>
      <c r="D249" s="39"/>
    </row>
    <row r="250" spans="2:4" ht="15.75" customHeight="1" x14ac:dyDescent="0.3">
      <c r="B250" s="152"/>
      <c r="D250" s="39"/>
    </row>
    <row r="251" spans="2:4" ht="15.75" customHeight="1" x14ac:dyDescent="0.3">
      <c r="B251" s="152"/>
      <c r="D251" s="39"/>
    </row>
    <row r="252" spans="2:4" ht="15.75" customHeight="1" x14ac:dyDescent="0.3">
      <c r="B252" s="152"/>
      <c r="D252" s="39"/>
    </row>
    <row r="253" spans="2:4" ht="15.75" customHeight="1" x14ac:dyDescent="0.3">
      <c r="B253" s="152"/>
      <c r="D253" s="39"/>
    </row>
    <row r="254" spans="2:4" ht="15.75" customHeight="1" x14ac:dyDescent="0.3">
      <c r="B254" s="152"/>
      <c r="D254" s="39"/>
    </row>
    <row r="255" spans="2:4" ht="15.75" customHeight="1" x14ac:dyDescent="0.3">
      <c r="B255" s="152"/>
      <c r="D255" s="39"/>
    </row>
    <row r="256" spans="2:4" ht="15.75" customHeight="1" x14ac:dyDescent="0.3">
      <c r="B256" s="152"/>
      <c r="D256" s="39"/>
    </row>
    <row r="257" spans="2:4" ht="15.75" customHeight="1" x14ac:dyDescent="0.3">
      <c r="B257" s="152"/>
      <c r="D257" s="39"/>
    </row>
    <row r="258" spans="2:4" ht="15.75" customHeight="1" x14ac:dyDescent="0.3">
      <c r="B258" s="152"/>
      <c r="D258" s="39"/>
    </row>
    <row r="259" spans="2:4" ht="15.75" customHeight="1" x14ac:dyDescent="0.3">
      <c r="B259" s="152"/>
      <c r="D259" s="39"/>
    </row>
    <row r="260" spans="2:4" ht="15.75" customHeight="1" x14ac:dyDescent="0.3">
      <c r="B260" s="152"/>
      <c r="D260" s="39"/>
    </row>
    <row r="261" spans="2:4" ht="15.75" customHeight="1" x14ac:dyDescent="0.3">
      <c r="B261" s="152"/>
      <c r="D261" s="39"/>
    </row>
    <row r="262" spans="2:4" ht="15.75" customHeight="1" x14ac:dyDescent="0.3">
      <c r="B262" s="152"/>
      <c r="D262" s="39"/>
    </row>
    <row r="263" spans="2:4" ht="15.75" customHeight="1" x14ac:dyDescent="0.3">
      <c r="B263" s="152"/>
      <c r="D263" s="39"/>
    </row>
    <row r="264" spans="2:4" ht="15.75" customHeight="1" x14ac:dyDescent="0.3">
      <c r="B264" s="152"/>
      <c r="D264" s="39"/>
    </row>
    <row r="265" spans="2:4" ht="15.75" customHeight="1" x14ac:dyDescent="0.3">
      <c r="B265" s="152"/>
      <c r="D265" s="39"/>
    </row>
    <row r="266" spans="2:4" ht="15.75" customHeight="1" x14ac:dyDescent="0.3">
      <c r="B266" s="152"/>
      <c r="D266" s="39"/>
    </row>
    <row r="267" spans="2:4" ht="15.75" customHeight="1" x14ac:dyDescent="0.3">
      <c r="B267" s="152"/>
      <c r="D267" s="39"/>
    </row>
    <row r="268" spans="2:4" ht="15.75" customHeight="1" x14ac:dyDescent="0.3">
      <c r="B268" s="152"/>
      <c r="D268" s="39"/>
    </row>
    <row r="269" spans="2:4" ht="15.75" customHeight="1" x14ac:dyDescent="0.3">
      <c r="B269" s="152"/>
      <c r="D269" s="39"/>
    </row>
    <row r="270" spans="2:4" ht="15.75" customHeight="1" x14ac:dyDescent="0.3">
      <c r="B270" s="152"/>
      <c r="D270" s="39"/>
    </row>
    <row r="271" spans="2:4" ht="15.75" customHeight="1" x14ac:dyDescent="0.3">
      <c r="B271" s="152"/>
      <c r="D271" s="39"/>
    </row>
    <row r="272" spans="2:4" ht="15.75" customHeight="1" x14ac:dyDescent="0.3">
      <c r="B272" s="152"/>
      <c r="D272" s="39"/>
    </row>
    <row r="273" spans="2:4" ht="15.75" customHeight="1" x14ac:dyDescent="0.3">
      <c r="B273" s="152"/>
      <c r="D273" s="39"/>
    </row>
    <row r="274" spans="2:4" ht="15.75" customHeight="1" x14ac:dyDescent="0.3">
      <c r="B274" s="152"/>
      <c r="D274" s="39"/>
    </row>
    <row r="275" spans="2:4" ht="15.75" customHeight="1" x14ac:dyDescent="0.3">
      <c r="B275" s="152"/>
      <c r="D275" s="39"/>
    </row>
    <row r="276" spans="2:4" ht="15.75" customHeight="1" x14ac:dyDescent="0.3">
      <c r="B276" s="152"/>
      <c r="D276" s="39"/>
    </row>
    <row r="277" spans="2:4" ht="15.75" customHeight="1" x14ac:dyDescent="0.3">
      <c r="B277" s="152"/>
      <c r="D277" s="39"/>
    </row>
    <row r="278" spans="2:4" ht="15.75" customHeight="1" x14ac:dyDescent="0.3">
      <c r="B278" s="152"/>
      <c r="D278" s="39"/>
    </row>
    <row r="279" spans="2:4" ht="15.75" customHeight="1" x14ac:dyDescent="0.3">
      <c r="B279" s="152"/>
      <c r="D279" s="39"/>
    </row>
    <row r="280" spans="2:4" ht="15.75" customHeight="1" x14ac:dyDescent="0.3">
      <c r="B280" s="152"/>
      <c r="D280" s="39"/>
    </row>
    <row r="281" spans="2:4" ht="15.75" customHeight="1" x14ac:dyDescent="0.3">
      <c r="B281" s="152"/>
      <c r="D281" s="39"/>
    </row>
    <row r="282" spans="2:4" ht="15.75" customHeight="1" x14ac:dyDescent="0.3">
      <c r="B282" s="152"/>
      <c r="D282" s="39"/>
    </row>
    <row r="283" spans="2:4" ht="15.75" customHeight="1" x14ac:dyDescent="0.3">
      <c r="B283" s="152"/>
      <c r="D283" s="39"/>
    </row>
    <row r="284" spans="2:4" ht="15.75" customHeight="1" x14ac:dyDescent="0.3">
      <c r="B284" s="152"/>
      <c r="D284" s="39"/>
    </row>
    <row r="285" spans="2:4" ht="15.75" customHeight="1" x14ac:dyDescent="0.3">
      <c r="B285" s="152"/>
      <c r="D285" s="39"/>
    </row>
    <row r="286" spans="2:4" ht="15.75" customHeight="1" x14ac:dyDescent="0.3">
      <c r="B286" s="152"/>
      <c r="D286" s="39"/>
    </row>
    <row r="287" spans="2:4" ht="15.75" customHeight="1" x14ac:dyDescent="0.3">
      <c r="B287" s="152"/>
      <c r="D287" s="39"/>
    </row>
    <row r="288" spans="2:4" ht="15.75" customHeight="1" x14ac:dyDescent="0.3">
      <c r="B288" s="152"/>
      <c r="D288" s="39"/>
    </row>
    <row r="289" spans="2:4" ht="15.75" customHeight="1" x14ac:dyDescent="0.3">
      <c r="B289" s="152"/>
      <c r="D289" s="39"/>
    </row>
    <row r="290" spans="2:4" ht="15.75" customHeight="1" x14ac:dyDescent="0.3">
      <c r="B290" s="152"/>
      <c r="D290" s="39"/>
    </row>
    <row r="291" spans="2:4" ht="15.75" customHeight="1" x14ac:dyDescent="0.3">
      <c r="B291" s="152"/>
      <c r="D291" s="39"/>
    </row>
    <row r="292" spans="2:4" ht="15.75" customHeight="1" x14ac:dyDescent="0.3">
      <c r="B292" s="152"/>
      <c r="D292" s="39"/>
    </row>
    <row r="293" spans="2:4" ht="15.75" customHeight="1" x14ac:dyDescent="0.3">
      <c r="B293" s="152"/>
      <c r="D293" s="39"/>
    </row>
    <row r="294" spans="2:4" ht="15.75" customHeight="1" x14ac:dyDescent="0.3">
      <c r="B294" s="152"/>
      <c r="D294" s="39"/>
    </row>
    <row r="295" spans="2:4" ht="15.75" customHeight="1" x14ac:dyDescent="0.3">
      <c r="B295" s="152"/>
      <c r="D295" s="39"/>
    </row>
    <row r="296" spans="2:4" ht="15.75" customHeight="1" x14ac:dyDescent="0.3">
      <c r="B296" s="152"/>
      <c r="D296" s="39"/>
    </row>
    <row r="297" spans="2:4" ht="15.75" customHeight="1" x14ac:dyDescent="0.3">
      <c r="B297" s="152"/>
      <c r="D297" s="39"/>
    </row>
    <row r="298" spans="2:4" ht="15.75" customHeight="1" x14ac:dyDescent="0.3">
      <c r="B298" s="152"/>
      <c r="D298" s="39"/>
    </row>
    <row r="299" spans="2:4" ht="15.75" customHeight="1" x14ac:dyDescent="0.3">
      <c r="B299" s="152"/>
      <c r="D299" s="39"/>
    </row>
    <row r="300" spans="2:4" ht="15.75" customHeight="1" x14ac:dyDescent="0.3">
      <c r="B300" s="152"/>
      <c r="D300" s="39"/>
    </row>
    <row r="301" spans="2:4" ht="15.75" customHeight="1" x14ac:dyDescent="0.3">
      <c r="B301" s="152"/>
      <c r="D301" s="39"/>
    </row>
    <row r="302" spans="2:4" ht="15.75" customHeight="1" x14ac:dyDescent="0.3">
      <c r="B302" s="152"/>
      <c r="D302" s="39"/>
    </row>
    <row r="303" spans="2:4" ht="15.75" customHeight="1" x14ac:dyDescent="0.3">
      <c r="B303" s="152"/>
      <c r="D303" s="39"/>
    </row>
    <row r="304" spans="2:4" ht="15.75" customHeight="1" x14ac:dyDescent="0.3">
      <c r="B304" s="152"/>
      <c r="D304" s="39"/>
    </row>
    <row r="305" spans="2:4" ht="15.75" customHeight="1" x14ac:dyDescent="0.3">
      <c r="B305" s="152"/>
      <c r="D305" s="39"/>
    </row>
    <row r="306" spans="2:4" ht="15.75" customHeight="1" x14ac:dyDescent="0.3">
      <c r="B306" s="152"/>
      <c r="D306" s="39"/>
    </row>
    <row r="307" spans="2:4" ht="15.75" customHeight="1" x14ac:dyDescent="0.3">
      <c r="B307" s="152"/>
      <c r="D307" s="39"/>
    </row>
    <row r="308" spans="2:4" ht="15.75" customHeight="1" x14ac:dyDescent="0.3">
      <c r="B308" s="152"/>
      <c r="D308" s="39"/>
    </row>
    <row r="309" spans="2:4" ht="15.75" customHeight="1" x14ac:dyDescent="0.3">
      <c r="B309" s="152"/>
      <c r="D309" s="39"/>
    </row>
    <row r="310" spans="2:4" ht="15.75" customHeight="1" x14ac:dyDescent="0.3">
      <c r="B310" s="152"/>
      <c r="D310" s="39"/>
    </row>
    <row r="311" spans="2:4" ht="15.75" customHeight="1" x14ac:dyDescent="0.3">
      <c r="B311" s="152"/>
      <c r="D311" s="39"/>
    </row>
    <row r="312" spans="2:4" ht="15.75" customHeight="1" x14ac:dyDescent="0.3">
      <c r="B312" s="152"/>
      <c r="D312" s="39"/>
    </row>
    <row r="313" spans="2:4" ht="15.75" customHeight="1" x14ac:dyDescent="0.3">
      <c r="B313" s="152"/>
      <c r="D313" s="39"/>
    </row>
    <row r="314" spans="2:4" ht="15.75" customHeight="1" x14ac:dyDescent="0.3">
      <c r="B314" s="152"/>
      <c r="D314" s="39"/>
    </row>
    <row r="315" spans="2:4" ht="15.75" customHeight="1" x14ac:dyDescent="0.3">
      <c r="B315" s="152"/>
      <c r="D315" s="39"/>
    </row>
    <row r="316" spans="2:4" ht="15.75" customHeight="1" x14ac:dyDescent="0.3">
      <c r="B316" s="152"/>
      <c r="D316" s="39"/>
    </row>
    <row r="317" spans="2:4" ht="15.75" customHeight="1" x14ac:dyDescent="0.3">
      <c r="B317" s="152"/>
      <c r="D317" s="39"/>
    </row>
    <row r="318" spans="2:4" ht="15.75" customHeight="1" x14ac:dyDescent="0.3">
      <c r="B318" s="152"/>
      <c r="D318" s="39"/>
    </row>
    <row r="319" spans="2:4" ht="15.75" customHeight="1" x14ac:dyDescent="0.3">
      <c r="B319" s="152"/>
      <c r="D319" s="39"/>
    </row>
    <row r="320" spans="2:4" ht="15.75" customHeight="1" x14ac:dyDescent="0.3">
      <c r="B320" s="152"/>
      <c r="D320" s="39"/>
    </row>
    <row r="321" spans="2:4" ht="15.75" customHeight="1" x14ac:dyDescent="0.3">
      <c r="B321" s="152"/>
      <c r="D321" s="39"/>
    </row>
    <row r="322" spans="2:4" ht="15.75" customHeight="1" x14ac:dyDescent="0.3">
      <c r="B322" s="152"/>
      <c r="D322" s="39"/>
    </row>
    <row r="323" spans="2:4" ht="15.75" customHeight="1" x14ac:dyDescent="0.3">
      <c r="B323" s="152"/>
      <c r="D323" s="39"/>
    </row>
    <row r="324" spans="2:4" ht="15.75" customHeight="1" x14ac:dyDescent="0.3">
      <c r="B324" s="152"/>
      <c r="D324" s="39"/>
    </row>
    <row r="325" spans="2:4" ht="15.75" customHeight="1" x14ac:dyDescent="0.3">
      <c r="B325" s="152"/>
      <c r="D325" s="39"/>
    </row>
    <row r="326" spans="2:4" ht="15.75" customHeight="1" x14ac:dyDescent="0.3">
      <c r="B326" s="152"/>
      <c r="D326" s="39"/>
    </row>
    <row r="327" spans="2:4" ht="15.75" customHeight="1" x14ac:dyDescent="0.3">
      <c r="B327" s="152"/>
      <c r="D327" s="39"/>
    </row>
    <row r="328" spans="2:4" ht="15.75" customHeight="1" x14ac:dyDescent="0.3">
      <c r="B328" s="152"/>
      <c r="D328" s="39"/>
    </row>
    <row r="329" spans="2:4" ht="15.75" customHeight="1" x14ac:dyDescent="0.3">
      <c r="B329" s="152"/>
      <c r="D329" s="39"/>
    </row>
    <row r="330" spans="2:4" ht="15.75" customHeight="1" x14ac:dyDescent="0.3">
      <c r="B330" s="152"/>
      <c r="D330" s="39"/>
    </row>
    <row r="331" spans="2:4" ht="15.75" customHeight="1" x14ac:dyDescent="0.3">
      <c r="B331" s="152"/>
      <c r="D331" s="39"/>
    </row>
    <row r="332" spans="2:4" ht="15.75" customHeight="1" x14ac:dyDescent="0.3">
      <c r="B332" s="152"/>
      <c r="D332" s="39"/>
    </row>
    <row r="333" spans="2:4" ht="15.75" customHeight="1" x14ac:dyDescent="0.3">
      <c r="B333" s="152"/>
      <c r="D333" s="39"/>
    </row>
    <row r="334" spans="2:4" ht="15.75" customHeight="1" x14ac:dyDescent="0.3">
      <c r="B334" s="152"/>
      <c r="D334" s="39"/>
    </row>
    <row r="335" spans="2:4" ht="15.75" customHeight="1" x14ac:dyDescent="0.3">
      <c r="B335" s="152"/>
      <c r="D335" s="39"/>
    </row>
    <row r="336" spans="2:4" ht="15.75" customHeight="1" x14ac:dyDescent="0.3">
      <c r="B336" s="152"/>
      <c r="D336" s="39"/>
    </row>
    <row r="337" spans="2:4" ht="15.75" customHeight="1" x14ac:dyDescent="0.3">
      <c r="B337" s="152"/>
      <c r="D337" s="39"/>
    </row>
    <row r="338" spans="2:4" ht="15.75" customHeight="1" x14ac:dyDescent="0.3">
      <c r="B338" s="152"/>
      <c r="D338" s="39"/>
    </row>
    <row r="339" spans="2:4" ht="15.75" customHeight="1" x14ac:dyDescent="0.3">
      <c r="B339" s="152"/>
      <c r="D339" s="39"/>
    </row>
    <row r="340" spans="2:4" ht="15.75" customHeight="1" x14ac:dyDescent="0.3">
      <c r="B340" s="152"/>
      <c r="D340" s="39"/>
    </row>
    <row r="341" spans="2:4" ht="15.75" customHeight="1" x14ac:dyDescent="0.3">
      <c r="B341" s="152"/>
      <c r="D341" s="39"/>
    </row>
    <row r="342" spans="2:4" ht="15.75" customHeight="1" x14ac:dyDescent="0.3">
      <c r="B342" s="152"/>
      <c r="D342" s="39"/>
    </row>
    <row r="343" spans="2:4" ht="15.75" customHeight="1" x14ac:dyDescent="0.3">
      <c r="B343" s="152"/>
      <c r="D343" s="39"/>
    </row>
    <row r="344" spans="2:4" ht="15.75" customHeight="1" x14ac:dyDescent="0.3">
      <c r="B344" s="152"/>
      <c r="D344" s="39"/>
    </row>
    <row r="345" spans="2:4" ht="15.75" customHeight="1" x14ac:dyDescent="0.3">
      <c r="B345" s="152"/>
      <c r="D345" s="39"/>
    </row>
    <row r="346" spans="2:4" ht="15.75" customHeight="1" x14ac:dyDescent="0.3">
      <c r="B346" s="152"/>
      <c r="D346" s="39"/>
    </row>
    <row r="347" spans="2:4" ht="15.75" customHeight="1" x14ac:dyDescent="0.3">
      <c r="B347" s="152"/>
      <c r="D347" s="39"/>
    </row>
    <row r="348" spans="2:4" ht="15.75" customHeight="1" x14ac:dyDescent="0.3">
      <c r="B348" s="152"/>
      <c r="D348" s="39"/>
    </row>
    <row r="349" spans="2:4" ht="15.75" customHeight="1" x14ac:dyDescent="0.3">
      <c r="B349" s="152"/>
      <c r="D349" s="39"/>
    </row>
    <row r="350" spans="2:4" ht="15.75" customHeight="1" x14ac:dyDescent="0.3">
      <c r="B350" s="152"/>
      <c r="D350" s="39"/>
    </row>
    <row r="351" spans="2:4" ht="15.75" customHeight="1" x14ac:dyDescent="0.3">
      <c r="B351" s="152"/>
      <c r="D351" s="39"/>
    </row>
    <row r="352" spans="2:4" ht="15.75" customHeight="1" x14ac:dyDescent="0.3">
      <c r="B352" s="152"/>
      <c r="D352" s="39"/>
    </row>
    <row r="353" spans="2:4" ht="15.75" customHeight="1" x14ac:dyDescent="0.3">
      <c r="B353" s="152"/>
      <c r="D353" s="39"/>
    </row>
    <row r="354" spans="2:4" ht="15.75" customHeight="1" x14ac:dyDescent="0.3">
      <c r="B354" s="152"/>
      <c r="D354" s="39"/>
    </row>
    <row r="355" spans="2:4" ht="15.75" customHeight="1" x14ac:dyDescent="0.3">
      <c r="B355" s="152"/>
      <c r="D355" s="39"/>
    </row>
    <row r="356" spans="2:4" ht="15.75" customHeight="1" x14ac:dyDescent="0.3">
      <c r="B356" s="152"/>
      <c r="D356" s="39"/>
    </row>
    <row r="357" spans="2:4" ht="15.75" customHeight="1" x14ac:dyDescent="0.3">
      <c r="B357" s="152"/>
      <c r="D357" s="39"/>
    </row>
    <row r="358" spans="2:4" ht="15.75" customHeight="1" x14ac:dyDescent="0.3">
      <c r="B358" s="152"/>
      <c r="D358" s="39"/>
    </row>
    <row r="359" spans="2:4" ht="15.75" customHeight="1" x14ac:dyDescent="0.3">
      <c r="B359" s="152"/>
      <c r="D359" s="39"/>
    </row>
    <row r="360" spans="2:4" ht="15.75" customHeight="1" x14ac:dyDescent="0.3">
      <c r="B360" s="152"/>
      <c r="D360" s="39"/>
    </row>
    <row r="361" spans="2:4" ht="15.75" customHeight="1" x14ac:dyDescent="0.3">
      <c r="B361" s="152"/>
      <c r="D361" s="39"/>
    </row>
    <row r="362" spans="2:4" ht="15.75" customHeight="1" x14ac:dyDescent="0.3">
      <c r="B362" s="152"/>
      <c r="D362" s="39"/>
    </row>
    <row r="363" spans="2:4" ht="15.75" customHeight="1" x14ac:dyDescent="0.3">
      <c r="B363" s="152"/>
      <c r="D363" s="39"/>
    </row>
    <row r="364" spans="2:4" ht="15.75" customHeight="1" x14ac:dyDescent="0.3">
      <c r="B364" s="152"/>
      <c r="D364" s="39"/>
    </row>
    <row r="365" spans="2:4" ht="15.75" customHeight="1" x14ac:dyDescent="0.3">
      <c r="B365" s="152"/>
      <c r="D365" s="39"/>
    </row>
    <row r="366" spans="2:4" ht="15.75" customHeight="1" x14ac:dyDescent="0.3">
      <c r="B366" s="152"/>
      <c r="D366" s="39"/>
    </row>
    <row r="367" spans="2:4" ht="15.75" customHeight="1" x14ac:dyDescent="0.3">
      <c r="B367" s="152"/>
      <c r="D367" s="39"/>
    </row>
    <row r="368" spans="2:4" ht="15.75" customHeight="1" x14ac:dyDescent="0.3">
      <c r="B368" s="152"/>
      <c r="D368" s="39"/>
    </row>
    <row r="369" spans="2:4" ht="15.75" customHeight="1" x14ac:dyDescent="0.3">
      <c r="B369" s="152"/>
      <c r="D369" s="39"/>
    </row>
    <row r="370" spans="2:4" ht="15.75" customHeight="1" x14ac:dyDescent="0.3">
      <c r="B370" s="152"/>
      <c r="D370" s="39"/>
    </row>
    <row r="371" spans="2:4" ht="15.75" customHeight="1" x14ac:dyDescent="0.3">
      <c r="B371" s="152"/>
      <c r="D371" s="39"/>
    </row>
    <row r="372" spans="2:4" ht="15.75" customHeight="1" x14ac:dyDescent="0.3">
      <c r="B372" s="152"/>
      <c r="D372" s="39"/>
    </row>
    <row r="373" spans="2:4" ht="15.75" customHeight="1" x14ac:dyDescent="0.3">
      <c r="B373" s="152"/>
      <c r="D373" s="39"/>
    </row>
    <row r="374" spans="2:4" ht="15.75" customHeight="1" x14ac:dyDescent="0.3">
      <c r="B374" s="152"/>
      <c r="D374" s="39"/>
    </row>
    <row r="375" spans="2:4" ht="15.75" customHeight="1" x14ac:dyDescent="0.3">
      <c r="B375" s="152"/>
      <c r="D375" s="39"/>
    </row>
    <row r="376" spans="2:4" ht="15.75" customHeight="1" x14ac:dyDescent="0.3">
      <c r="B376" s="152"/>
      <c r="D376" s="39"/>
    </row>
    <row r="377" spans="2:4" ht="15.75" customHeight="1" x14ac:dyDescent="0.3">
      <c r="B377" s="152"/>
      <c r="D377" s="39"/>
    </row>
    <row r="378" spans="2:4" ht="15.75" customHeight="1" x14ac:dyDescent="0.3">
      <c r="B378" s="152"/>
      <c r="D378" s="39"/>
    </row>
    <row r="379" spans="2:4" ht="15.75" customHeight="1" x14ac:dyDescent="0.3">
      <c r="B379" s="152"/>
      <c r="D379" s="39"/>
    </row>
    <row r="380" spans="2:4" ht="15.75" customHeight="1" x14ac:dyDescent="0.3">
      <c r="B380" s="152"/>
      <c r="D380" s="39"/>
    </row>
    <row r="381" spans="2:4" ht="15.75" customHeight="1" x14ac:dyDescent="0.3">
      <c r="B381" s="152"/>
      <c r="D381" s="39"/>
    </row>
    <row r="382" spans="2:4" ht="15.75" customHeight="1" x14ac:dyDescent="0.3">
      <c r="B382" s="152"/>
      <c r="D382" s="39"/>
    </row>
    <row r="383" spans="2:4" ht="15.75" customHeight="1" x14ac:dyDescent="0.3">
      <c r="B383" s="152"/>
      <c r="D383" s="39"/>
    </row>
    <row r="384" spans="2:4" ht="15.75" customHeight="1" x14ac:dyDescent="0.3">
      <c r="B384" s="152"/>
      <c r="D384" s="39"/>
    </row>
    <row r="385" spans="2:4" ht="15.75" customHeight="1" x14ac:dyDescent="0.3">
      <c r="B385" s="152"/>
      <c r="D385" s="39"/>
    </row>
    <row r="386" spans="2:4" ht="15.75" customHeight="1" x14ac:dyDescent="0.3">
      <c r="B386" s="152"/>
      <c r="D386" s="39"/>
    </row>
    <row r="387" spans="2:4" ht="15.75" customHeight="1" x14ac:dyDescent="0.3">
      <c r="B387" s="152"/>
      <c r="D387" s="39"/>
    </row>
    <row r="388" spans="2:4" ht="15.75" customHeight="1" x14ac:dyDescent="0.3">
      <c r="B388" s="152"/>
      <c r="D388" s="39"/>
    </row>
    <row r="389" spans="2:4" ht="15.75" customHeight="1" x14ac:dyDescent="0.3">
      <c r="B389" s="152"/>
      <c r="D389" s="39"/>
    </row>
    <row r="390" spans="2:4" ht="15.75" customHeight="1" x14ac:dyDescent="0.3">
      <c r="B390" s="152"/>
      <c r="D390" s="39"/>
    </row>
    <row r="391" spans="2:4" ht="15.75" customHeight="1" x14ac:dyDescent="0.3">
      <c r="B391" s="152"/>
      <c r="D391" s="39"/>
    </row>
    <row r="392" spans="2:4" ht="15.75" customHeight="1" x14ac:dyDescent="0.3">
      <c r="B392" s="152"/>
      <c r="D392" s="39"/>
    </row>
    <row r="393" spans="2:4" ht="15.75" customHeight="1" x14ac:dyDescent="0.3">
      <c r="B393" s="152"/>
      <c r="D393" s="39"/>
    </row>
    <row r="394" spans="2:4" ht="15.75" customHeight="1" x14ac:dyDescent="0.3">
      <c r="B394" s="152"/>
      <c r="D394" s="39"/>
    </row>
    <row r="395" spans="2:4" ht="15.75" customHeight="1" x14ac:dyDescent="0.3">
      <c r="B395" s="152"/>
      <c r="D395" s="39"/>
    </row>
    <row r="396" spans="2:4" ht="15.75" customHeight="1" x14ac:dyDescent="0.3">
      <c r="B396" s="152"/>
      <c r="D396" s="39"/>
    </row>
    <row r="397" spans="2:4" ht="15.75" customHeight="1" x14ac:dyDescent="0.3">
      <c r="B397" s="152"/>
      <c r="D397" s="39"/>
    </row>
    <row r="398" spans="2:4" ht="15.75" customHeight="1" x14ac:dyDescent="0.3">
      <c r="B398" s="152"/>
      <c r="D398" s="39"/>
    </row>
    <row r="399" spans="2:4" ht="15.75" customHeight="1" x14ac:dyDescent="0.3">
      <c r="B399" s="152"/>
      <c r="D399" s="39"/>
    </row>
    <row r="400" spans="2:4" ht="15.75" customHeight="1" x14ac:dyDescent="0.3">
      <c r="B400" s="152"/>
      <c r="D400" s="39"/>
    </row>
    <row r="401" spans="2:4" ht="15.75" customHeight="1" x14ac:dyDescent="0.3">
      <c r="B401" s="152"/>
      <c r="D401" s="39"/>
    </row>
    <row r="402" spans="2:4" ht="15.75" customHeight="1" x14ac:dyDescent="0.3">
      <c r="B402" s="152"/>
      <c r="D402" s="39"/>
    </row>
    <row r="403" spans="2:4" ht="15.75" customHeight="1" x14ac:dyDescent="0.3">
      <c r="B403" s="152"/>
      <c r="D403" s="39"/>
    </row>
    <row r="404" spans="2:4" ht="15.75" customHeight="1" x14ac:dyDescent="0.3">
      <c r="B404" s="152"/>
      <c r="D404" s="39"/>
    </row>
    <row r="405" spans="2:4" ht="15.75" customHeight="1" x14ac:dyDescent="0.3">
      <c r="B405" s="152"/>
      <c r="D405" s="39"/>
    </row>
    <row r="406" spans="2:4" ht="15.75" customHeight="1" x14ac:dyDescent="0.3">
      <c r="B406" s="152"/>
      <c r="D406" s="39"/>
    </row>
    <row r="407" spans="2:4" ht="15.75" customHeight="1" x14ac:dyDescent="0.3">
      <c r="B407" s="152"/>
      <c r="D407" s="39"/>
    </row>
    <row r="408" spans="2:4" ht="15.75" customHeight="1" x14ac:dyDescent="0.3">
      <c r="B408" s="152"/>
      <c r="D408" s="39"/>
    </row>
    <row r="409" spans="2:4" ht="15.75" customHeight="1" x14ac:dyDescent="0.3">
      <c r="B409" s="152"/>
      <c r="D409" s="39"/>
    </row>
    <row r="410" spans="2:4" ht="15.75" customHeight="1" x14ac:dyDescent="0.3">
      <c r="B410" s="152"/>
      <c r="D410" s="39"/>
    </row>
    <row r="411" spans="2:4" ht="15.75" customHeight="1" x14ac:dyDescent="0.3">
      <c r="B411" s="152"/>
      <c r="D411" s="39"/>
    </row>
    <row r="412" spans="2:4" ht="15.75" customHeight="1" x14ac:dyDescent="0.3">
      <c r="B412" s="152"/>
      <c r="D412" s="39"/>
    </row>
    <row r="413" spans="2:4" ht="15.75" customHeight="1" x14ac:dyDescent="0.3">
      <c r="B413" s="152"/>
      <c r="D413" s="39"/>
    </row>
    <row r="414" spans="2:4" ht="15.75" customHeight="1" x14ac:dyDescent="0.3">
      <c r="B414" s="152"/>
      <c r="D414" s="39"/>
    </row>
    <row r="415" spans="2:4" ht="15.75" customHeight="1" x14ac:dyDescent="0.3">
      <c r="B415" s="152"/>
      <c r="D415" s="39"/>
    </row>
    <row r="416" spans="2:4" ht="15.75" customHeight="1" x14ac:dyDescent="0.3">
      <c r="B416" s="152"/>
      <c r="D416" s="39"/>
    </row>
    <row r="417" spans="2:4" ht="15.75" customHeight="1" x14ac:dyDescent="0.3">
      <c r="B417" s="152"/>
      <c r="D417" s="39"/>
    </row>
    <row r="418" spans="2:4" ht="15.75" customHeight="1" x14ac:dyDescent="0.3">
      <c r="B418" s="152"/>
      <c r="D418" s="39"/>
    </row>
    <row r="419" spans="2:4" ht="15.75" customHeight="1" x14ac:dyDescent="0.3">
      <c r="B419" s="152"/>
      <c r="D419" s="39"/>
    </row>
    <row r="420" spans="2:4" ht="15.75" customHeight="1" x14ac:dyDescent="0.3">
      <c r="B420" s="152"/>
      <c r="D420" s="39"/>
    </row>
    <row r="421" spans="2:4" ht="15.75" customHeight="1" x14ac:dyDescent="0.3">
      <c r="B421" s="152"/>
      <c r="D421" s="39"/>
    </row>
    <row r="422" spans="2:4" ht="15.75" customHeight="1" x14ac:dyDescent="0.3">
      <c r="B422" s="152"/>
      <c r="D422" s="39"/>
    </row>
    <row r="423" spans="2:4" ht="15.75" customHeight="1" x14ac:dyDescent="0.3">
      <c r="B423" s="152"/>
      <c r="D423" s="39"/>
    </row>
    <row r="424" spans="2:4" ht="15.75" customHeight="1" x14ac:dyDescent="0.3">
      <c r="B424" s="152"/>
      <c r="D424" s="39"/>
    </row>
    <row r="425" spans="2:4" ht="15.75" customHeight="1" x14ac:dyDescent="0.3">
      <c r="B425" s="152"/>
      <c r="D425" s="39"/>
    </row>
    <row r="426" spans="2:4" ht="15.75" customHeight="1" x14ac:dyDescent="0.3">
      <c r="B426" s="152"/>
      <c r="D426" s="39"/>
    </row>
    <row r="427" spans="2:4" ht="15.75" customHeight="1" x14ac:dyDescent="0.3">
      <c r="B427" s="152"/>
      <c r="D427" s="39"/>
    </row>
    <row r="428" spans="2:4" ht="15.75" customHeight="1" x14ac:dyDescent="0.3">
      <c r="B428" s="152"/>
      <c r="D428" s="39"/>
    </row>
    <row r="429" spans="2:4" ht="15.75" customHeight="1" x14ac:dyDescent="0.3">
      <c r="B429" s="152"/>
      <c r="D429" s="39"/>
    </row>
    <row r="430" spans="2:4" ht="15.75" customHeight="1" x14ac:dyDescent="0.3">
      <c r="B430" s="152"/>
      <c r="D430" s="39"/>
    </row>
    <row r="431" spans="2:4" ht="15.75" customHeight="1" x14ac:dyDescent="0.3">
      <c r="B431" s="152"/>
      <c r="D431" s="39"/>
    </row>
    <row r="432" spans="2:4" ht="15.75" customHeight="1" x14ac:dyDescent="0.3">
      <c r="B432" s="152"/>
      <c r="D432" s="39"/>
    </row>
    <row r="433" spans="2:4" ht="15.75" customHeight="1" x14ac:dyDescent="0.3">
      <c r="B433" s="152"/>
      <c r="D433" s="39"/>
    </row>
    <row r="434" spans="2:4" ht="15.75" customHeight="1" x14ac:dyDescent="0.3">
      <c r="B434" s="152"/>
      <c r="D434" s="39"/>
    </row>
    <row r="435" spans="2:4" ht="15.75" customHeight="1" x14ac:dyDescent="0.3">
      <c r="B435" s="152"/>
      <c r="D435" s="39"/>
    </row>
    <row r="436" spans="2:4" ht="15.75" customHeight="1" x14ac:dyDescent="0.3">
      <c r="B436" s="152"/>
      <c r="D436" s="39"/>
    </row>
    <row r="437" spans="2:4" ht="15.75" customHeight="1" x14ac:dyDescent="0.3">
      <c r="B437" s="152"/>
      <c r="D437" s="39"/>
    </row>
    <row r="438" spans="2:4" ht="15.75" customHeight="1" x14ac:dyDescent="0.3">
      <c r="B438" s="152"/>
      <c r="D438" s="39"/>
    </row>
    <row r="439" spans="2:4" ht="15.75" customHeight="1" x14ac:dyDescent="0.3">
      <c r="B439" s="152"/>
      <c r="D439" s="39"/>
    </row>
    <row r="440" spans="2:4" ht="15.75" customHeight="1" x14ac:dyDescent="0.3">
      <c r="B440" s="152"/>
      <c r="D440" s="39"/>
    </row>
    <row r="441" spans="2:4" ht="15.75" customHeight="1" x14ac:dyDescent="0.3">
      <c r="B441" s="152"/>
      <c r="D441" s="39"/>
    </row>
    <row r="442" spans="2:4" ht="15.75" customHeight="1" x14ac:dyDescent="0.3">
      <c r="B442" s="152"/>
      <c r="D442" s="39"/>
    </row>
    <row r="443" spans="2:4" ht="15.75" customHeight="1" x14ac:dyDescent="0.3">
      <c r="B443" s="152"/>
      <c r="D443" s="39"/>
    </row>
    <row r="444" spans="2:4" ht="15.75" customHeight="1" x14ac:dyDescent="0.3">
      <c r="B444" s="152"/>
      <c r="D444" s="39"/>
    </row>
    <row r="445" spans="2:4" ht="15.75" customHeight="1" x14ac:dyDescent="0.3">
      <c r="B445" s="152"/>
      <c r="D445" s="39"/>
    </row>
    <row r="446" spans="2:4" ht="15.75" customHeight="1" x14ac:dyDescent="0.3">
      <c r="B446" s="152"/>
      <c r="D446" s="39"/>
    </row>
    <row r="447" spans="2:4" ht="15.75" customHeight="1" x14ac:dyDescent="0.3">
      <c r="B447" s="152"/>
      <c r="D447" s="39"/>
    </row>
    <row r="448" spans="2:4" ht="15.75" customHeight="1" x14ac:dyDescent="0.3">
      <c r="B448" s="152"/>
      <c r="D448" s="39"/>
    </row>
    <row r="449" spans="2:4" ht="15.75" customHeight="1" x14ac:dyDescent="0.3">
      <c r="B449" s="152"/>
      <c r="D449" s="39"/>
    </row>
    <row r="450" spans="2:4" ht="15.75" customHeight="1" x14ac:dyDescent="0.3">
      <c r="B450" s="152"/>
      <c r="D450" s="39"/>
    </row>
    <row r="451" spans="2:4" ht="15.75" customHeight="1" x14ac:dyDescent="0.3">
      <c r="B451" s="152"/>
      <c r="D451" s="39"/>
    </row>
    <row r="452" spans="2:4" ht="15.75" customHeight="1" x14ac:dyDescent="0.3">
      <c r="B452" s="152"/>
      <c r="D452" s="39"/>
    </row>
    <row r="453" spans="2:4" ht="15.75" customHeight="1" x14ac:dyDescent="0.3">
      <c r="B453" s="152"/>
      <c r="D453" s="39"/>
    </row>
    <row r="454" spans="2:4" ht="15.75" customHeight="1" x14ac:dyDescent="0.3">
      <c r="B454" s="152"/>
      <c r="D454" s="39"/>
    </row>
    <row r="455" spans="2:4" ht="15.75" customHeight="1" x14ac:dyDescent="0.3">
      <c r="B455" s="152"/>
      <c r="D455" s="39"/>
    </row>
    <row r="456" spans="2:4" ht="15.75" customHeight="1" x14ac:dyDescent="0.3">
      <c r="B456" s="152"/>
      <c r="D456" s="39"/>
    </row>
    <row r="457" spans="2:4" ht="15.75" customHeight="1" x14ac:dyDescent="0.3">
      <c r="B457" s="152"/>
      <c r="D457" s="39"/>
    </row>
    <row r="458" spans="2:4" ht="15.75" customHeight="1" x14ac:dyDescent="0.3">
      <c r="B458" s="152"/>
      <c r="D458" s="39"/>
    </row>
    <row r="459" spans="2:4" ht="15.75" customHeight="1" x14ac:dyDescent="0.3">
      <c r="B459" s="152"/>
      <c r="D459" s="39"/>
    </row>
    <row r="460" spans="2:4" ht="15.75" customHeight="1" x14ac:dyDescent="0.3">
      <c r="B460" s="152"/>
      <c r="D460" s="39"/>
    </row>
    <row r="461" spans="2:4" ht="15.75" customHeight="1" x14ac:dyDescent="0.3">
      <c r="B461" s="152"/>
      <c r="D461" s="39"/>
    </row>
    <row r="462" spans="2:4" ht="15.75" customHeight="1" x14ac:dyDescent="0.3">
      <c r="B462" s="152"/>
      <c r="D462" s="39"/>
    </row>
    <row r="463" spans="2:4" ht="15.75" customHeight="1" x14ac:dyDescent="0.3">
      <c r="B463" s="152"/>
      <c r="D463" s="39"/>
    </row>
    <row r="464" spans="2:4" ht="15.75" customHeight="1" x14ac:dyDescent="0.3">
      <c r="B464" s="152"/>
      <c r="D464" s="39"/>
    </row>
    <row r="465" spans="2:4" ht="15.75" customHeight="1" x14ac:dyDescent="0.3">
      <c r="B465" s="152"/>
      <c r="D465" s="39"/>
    </row>
    <row r="466" spans="2:4" ht="15.75" customHeight="1" x14ac:dyDescent="0.3">
      <c r="B466" s="152"/>
      <c r="D466" s="39"/>
    </row>
    <row r="467" spans="2:4" ht="15.75" customHeight="1" x14ac:dyDescent="0.3">
      <c r="B467" s="152"/>
      <c r="D467" s="39"/>
    </row>
    <row r="468" spans="2:4" ht="15.75" customHeight="1" x14ac:dyDescent="0.3">
      <c r="B468" s="152"/>
      <c r="D468" s="39"/>
    </row>
    <row r="469" spans="2:4" ht="15.75" customHeight="1" x14ac:dyDescent="0.3">
      <c r="B469" s="152"/>
      <c r="D469" s="39"/>
    </row>
    <row r="470" spans="2:4" ht="15.75" customHeight="1" x14ac:dyDescent="0.3">
      <c r="B470" s="152"/>
      <c r="D470" s="39"/>
    </row>
    <row r="471" spans="2:4" ht="15.75" customHeight="1" x14ac:dyDescent="0.3">
      <c r="B471" s="152"/>
      <c r="D471" s="39"/>
    </row>
    <row r="472" spans="2:4" ht="15.75" customHeight="1" x14ac:dyDescent="0.3">
      <c r="B472" s="152"/>
      <c r="D472" s="39"/>
    </row>
    <row r="473" spans="2:4" ht="15.75" customHeight="1" x14ac:dyDescent="0.3">
      <c r="B473" s="152"/>
      <c r="D473" s="39"/>
    </row>
    <row r="474" spans="2:4" ht="15.75" customHeight="1" x14ac:dyDescent="0.3">
      <c r="B474" s="152"/>
      <c r="D474" s="39"/>
    </row>
    <row r="475" spans="2:4" ht="15.75" customHeight="1" x14ac:dyDescent="0.3">
      <c r="B475" s="152"/>
      <c r="D475" s="39"/>
    </row>
    <row r="476" spans="2:4" ht="15.75" customHeight="1" x14ac:dyDescent="0.3">
      <c r="B476" s="152"/>
      <c r="D476" s="39"/>
    </row>
    <row r="477" spans="2:4" ht="15.75" customHeight="1" x14ac:dyDescent="0.3">
      <c r="B477" s="152"/>
      <c r="D477" s="39"/>
    </row>
    <row r="478" spans="2:4" ht="15.75" customHeight="1" x14ac:dyDescent="0.3">
      <c r="B478" s="152"/>
      <c r="D478" s="39"/>
    </row>
    <row r="479" spans="2:4" ht="15.75" customHeight="1" x14ac:dyDescent="0.3">
      <c r="B479" s="152"/>
      <c r="D479" s="39"/>
    </row>
    <row r="480" spans="2:4" ht="15.75" customHeight="1" x14ac:dyDescent="0.3">
      <c r="B480" s="152"/>
      <c r="D480" s="39"/>
    </row>
    <row r="481" spans="2:4" ht="15.75" customHeight="1" x14ac:dyDescent="0.3">
      <c r="B481" s="152"/>
      <c r="D481" s="39"/>
    </row>
    <row r="482" spans="2:4" ht="15.75" customHeight="1" x14ac:dyDescent="0.3">
      <c r="B482" s="152"/>
      <c r="D482" s="39"/>
    </row>
    <row r="483" spans="2:4" ht="15.75" customHeight="1" x14ac:dyDescent="0.3">
      <c r="B483" s="152"/>
      <c r="D483" s="39"/>
    </row>
    <row r="484" spans="2:4" ht="15.75" customHeight="1" x14ac:dyDescent="0.3">
      <c r="B484" s="152"/>
      <c r="D484" s="39"/>
    </row>
    <row r="485" spans="2:4" ht="15.75" customHeight="1" x14ac:dyDescent="0.3">
      <c r="B485" s="152"/>
      <c r="D485" s="39"/>
    </row>
    <row r="486" spans="2:4" ht="15.75" customHeight="1" x14ac:dyDescent="0.3">
      <c r="B486" s="152"/>
      <c r="D486" s="39"/>
    </row>
    <row r="487" spans="2:4" ht="15.75" customHeight="1" x14ac:dyDescent="0.3">
      <c r="B487" s="152"/>
      <c r="D487" s="39"/>
    </row>
    <row r="488" spans="2:4" ht="15.75" customHeight="1" x14ac:dyDescent="0.3">
      <c r="B488" s="152"/>
      <c r="D488" s="39"/>
    </row>
    <row r="489" spans="2:4" ht="15.75" customHeight="1" x14ac:dyDescent="0.3">
      <c r="B489" s="152"/>
      <c r="D489" s="39"/>
    </row>
    <row r="490" spans="2:4" ht="15.75" customHeight="1" x14ac:dyDescent="0.3">
      <c r="B490" s="152"/>
      <c r="D490" s="39"/>
    </row>
    <row r="491" spans="2:4" ht="15.75" customHeight="1" x14ac:dyDescent="0.3">
      <c r="B491" s="152"/>
      <c r="D491" s="39"/>
    </row>
    <row r="492" spans="2:4" ht="15.75" customHeight="1" x14ac:dyDescent="0.3">
      <c r="B492" s="152"/>
      <c r="D492" s="39"/>
    </row>
    <row r="493" spans="2:4" ht="15.75" customHeight="1" x14ac:dyDescent="0.3">
      <c r="B493" s="152"/>
      <c r="D493" s="39"/>
    </row>
    <row r="494" spans="2:4" ht="15.75" customHeight="1" x14ac:dyDescent="0.3">
      <c r="B494" s="152"/>
      <c r="D494" s="39"/>
    </row>
    <row r="495" spans="2:4" ht="15.75" customHeight="1" x14ac:dyDescent="0.3">
      <c r="B495" s="152"/>
      <c r="D495" s="39"/>
    </row>
    <row r="496" spans="2:4" ht="15.75" customHeight="1" x14ac:dyDescent="0.3">
      <c r="B496" s="152"/>
      <c r="D496" s="39"/>
    </row>
    <row r="497" spans="2:4" ht="15.75" customHeight="1" x14ac:dyDescent="0.3">
      <c r="B497" s="152"/>
      <c r="D497" s="39"/>
    </row>
    <row r="498" spans="2:4" ht="15.75" customHeight="1" x14ac:dyDescent="0.3">
      <c r="B498" s="152"/>
      <c r="D498" s="39"/>
    </row>
    <row r="499" spans="2:4" ht="15.75" customHeight="1" x14ac:dyDescent="0.3">
      <c r="B499" s="152"/>
      <c r="D499" s="39"/>
    </row>
    <row r="500" spans="2:4" ht="15.75" customHeight="1" x14ac:dyDescent="0.3">
      <c r="B500" s="152"/>
      <c r="D500" s="39"/>
    </row>
    <row r="501" spans="2:4" ht="15.75" customHeight="1" x14ac:dyDescent="0.3">
      <c r="B501" s="152"/>
      <c r="D501" s="39"/>
    </row>
    <row r="502" spans="2:4" ht="15.75" customHeight="1" x14ac:dyDescent="0.3">
      <c r="B502" s="152"/>
      <c r="D502" s="39"/>
    </row>
    <row r="503" spans="2:4" ht="15.75" customHeight="1" x14ac:dyDescent="0.3">
      <c r="B503" s="152"/>
      <c r="D503" s="39"/>
    </row>
    <row r="504" spans="2:4" ht="15.75" customHeight="1" x14ac:dyDescent="0.3">
      <c r="B504" s="152"/>
      <c r="D504" s="39"/>
    </row>
    <row r="505" spans="2:4" ht="15.75" customHeight="1" x14ac:dyDescent="0.3">
      <c r="B505" s="152"/>
      <c r="D505" s="39"/>
    </row>
    <row r="506" spans="2:4" ht="15.75" customHeight="1" x14ac:dyDescent="0.3">
      <c r="B506" s="152"/>
      <c r="D506" s="39"/>
    </row>
    <row r="507" spans="2:4" ht="15.75" customHeight="1" x14ac:dyDescent="0.3">
      <c r="B507" s="152"/>
      <c r="D507" s="39"/>
    </row>
    <row r="508" spans="2:4" ht="15.75" customHeight="1" x14ac:dyDescent="0.3">
      <c r="B508" s="152"/>
      <c r="D508" s="39"/>
    </row>
    <row r="509" spans="2:4" ht="15.75" customHeight="1" x14ac:dyDescent="0.3">
      <c r="B509" s="152"/>
      <c r="D509" s="39"/>
    </row>
    <row r="510" spans="2:4" ht="15.75" customHeight="1" x14ac:dyDescent="0.3">
      <c r="B510" s="152"/>
      <c r="D510" s="39"/>
    </row>
    <row r="511" spans="2:4" ht="15.75" customHeight="1" x14ac:dyDescent="0.3">
      <c r="B511" s="152"/>
      <c r="D511" s="39"/>
    </row>
    <row r="512" spans="2:4" ht="15.75" customHeight="1" x14ac:dyDescent="0.3">
      <c r="B512" s="152"/>
      <c r="D512" s="39"/>
    </row>
    <row r="513" spans="2:4" ht="15.75" customHeight="1" x14ac:dyDescent="0.3">
      <c r="B513" s="152"/>
      <c r="D513" s="39"/>
    </row>
    <row r="514" spans="2:4" ht="15.75" customHeight="1" x14ac:dyDescent="0.3">
      <c r="B514" s="152"/>
      <c r="D514" s="39"/>
    </row>
    <row r="515" spans="2:4" ht="15.75" customHeight="1" x14ac:dyDescent="0.3">
      <c r="B515" s="152"/>
      <c r="D515" s="39"/>
    </row>
    <row r="516" spans="2:4" ht="15.75" customHeight="1" x14ac:dyDescent="0.3">
      <c r="B516" s="152"/>
      <c r="D516" s="39"/>
    </row>
    <row r="517" spans="2:4" ht="15.75" customHeight="1" x14ac:dyDescent="0.3">
      <c r="B517" s="152"/>
      <c r="D517" s="39"/>
    </row>
    <row r="518" spans="2:4" ht="15.75" customHeight="1" x14ac:dyDescent="0.3">
      <c r="B518" s="152"/>
      <c r="D518" s="39"/>
    </row>
    <row r="519" spans="2:4" ht="15.75" customHeight="1" x14ac:dyDescent="0.3">
      <c r="B519" s="152"/>
      <c r="D519" s="39"/>
    </row>
    <row r="520" spans="2:4" ht="15.75" customHeight="1" x14ac:dyDescent="0.3">
      <c r="B520" s="152"/>
      <c r="D520" s="39"/>
    </row>
    <row r="521" spans="2:4" ht="15.75" customHeight="1" x14ac:dyDescent="0.3">
      <c r="B521" s="152"/>
      <c r="D521" s="39"/>
    </row>
    <row r="522" spans="2:4" ht="15.75" customHeight="1" x14ac:dyDescent="0.3">
      <c r="B522" s="152"/>
      <c r="D522" s="39"/>
    </row>
    <row r="523" spans="2:4" ht="15.75" customHeight="1" x14ac:dyDescent="0.3">
      <c r="B523" s="152"/>
      <c r="D523" s="39"/>
    </row>
    <row r="524" spans="2:4" ht="15.75" customHeight="1" x14ac:dyDescent="0.3">
      <c r="B524" s="152"/>
      <c r="D524" s="39"/>
    </row>
    <row r="525" spans="2:4" ht="15.75" customHeight="1" x14ac:dyDescent="0.3">
      <c r="B525" s="152"/>
      <c r="D525" s="39"/>
    </row>
    <row r="526" spans="2:4" ht="15.75" customHeight="1" x14ac:dyDescent="0.3">
      <c r="B526" s="152"/>
      <c r="D526" s="39"/>
    </row>
    <row r="527" spans="2:4" ht="15.75" customHeight="1" x14ac:dyDescent="0.3">
      <c r="B527" s="152"/>
      <c r="D527" s="39"/>
    </row>
    <row r="528" spans="2:4" ht="15.75" customHeight="1" x14ac:dyDescent="0.3">
      <c r="B528" s="152"/>
      <c r="D528" s="39"/>
    </row>
    <row r="529" spans="2:4" ht="15.75" customHeight="1" x14ac:dyDescent="0.3">
      <c r="B529" s="152"/>
      <c r="D529" s="39"/>
    </row>
    <row r="530" spans="2:4" ht="15.75" customHeight="1" x14ac:dyDescent="0.3">
      <c r="B530" s="152"/>
      <c r="D530" s="39"/>
    </row>
    <row r="531" spans="2:4" ht="15.75" customHeight="1" x14ac:dyDescent="0.3">
      <c r="B531" s="152"/>
      <c r="D531" s="39"/>
    </row>
    <row r="532" spans="2:4" ht="15.75" customHeight="1" x14ac:dyDescent="0.3">
      <c r="B532" s="152"/>
      <c r="D532" s="39"/>
    </row>
    <row r="533" spans="2:4" ht="15.75" customHeight="1" x14ac:dyDescent="0.3">
      <c r="B533" s="152"/>
      <c r="D533" s="39"/>
    </row>
    <row r="534" spans="2:4" ht="15.75" customHeight="1" x14ac:dyDescent="0.3">
      <c r="B534" s="152"/>
      <c r="D534" s="39"/>
    </row>
    <row r="535" spans="2:4" ht="15.75" customHeight="1" x14ac:dyDescent="0.3">
      <c r="B535" s="152"/>
      <c r="D535" s="39"/>
    </row>
    <row r="536" spans="2:4" ht="15.75" customHeight="1" x14ac:dyDescent="0.3">
      <c r="B536" s="152"/>
      <c r="D536" s="39"/>
    </row>
    <row r="537" spans="2:4" ht="15.75" customHeight="1" x14ac:dyDescent="0.3">
      <c r="B537" s="152"/>
      <c r="D537" s="39"/>
    </row>
    <row r="538" spans="2:4" ht="15.75" customHeight="1" x14ac:dyDescent="0.3">
      <c r="B538" s="152"/>
      <c r="D538" s="39"/>
    </row>
    <row r="539" spans="2:4" ht="15.75" customHeight="1" x14ac:dyDescent="0.3">
      <c r="B539" s="152"/>
      <c r="D539" s="39"/>
    </row>
    <row r="540" spans="2:4" ht="15.75" customHeight="1" x14ac:dyDescent="0.3">
      <c r="B540" s="152"/>
      <c r="D540" s="39"/>
    </row>
    <row r="541" spans="2:4" ht="15.75" customHeight="1" x14ac:dyDescent="0.3">
      <c r="B541" s="152"/>
      <c r="D541" s="39"/>
    </row>
    <row r="542" spans="2:4" ht="15.75" customHeight="1" x14ac:dyDescent="0.3">
      <c r="B542" s="152"/>
      <c r="D542" s="39"/>
    </row>
    <row r="543" spans="2:4" ht="15.75" customHeight="1" x14ac:dyDescent="0.3">
      <c r="B543" s="152"/>
      <c r="D543" s="39"/>
    </row>
    <row r="544" spans="2:4" ht="15.75" customHeight="1" x14ac:dyDescent="0.3">
      <c r="B544" s="152"/>
      <c r="D544" s="39"/>
    </row>
    <row r="545" spans="2:4" ht="15.75" customHeight="1" x14ac:dyDescent="0.3">
      <c r="B545" s="152"/>
      <c r="D545" s="39"/>
    </row>
    <row r="546" spans="2:4" ht="15.75" customHeight="1" x14ac:dyDescent="0.3">
      <c r="B546" s="152"/>
      <c r="D546" s="39"/>
    </row>
    <row r="547" spans="2:4" ht="15.75" customHeight="1" x14ac:dyDescent="0.3">
      <c r="B547" s="152"/>
      <c r="D547" s="39"/>
    </row>
    <row r="548" spans="2:4" ht="15.75" customHeight="1" x14ac:dyDescent="0.3">
      <c r="B548" s="152"/>
      <c r="D548" s="39"/>
    </row>
    <row r="549" spans="2:4" ht="15.75" customHeight="1" x14ac:dyDescent="0.3">
      <c r="B549" s="152"/>
      <c r="D549" s="39"/>
    </row>
    <row r="550" spans="2:4" ht="15.75" customHeight="1" x14ac:dyDescent="0.3">
      <c r="B550" s="152"/>
      <c r="D550" s="39"/>
    </row>
    <row r="551" spans="2:4" ht="15.75" customHeight="1" x14ac:dyDescent="0.3">
      <c r="B551" s="152"/>
      <c r="D551" s="39"/>
    </row>
    <row r="552" spans="2:4" ht="15.75" customHeight="1" x14ac:dyDescent="0.3">
      <c r="B552" s="152"/>
      <c r="D552" s="39"/>
    </row>
    <row r="553" spans="2:4" ht="15.75" customHeight="1" x14ac:dyDescent="0.3">
      <c r="B553" s="152"/>
      <c r="D553" s="39"/>
    </row>
    <row r="554" spans="2:4" ht="15.75" customHeight="1" x14ac:dyDescent="0.3">
      <c r="B554" s="152"/>
      <c r="D554" s="39"/>
    </row>
    <row r="555" spans="2:4" ht="15.75" customHeight="1" x14ac:dyDescent="0.3">
      <c r="B555" s="152"/>
      <c r="D555" s="39"/>
    </row>
    <row r="556" spans="2:4" ht="15.75" customHeight="1" x14ac:dyDescent="0.3">
      <c r="B556" s="152"/>
      <c r="D556" s="39"/>
    </row>
    <row r="557" spans="2:4" ht="15.75" customHeight="1" x14ac:dyDescent="0.3">
      <c r="B557" s="152"/>
      <c r="D557" s="39"/>
    </row>
    <row r="558" spans="2:4" ht="15.75" customHeight="1" x14ac:dyDescent="0.3">
      <c r="B558" s="152"/>
      <c r="D558" s="39"/>
    </row>
    <row r="559" spans="2:4" ht="15.75" customHeight="1" x14ac:dyDescent="0.3">
      <c r="B559" s="152"/>
      <c r="D559" s="39"/>
    </row>
    <row r="560" spans="2:4" ht="15.75" customHeight="1" x14ac:dyDescent="0.3">
      <c r="B560" s="152"/>
      <c r="D560" s="39"/>
    </row>
    <row r="561" spans="2:4" ht="15.75" customHeight="1" x14ac:dyDescent="0.3">
      <c r="B561" s="152"/>
      <c r="D561" s="39"/>
    </row>
    <row r="562" spans="2:4" ht="15.75" customHeight="1" x14ac:dyDescent="0.3">
      <c r="B562" s="152"/>
      <c r="D562" s="39"/>
    </row>
    <row r="563" spans="2:4" ht="15.75" customHeight="1" x14ac:dyDescent="0.3">
      <c r="B563" s="152"/>
      <c r="D563" s="39"/>
    </row>
    <row r="564" spans="2:4" ht="15.75" customHeight="1" x14ac:dyDescent="0.3">
      <c r="B564" s="152"/>
      <c r="D564" s="39"/>
    </row>
    <row r="565" spans="2:4" ht="15.75" customHeight="1" x14ac:dyDescent="0.3">
      <c r="B565" s="152"/>
      <c r="D565" s="39"/>
    </row>
    <row r="566" spans="2:4" ht="15.75" customHeight="1" x14ac:dyDescent="0.3">
      <c r="B566" s="152"/>
      <c r="D566" s="39"/>
    </row>
    <row r="567" spans="2:4" ht="15.75" customHeight="1" x14ac:dyDescent="0.3">
      <c r="B567" s="152"/>
      <c r="D567" s="39"/>
    </row>
    <row r="568" spans="2:4" ht="15.75" customHeight="1" x14ac:dyDescent="0.3">
      <c r="B568" s="152"/>
      <c r="D568" s="39"/>
    </row>
    <row r="569" spans="2:4" ht="15.75" customHeight="1" x14ac:dyDescent="0.3">
      <c r="B569" s="152"/>
      <c r="D569" s="39"/>
    </row>
    <row r="570" spans="2:4" ht="15.75" customHeight="1" x14ac:dyDescent="0.3">
      <c r="B570" s="152"/>
      <c r="D570" s="39"/>
    </row>
    <row r="571" spans="2:4" ht="15.75" customHeight="1" x14ac:dyDescent="0.3">
      <c r="B571" s="152"/>
      <c r="D571" s="39"/>
    </row>
    <row r="572" spans="2:4" ht="15.75" customHeight="1" x14ac:dyDescent="0.3">
      <c r="B572" s="152"/>
      <c r="D572" s="39"/>
    </row>
    <row r="573" spans="2:4" ht="15.75" customHeight="1" x14ac:dyDescent="0.3">
      <c r="B573" s="152"/>
      <c r="D573" s="39"/>
    </row>
    <row r="574" spans="2:4" ht="15.75" customHeight="1" x14ac:dyDescent="0.3">
      <c r="B574" s="152"/>
      <c r="D574" s="39"/>
    </row>
    <row r="575" spans="2:4" ht="15.75" customHeight="1" x14ac:dyDescent="0.3">
      <c r="B575" s="152"/>
      <c r="D575" s="39"/>
    </row>
    <row r="576" spans="2:4" ht="15.75" customHeight="1" x14ac:dyDescent="0.3">
      <c r="B576" s="152"/>
      <c r="D576" s="39"/>
    </row>
    <row r="577" spans="2:4" ht="15.75" customHeight="1" x14ac:dyDescent="0.3">
      <c r="B577" s="152"/>
      <c r="D577" s="39"/>
    </row>
    <row r="578" spans="2:4" ht="15.75" customHeight="1" x14ac:dyDescent="0.3">
      <c r="B578" s="152"/>
      <c r="D578" s="39"/>
    </row>
    <row r="579" spans="2:4" ht="15.75" customHeight="1" x14ac:dyDescent="0.3">
      <c r="B579" s="152"/>
      <c r="D579" s="39"/>
    </row>
    <row r="580" spans="2:4" ht="15.75" customHeight="1" x14ac:dyDescent="0.3">
      <c r="B580" s="152"/>
      <c r="D580" s="39"/>
    </row>
    <row r="581" spans="2:4" ht="15.75" customHeight="1" x14ac:dyDescent="0.3">
      <c r="B581" s="152"/>
      <c r="D581" s="39"/>
    </row>
    <row r="582" spans="2:4" ht="15.75" customHeight="1" x14ac:dyDescent="0.3">
      <c r="B582" s="152"/>
      <c r="D582" s="39"/>
    </row>
    <row r="583" spans="2:4" ht="15.75" customHeight="1" x14ac:dyDescent="0.3">
      <c r="B583" s="152"/>
      <c r="D583" s="39"/>
    </row>
    <row r="584" spans="2:4" ht="15.75" customHeight="1" x14ac:dyDescent="0.3">
      <c r="B584" s="152"/>
      <c r="D584" s="39"/>
    </row>
    <row r="585" spans="2:4" ht="15.75" customHeight="1" x14ac:dyDescent="0.3">
      <c r="B585" s="152"/>
      <c r="D585" s="39"/>
    </row>
    <row r="586" spans="2:4" ht="15.75" customHeight="1" x14ac:dyDescent="0.3">
      <c r="B586" s="152"/>
      <c r="D586" s="39"/>
    </row>
    <row r="587" spans="2:4" ht="15.75" customHeight="1" x14ac:dyDescent="0.3">
      <c r="B587" s="152"/>
      <c r="D587" s="39"/>
    </row>
    <row r="588" spans="2:4" ht="15.75" customHeight="1" x14ac:dyDescent="0.3">
      <c r="B588" s="152"/>
      <c r="D588" s="39"/>
    </row>
    <row r="589" spans="2:4" ht="15.75" customHeight="1" x14ac:dyDescent="0.3">
      <c r="B589" s="152"/>
      <c r="D589" s="39"/>
    </row>
    <row r="590" spans="2:4" ht="15.75" customHeight="1" x14ac:dyDescent="0.3">
      <c r="B590" s="152"/>
      <c r="D590" s="39"/>
    </row>
    <row r="591" spans="2:4" ht="15.75" customHeight="1" x14ac:dyDescent="0.3">
      <c r="B591" s="152"/>
      <c r="D591" s="39"/>
    </row>
    <row r="592" spans="2:4" ht="15.75" customHeight="1" x14ac:dyDescent="0.3">
      <c r="B592" s="152"/>
      <c r="D592" s="39"/>
    </row>
    <row r="593" spans="2:4" ht="15.75" customHeight="1" x14ac:dyDescent="0.3">
      <c r="B593" s="152"/>
      <c r="D593" s="39"/>
    </row>
    <row r="594" spans="2:4" ht="15.75" customHeight="1" x14ac:dyDescent="0.3">
      <c r="B594" s="152"/>
      <c r="D594" s="39"/>
    </row>
    <row r="595" spans="2:4" ht="15.75" customHeight="1" x14ac:dyDescent="0.3">
      <c r="B595" s="152"/>
      <c r="D595" s="39"/>
    </row>
    <row r="596" spans="2:4" ht="15.75" customHeight="1" x14ac:dyDescent="0.3">
      <c r="B596" s="152"/>
      <c r="D596" s="39"/>
    </row>
    <row r="597" spans="2:4" ht="15.75" customHeight="1" x14ac:dyDescent="0.3">
      <c r="B597" s="152"/>
      <c r="D597" s="39"/>
    </row>
    <row r="598" spans="2:4" ht="15.75" customHeight="1" x14ac:dyDescent="0.3">
      <c r="B598" s="152"/>
      <c r="D598" s="39"/>
    </row>
    <row r="599" spans="2:4" ht="15.75" customHeight="1" x14ac:dyDescent="0.3">
      <c r="B599" s="152"/>
      <c r="D599" s="39"/>
    </row>
    <row r="600" spans="2:4" ht="15.75" customHeight="1" x14ac:dyDescent="0.3">
      <c r="B600" s="152"/>
      <c r="D600" s="39"/>
    </row>
    <row r="601" spans="2:4" ht="15.75" customHeight="1" x14ac:dyDescent="0.3">
      <c r="B601" s="152"/>
      <c r="D601" s="39"/>
    </row>
    <row r="602" spans="2:4" ht="15.75" customHeight="1" x14ac:dyDescent="0.3">
      <c r="B602" s="152"/>
      <c r="D602" s="39"/>
    </row>
    <row r="603" spans="2:4" ht="15.75" customHeight="1" x14ac:dyDescent="0.3">
      <c r="B603" s="152"/>
      <c r="D603" s="39"/>
    </row>
    <row r="604" spans="2:4" ht="15.75" customHeight="1" x14ac:dyDescent="0.3">
      <c r="B604" s="152"/>
      <c r="D604" s="39"/>
    </row>
    <row r="605" spans="2:4" ht="15.75" customHeight="1" x14ac:dyDescent="0.3">
      <c r="B605" s="152"/>
      <c r="D605" s="39"/>
    </row>
    <row r="606" spans="2:4" ht="15.75" customHeight="1" x14ac:dyDescent="0.3">
      <c r="B606" s="152"/>
      <c r="D606" s="39"/>
    </row>
    <row r="607" spans="2:4" ht="15.75" customHeight="1" x14ac:dyDescent="0.3">
      <c r="B607" s="152"/>
      <c r="D607" s="39"/>
    </row>
    <row r="608" spans="2:4" ht="15.75" customHeight="1" x14ac:dyDescent="0.3">
      <c r="B608" s="152"/>
      <c r="D608" s="39"/>
    </row>
    <row r="609" spans="2:4" ht="15.75" customHeight="1" x14ac:dyDescent="0.3">
      <c r="B609" s="152"/>
      <c r="D609" s="39"/>
    </row>
    <row r="610" spans="2:4" ht="15.75" customHeight="1" x14ac:dyDescent="0.3">
      <c r="B610" s="152"/>
      <c r="D610" s="39"/>
    </row>
    <row r="611" spans="2:4" ht="15.75" customHeight="1" x14ac:dyDescent="0.3">
      <c r="B611" s="152"/>
      <c r="D611" s="39"/>
    </row>
    <row r="612" spans="2:4" ht="15.75" customHeight="1" x14ac:dyDescent="0.3">
      <c r="B612" s="152"/>
      <c r="D612" s="39"/>
    </row>
    <row r="613" spans="2:4" ht="15.75" customHeight="1" x14ac:dyDescent="0.3">
      <c r="B613" s="152"/>
      <c r="D613" s="39"/>
    </row>
    <row r="614" spans="2:4" ht="15.75" customHeight="1" x14ac:dyDescent="0.3">
      <c r="B614" s="152"/>
      <c r="D614" s="39"/>
    </row>
    <row r="615" spans="2:4" ht="15.75" customHeight="1" x14ac:dyDescent="0.3">
      <c r="B615" s="152"/>
      <c r="D615" s="39"/>
    </row>
    <row r="616" spans="2:4" ht="15.75" customHeight="1" x14ac:dyDescent="0.3">
      <c r="B616" s="152"/>
      <c r="D616" s="39"/>
    </row>
    <row r="617" spans="2:4" ht="15.75" customHeight="1" x14ac:dyDescent="0.3">
      <c r="B617" s="152"/>
      <c r="D617" s="39"/>
    </row>
    <row r="618" spans="2:4" ht="15.75" customHeight="1" x14ac:dyDescent="0.3">
      <c r="B618" s="152"/>
      <c r="D618" s="39"/>
    </row>
    <row r="619" spans="2:4" ht="15.75" customHeight="1" x14ac:dyDescent="0.3">
      <c r="B619" s="152"/>
      <c r="D619" s="39"/>
    </row>
    <row r="620" spans="2:4" ht="15.75" customHeight="1" x14ac:dyDescent="0.3">
      <c r="B620" s="152"/>
      <c r="D620" s="39"/>
    </row>
    <row r="621" spans="2:4" ht="15.75" customHeight="1" x14ac:dyDescent="0.3">
      <c r="B621" s="152"/>
      <c r="D621" s="39"/>
    </row>
    <row r="622" spans="2:4" ht="15.75" customHeight="1" x14ac:dyDescent="0.3">
      <c r="B622" s="152"/>
      <c r="D622" s="39"/>
    </row>
    <row r="623" spans="2:4" ht="15.75" customHeight="1" x14ac:dyDescent="0.3">
      <c r="B623" s="152"/>
      <c r="D623" s="39"/>
    </row>
    <row r="624" spans="2:4" ht="15.75" customHeight="1" x14ac:dyDescent="0.3">
      <c r="B624" s="152"/>
      <c r="D624" s="39"/>
    </row>
    <row r="625" spans="2:4" ht="15.75" customHeight="1" x14ac:dyDescent="0.3">
      <c r="B625" s="152"/>
      <c r="D625" s="39"/>
    </row>
    <row r="626" spans="2:4" ht="15.75" customHeight="1" x14ac:dyDescent="0.3">
      <c r="B626" s="152"/>
      <c r="D626" s="39"/>
    </row>
    <row r="627" spans="2:4" ht="15.75" customHeight="1" x14ac:dyDescent="0.3">
      <c r="B627" s="152"/>
      <c r="D627" s="39"/>
    </row>
    <row r="628" spans="2:4" ht="15.75" customHeight="1" x14ac:dyDescent="0.3">
      <c r="B628" s="152"/>
      <c r="D628" s="39"/>
    </row>
    <row r="629" spans="2:4" ht="15.75" customHeight="1" x14ac:dyDescent="0.3">
      <c r="B629" s="152"/>
      <c r="D629" s="39"/>
    </row>
    <row r="630" spans="2:4" ht="15.75" customHeight="1" x14ac:dyDescent="0.3">
      <c r="B630" s="152"/>
      <c r="D630" s="39"/>
    </row>
    <row r="631" spans="2:4" ht="15.75" customHeight="1" x14ac:dyDescent="0.3">
      <c r="B631" s="152"/>
      <c r="D631" s="39"/>
    </row>
    <row r="632" spans="2:4" ht="15.75" customHeight="1" x14ac:dyDescent="0.3">
      <c r="B632" s="152"/>
      <c r="D632" s="39"/>
    </row>
    <row r="633" spans="2:4" ht="15.75" customHeight="1" x14ac:dyDescent="0.3">
      <c r="B633" s="152"/>
      <c r="D633" s="39"/>
    </row>
    <row r="634" spans="2:4" ht="15.75" customHeight="1" x14ac:dyDescent="0.3">
      <c r="B634" s="152"/>
      <c r="D634" s="39"/>
    </row>
    <row r="635" spans="2:4" ht="15.75" customHeight="1" x14ac:dyDescent="0.3">
      <c r="B635" s="152"/>
      <c r="D635" s="39"/>
    </row>
    <row r="636" spans="2:4" ht="15.75" customHeight="1" x14ac:dyDescent="0.3">
      <c r="B636" s="152"/>
      <c r="D636" s="39"/>
    </row>
    <row r="637" spans="2:4" ht="15.75" customHeight="1" x14ac:dyDescent="0.3">
      <c r="B637" s="152"/>
      <c r="D637" s="39"/>
    </row>
    <row r="638" spans="2:4" ht="15.75" customHeight="1" x14ac:dyDescent="0.3">
      <c r="B638" s="152"/>
      <c r="D638" s="39"/>
    </row>
    <row r="639" spans="2:4" ht="15.75" customHeight="1" x14ac:dyDescent="0.3">
      <c r="B639" s="152"/>
      <c r="D639" s="39"/>
    </row>
    <row r="640" spans="2:4" ht="15.75" customHeight="1" x14ac:dyDescent="0.3">
      <c r="B640" s="152"/>
      <c r="D640" s="39"/>
    </row>
    <row r="641" spans="2:4" ht="15.75" customHeight="1" x14ac:dyDescent="0.3">
      <c r="B641" s="152"/>
      <c r="D641" s="39"/>
    </row>
    <row r="642" spans="2:4" ht="15.75" customHeight="1" x14ac:dyDescent="0.3">
      <c r="B642" s="152"/>
      <c r="D642" s="39"/>
    </row>
    <row r="643" spans="2:4" ht="15.75" customHeight="1" x14ac:dyDescent="0.3">
      <c r="B643" s="152"/>
      <c r="D643" s="39"/>
    </row>
    <row r="644" spans="2:4" ht="15.75" customHeight="1" x14ac:dyDescent="0.3">
      <c r="B644" s="152"/>
      <c r="D644" s="39"/>
    </row>
    <row r="645" spans="2:4" ht="15.75" customHeight="1" x14ac:dyDescent="0.3">
      <c r="B645" s="152"/>
      <c r="D645" s="39"/>
    </row>
    <row r="646" spans="2:4" ht="15.75" customHeight="1" x14ac:dyDescent="0.3">
      <c r="B646" s="152"/>
      <c r="D646" s="39"/>
    </row>
    <row r="647" spans="2:4" ht="15.75" customHeight="1" x14ac:dyDescent="0.3">
      <c r="B647" s="152"/>
      <c r="D647" s="39"/>
    </row>
    <row r="648" spans="2:4" ht="15.75" customHeight="1" x14ac:dyDescent="0.3">
      <c r="B648" s="152"/>
      <c r="D648" s="39"/>
    </row>
    <row r="649" spans="2:4" ht="15.75" customHeight="1" x14ac:dyDescent="0.3">
      <c r="B649" s="152"/>
      <c r="D649" s="39"/>
    </row>
    <row r="650" spans="2:4" ht="15.75" customHeight="1" x14ac:dyDescent="0.3">
      <c r="B650" s="152"/>
      <c r="D650" s="39"/>
    </row>
    <row r="651" spans="2:4" ht="15.75" customHeight="1" x14ac:dyDescent="0.3">
      <c r="B651" s="152"/>
      <c r="D651" s="39"/>
    </row>
    <row r="652" spans="2:4" ht="15.75" customHeight="1" x14ac:dyDescent="0.3">
      <c r="B652" s="152"/>
      <c r="D652" s="39"/>
    </row>
    <row r="653" spans="2:4" ht="15.75" customHeight="1" x14ac:dyDescent="0.3">
      <c r="B653" s="152"/>
      <c r="D653" s="39"/>
    </row>
    <row r="654" spans="2:4" ht="15.75" customHeight="1" x14ac:dyDescent="0.3">
      <c r="B654" s="152"/>
      <c r="D654" s="39"/>
    </row>
    <row r="655" spans="2:4" ht="15.75" customHeight="1" x14ac:dyDescent="0.3">
      <c r="B655" s="152"/>
      <c r="D655" s="39"/>
    </row>
    <row r="656" spans="2:4" ht="15.75" customHeight="1" x14ac:dyDescent="0.3">
      <c r="B656" s="152"/>
      <c r="D656" s="39"/>
    </row>
    <row r="657" spans="2:4" ht="15.75" customHeight="1" x14ac:dyDescent="0.3">
      <c r="B657" s="152"/>
      <c r="D657" s="39"/>
    </row>
    <row r="658" spans="2:4" ht="15.75" customHeight="1" x14ac:dyDescent="0.3">
      <c r="B658" s="152"/>
      <c r="D658" s="39"/>
    </row>
    <row r="659" spans="2:4" ht="15.75" customHeight="1" x14ac:dyDescent="0.3">
      <c r="B659" s="152"/>
      <c r="D659" s="39"/>
    </row>
    <row r="660" spans="2:4" ht="15.75" customHeight="1" x14ac:dyDescent="0.3">
      <c r="B660" s="152"/>
      <c r="D660" s="39"/>
    </row>
    <row r="661" spans="2:4" ht="15.75" customHeight="1" x14ac:dyDescent="0.3">
      <c r="B661" s="152"/>
      <c r="D661" s="39"/>
    </row>
    <row r="662" spans="2:4" ht="15.75" customHeight="1" x14ac:dyDescent="0.3">
      <c r="B662" s="152"/>
      <c r="D662" s="39"/>
    </row>
    <row r="663" spans="2:4" ht="15.75" customHeight="1" x14ac:dyDescent="0.3">
      <c r="B663" s="152"/>
      <c r="D663" s="39"/>
    </row>
    <row r="664" spans="2:4" ht="15.75" customHeight="1" x14ac:dyDescent="0.3">
      <c r="B664" s="152"/>
      <c r="D664" s="39"/>
    </row>
    <row r="665" spans="2:4" ht="15.75" customHeight="1" x14ac:dyDescent="0.3">
      <c r="B665" s="152"/>
      <c r="D665" s="39"/>
    </row>
    <row r="666" spans="2:4" ht="15.75" customHeight="1" x14ac:dyDescent="0.3">
      <c r="B666" s="152"/>
      <c r="D666" s="39"/>
    </row>
    <row r="667" spans="2:4" ht="15.75" customHeight="1" x14ac:dyDescent="0.3">
      <c r="B667" s="152"/>
      <c r="D667" s="39"/>
    </row>
    <row r="668" spans="2:4" ht="15.75" customHeight="1" x14ac:dyDescent="0.3">
      <c r="B668" s="152"/>
      <c r="D668" s="39"/>
    </row>
    <row r="669" spans="2:4" ht="15.75" customHeight="1" x14ac:dyDescent="0.3">
      <c r="B669" s="152"/>
      <c r="D669" s="39"/>
    </row>
    <row r="670" spans="2:4" ht="15.75" customHeight="1" x14ac:dyDescent="0.3">
      <c r="B670" s="152"/>
      <c r="D670" s="39"/>
    </row>
    <row r="671" spans="2:4" ht="15.75" customHeight="1" x14ac:dyDescent="0.3">
      <c r="B671" s="152"/>
      <c r="D671" s="39"/>
    </row>
    <row r="672" spans="2:4" ht="15.75" customHeight="1" x14ac:dyDescent="0.3">
      <c r="B672" s="152"/>
      <c r="D672" s="39"/>
    </row>
    <row r="673" spans="2:4" ht="15.75" customHeight="1" x14ac:dyDescent="0.3">
      <c r="B673" s="152"/>
      <c r="D673" s="39"/>
    </row>
    <row r="674" spans="2:4" ht="15.75" customHeight="1" x14ac:dyDescent="0.3">
      <c r="B674" s="152"/>
      <c r="D674" s="39"/>
    </row>
    <row r="675" spans="2:4" ht="15.75" customHeight="1" x14ac:dyDescent="0.3">
      <c r="B675" s="152"/>
      <c r="D675" s="39"/>
    </row>
    <row r="676" spans="2:4" ht="15.75" customHeight="1" x14ac:dyDescent="0.3">
      <c r="B676" s="152"/>
      <c r="D676" s="39"/>
    </row>
    <row r="677" spans="2:4" ht="15.75" customHeight="1" x14ac:dyDescent="0.3">
      <c r="B677" s="152"/>
      <c r="D677" s="39"/>
    </row>
    <row r="678" spans="2:4" ht="15.75" customHeight="1" x14ac:dyDescent="0.3">
      <c r="B678" s="152"/>
      <c r="D678" s="39"/>
    </row>
    <row r="679" spans="2:4" ht="15.75" customHeight="1" x14ac:dyDescent="0.3">
      <c r="B679" s="152"/>
      <c r="D679" s="39"/>
    </row>
    <row r="680" spans="2:4" ht="15.75" customHeight="1" x14ac:dyDescent="0.3">
      <c r="B680" s="152"/>
      <c r="D680" s="39"/>
    </row>
    <row r="681" spans="2:4" ht="15.75" customHeight="1" x14ac:dyDescent="0.3">
      <c r="B681" s="152"/>
      <c r="D681" s="39"/>
    </row>
    <row r="682" spans="2:4" ht="15.75" customHeight="1" x14ac:dyDescent="0.3">
      <c r="B682" s="152"/>
      <c r="D682" s="39"/>
    </row>
    <row r="683" spans="2:4" ht="15.75" customHeight="1" x14ac:dyDescent="0.3">
      <c r="B683" s="152"/>
      <c r="D683" s="39"/>
    </row>
    <row r="684" spans="2:4" ht="15.75" customHeight="1" x14ac:dyDescent="0.3">
      <c r="B684" s="152"/>
      <c r="D684" s="39"/>
    </row>
    <row r="685" spans="2:4" ht="15.75" customHeight="1" x14ac:dyDescent="0.3">
      <c r="B685" s="152"/>
      <c r="D685" s="39"/>
    </row>
    <row r="686" spans="2:4" ht="15.75" customHeight="1" x14ac:dyDescent="0.3">
      <c r="B686" s="152"/>
      <c r="D686" s="39"/>
    </row>
    <row r="687" spans="2:4" ht="15.75" customHeight="1" x14ac:dyDescent="0.3">
      <c r="B687" s="152"/>
      <c r="D687" s="39"/>
    </row>
    <row r="688" spans="2:4" ht="15.75" customHeight="1" x14ac:dyDescent="0.3">
      <c r="B688" s="152"/>
      <c r="D688" s="39"/>
    </row>
    <row r="689" spans="2:4" ht="15.75" customHeight="1" x14ac:dyDescent="0.3">
      <c r="B689" s="152"/>
      <c r="D689" s="39"/>
    </row>
    <row r="690" spans="2:4" ht="15.75" customHeight="1" x14ac:dyDescent="0.3">
      <c r="B690" s="152"/>
      <c r="D690" s="39"/>
    </row>
    <row r="691" spans="2:4" ht="15.75" customHeight="1" x14ac:dyDescent="0.3">
      <c r="B691" s="152"/>
      <c r="D691" s="39"/>
    </row>
    <row r="692" spans="2:4" ht="15.75" customHeight="1" x14ac:dyDescent="0.3">
      <c r="B692" s="152"/>
      <c r="D692" s="39"/>
    </row>
    <row r="693" spans="2:4" ht="15.75" customHeight="1" x14ac:dyDescent="0.3">
      <c r="B693" s="152"/>
      <c r="D693" s="39"/>
    </row>
    <row r="694" spans="2:4" ht="15.75" customHeight="1" x14ac:dyDescent="0.3">
      <c r="B694" s="152"/>
      <c r="D694" s="39"/>
    </row>
    <row r="695" spans="2:4" ht="15.75" customHeight="1" x14ac:dyDescent="0.3">
      <c r="B695" s="152"/>
      <c r="D695" s="39"/>
    </row>
    <row r="696" spans="2:4" ht="15.75" customHeight="1" x14ac:dyDescent="0.3">
      <c r="B696" s="152"/>
      <c r="D696" s="39"/>
    </row>
    <row r="697" spans="2:4" ht="15.75" customHeight="1" x14ac:dyDescent="0.3">
      <c r="B697" s="152"/>
      <c r="D697" s="39"/>
    </row>
    <row r="698" spans="2:4" ht="15.75" customHeight="1" x14ac:dyDescent="0.3">
      <c r="B698" s="152"/>
      <c r="D698" s="39"/>
    </row>
    <row r="699" spans="2:4" ht="15.75" customHeight="1" x14ac:dyDescent="0.3">
      <c r="B699" s="152"/>
      <c r="D699" s="39"/>
    </row>
    <row r="700" spans="2:4" ht="15.75" customHeight="1" x14ac:dyDescent="0.3">
      <c r="B700" s="152"/>
      <c r="D700" s="39"/>
    </row>
    <row r="701" spans="2:4" ht="15.75" customHeight="1" x14ac:dyDescent="0.3">
      <c r="B701" s="152"/>
      <c r="D701" s="39"/>
    </row>
    <row r="702" spans="2:4" ht="15.75" customHeight="1" x14ac:dyDescent="0.3">
      <c r="B702" s="152"/>
      <c r="D702" s="39"/>
    </row>
    <row r="703" spans="2:4" ht="15.75" customHeight="1" x14ac:dyDescent="0.3">
      <c r="B703" s="152"/>
      <c r="D703" s="39"/>
    </row>
    <row r="704" spans="2:4" ht="15.75" customHeight="1" x14ac:dyDescent="0.3">
      <c r="B704" s="152"/>
      <c r="D704" s="39"/>
    </row>
    <row r="705" spans="2:4" ht="15.75" customHeight="1" x14ac:dyDescent="0.3">
      <c r="B705" s="152"/>
      <c r="D705" s="39"/>
    </row>
    <row r="706" spans="2:4" ht="15.75" customHeight="1" x14ac:dyDescent="0.3">
      <c r="B706" s="152"/>
      <c r="D706" s="39"/>
    </row>
    <row r="707" spans="2:4" ht="15.75" customHeight="1" x14ac:dyDescent="0.3">
      <c r="B707" s="152"/>
      <c r="D707" s="39"/>
    </row>
    <row r="708" spans="2:4" ht="15.75" customHeight="1" x14ac:dyDescent="0.3">
      <c r="B708" s="152"/>
      <c r="D708" s="39"/>
    </row>
    <row r="709" spans="2:4" ht="15.75" customHeight="1" x14ac:dyDescent="0.3">
      <c r="B709" s="152"/>
      <c r="D709" s="39"/>
    </row>
    <row r="710" spans="2:4" ht="15.75" customHeight="1" x14ac:dyDescent="0.3">
      <c r="B710" s="152"/>
      <c r="D710" s="39"/>
    </row>
    <row r="711" spans="2:4" ht="15.75" customHeight="1" x14ac:dyDescent="0.3">
      <c r="B711" s="152"/>
      <c r="D711" s="39"/>
    </row>
    <row r="712" spans="2:4" ht="15.75" customHeight="1" x14ac:dyDescent="0.3">
      <c r="B712" s="152"/>
      <c r="D712" s="39"/>
    </row>
    <row r="713" spans="2:4" ht="15.75" customHeight="1" x14ac:dyDescent="0.3">
      <c r="B713" s="152"/>
      <c r="D713" s="39"/>
    </row>
    <row r="714" spans="2:4" ht="15.75" customHeight="1" x14ac:dyDescent="0.3">
      <c r="B714" s="152"/>
      <c r="D714" s="39"/>
    </row>
    <row r="715" spans="2:4" ht="15.75" customHeight="1" x14ac:dyDescent="0.3">
      <c r="B715" s="152"/>
      <c r="D715" s="39"/>
    </row>
    <row r="716" spans="2:4" ht="15.75" customHeight="1" x14ac:dyDescent="0.3">
      <c r="B716" s="152"/>
      <c r="D716" s="39"/>
    </row>
    <row r="717" spans="2:4" ht="15.75" customHeight="1" x14ac:dyDescent="0.3">
      <c r="B717" s="152"/>
      <c r="D717" s="39"/>
    </row>
    <row r="718" spans="2:4" ht="15.75" customHeight="1" x14ac:dyDescent="0.3">
      <c r="B718" s="152"/>
      <c r="D718" s="39"/>
    </row>
    <row r="719" spans="2:4" ht="15.75" customHeight="1" x14ac:dyDescent="0.3">
      <c r="B719" s="152"/>
      <c r="D719" s="39"/>
    </row>
    <row r="720" spans="2:4" ht="15.75" customHeight="1" x14ac:dyDescent="0.3">
      <c r="B720" s="152"/>
      <c r="D720" s="39"/>
    </row>
    <row r="721" spans="2:4" ht="15.75" customHeight="1" x14ac:dyDescent="0.3">
      <c r="B721" s="152"/>
      <c r="D721" s="39"/>
    </row>
    <row r="722" spans="2:4" ht="15.75" customHeight="1" x14ac:dyDescent="0.3">
      <c r="B722" s="152"/>
      <c r="D722" s="39"/>
    </row>
    <row r="723" spans="2:4" ht="15.75" customHeight="1" x14ac:dyDescent="0.3">
      <c r="B723" s="152"/>
      <c r="D723" s="39"/>
    </row>
    <row r="724" spans="2:4" ht="15.75" customHeight="1" x14ac:dyDescent="0.3">
      <c r="B724" s="152"/>
      <c r="D724" s="39"/>
    </row>
    <row r="725" spans="2:4" ht="15.75" customHeight="1" x14ac:dyDescent="0.3">
      <c r="B725" s="152"/>
      <c r="D725" s="39"/>
    </row>
    <row r="726" spans="2:4" ht="15.75" customHeight="1" x14ac:dyDescent="0.3">
      <c r="B726" s="152"/>
      <c r="D726" s="39"/>
    </row>
    <row r="727" spans="2:4" ht="15.75" customHeight="1" x14ac:dyDescent="0.3">
      <c r="B727" s="152"/>
      <c r="D727" s="39"/>
    </row>
    <row r="728" spans="2:4" ht="15.75" customHeight="1" x14ac:dyDescent="0.3">
      <c r="B728" s="152"/>
      <c r="D728" s="39"/>
    </row>
    <row r="729" spans="2:4" ht="15.75" customHeight="1" x14ac:dyDescent="0.3">
      <c r="B729" s="152"/>
      <c r="D729" s="39"/>
    </row>
    <row r="730" spans="2:4" ht="15.75" customHeight="1" x14ac:dyDescent="0.3">
      <c r="B730" s="152"/>
      <c r="D730" s="39"/>
    </row>
    <row r="731" spans="2:4" ht="15.75" customHeight="1" x14ac:dyDescent="0.3">
      <c r="B731" s="152"/>
      <c r="D731" s="39"/>
    </row>
    <row r="732" spans="2:4" ht="15.75" customHeight="1" x14ac:dyDescent="0.3">
      <c r="B732" s="152"/>
      <c r="D732" s="39"/>
    </row>
    <row r="733" spans="2:4" ht="15.75" customHeight="1" x14ac:dyDescent="0.3">
      <c r="B733" s="152"/>
      <c r="D733" s="39"/>
    </row>
    <row r="734" spans="2:4" ht="15.75" customHeight="1" x14ac:dyDescent="0.3">
      <c r="B734" s="152"/>
      <c r="D734" s="39"/>
    </row>
    <row r="735" spans="2:4" ht="15.75" customHeight="1" x14ac:dyDescent="0.3">
      <c r="B735" s="152"/>
      <c r="D735" s="39"/>
    </row>
    <row r="736" spans="2:4" ht="15.75" customHeight="1" x14ac:dyDescent="0.3">
      <c r="B736" s="152"/>
      <c r="D736" s="39"/>
    </row>
    <row r="737" spans="2:4" ht="15.75" customHeight="1" x14ac:dyDescent="0.3">
      <c r="B737" s="152"/>
      <c r="D737" s="39"/>
    </row>
    <row r="738" spans="2:4" ht="15.75" customHeight="1" x14ac:dyDescent="0.3">
      <c r="B738" s="152"/>
      <c r="D738" s="39"/>
    </row>
    <row r="739" spans="2:4" ht="15.75" customHeight="1" x14ac:dyDescent="0.3">
      <c r="B739" s="152"/>
      <c r="D739" s="39"/>
    </row>
    <row r="740" spans="2:4" ht="15.75" customHeight="1" x14ac:dyDescent="0.3">
      <c r="B740" s="152"/>
      <c r="D740" s="39"/>
    </row>
    <row r="741" spans="2:4" ht="15.75" customHeight="1" x14ac:dyDescent="0.3">
      <c r="B741" s="152"/>
      <c r="D741" s="39"/>
    </row>
    <row r="742" spans="2:4" ht="15.75" customHeight="1" x14ac:dyDescent="0.3">
      <c r="B742" s="152"/>
      <c r="D742" s="39"/>
    </row>
    <row r="743" spans="2:4" ht="15.75" customHeight="1" x14ac:dyDescent="0.3">
      <c r="B743" s="152"/>
      <c r="D743" s="39"/>
    </row>
    <row r="744" spans="2:4" ht="15.75" customHeight="1" x14ac:dyDescent="0.3">
      <c r="B744" s="152"/>
      <c r="D744" s="39"/>
    </row>
    <row r="745" spans="2:4" ht="15.75" customHeight="1" x14ac:dyDescent="0.3">
      <c r="B745" s="152"/>
      <c r="D745" s="39"/>
    </row>
    <row r="746" spans="2:4" ht="15.75" customHeight="1" x14ac:dyDescent="0.3">
      <c r="B746" s="152"/>
      <c r="D746" s="39"/>
    </row>
    <row r="747" spans="2:4" ht="15.75" customHeight="1" x14ac:dyDescent="0.3">
      <c r="B747" s="152"/>
      <c r="D747" s="39"/>
    </row>
    <row r="748" spans="2:4" ht="15.75" customHeight="1" x14ac:dyDescent="0.3">
      <c r="B748" s="152"/>
      <c r="D748" s="39"/>
    </row>
    <row r="749" spans="2:4" ht="15.75" customHeight="1" x14ac:dyDescent="0.3">
      <c r="B749" s="152"/>
      <c r="D749" s="39"/>
    </row>
    <row r="750" spans="2:4" ht="15.75" customHeight="1" x14ac:dyDescent="0.3">
      <c r="B750" s="152"/>
      <c r="D750" s="39"/>
    </row>
    <row r="751" spans="2:4" ht="15.75" customHeight="1" x14ac:dyDescent="0.3">
      <c r="B751" s="152"/>
      <c r="D751" s="39"/>
    </row>
    <row r="752" spans="2:4" ht="15.75" customHeight="1" x14ac:dyDescent="0.3">
      <c r="B752" s="152"/>
      <c r="D752" s="39"/>
    </row>
    <row r="753" spans="2:4" ht="15.75" customHeight="1" x14ac:dyDescent="0.3">
      <c r="B753" s="152"/>
      <c r="D753" s="39"/>
    </row>
    <row r="754" spans="2:4" ht="15.75" customHeight="1" x14ac:dyDescent="0.3">
      <c r="B754" s="152"/>
      <c r="D754" s="39"/>
    </row>
    <row r="755" spans="2:4" ht="15.75" customHeight="1" x14ac:dyDescent="0.3">
      <c r="B755" s="152"/>
      <c r="D755" s="39"/>
    </row>
    <row r="756" spans="2:4" ht="15.75" customHeight="1" x14ac:dyDescent="0.3">
      <c r="B756" s="152"/>
      <c r="D756" s="39"/>
    </row>
    <row r="757" spans="2:4" ht="15.75" customHeight="1" x14ac:dyDescent="0.3">
      <c r="B757" s="152"/>
      <c r="D757" s="39"/>
    </row>
    <row r="758" spans="2:4" ht="15.75" customHeight="1" x14ac:dyDescent="0.3">
      <c r="B758" s="152"/>
      <c r="D758" s="39"/>
    </row>
    <row r="759" spans="2:4" ht="15.75" customHeight="1" x14ac:dyDescent="0.3">
      <c r="B759" s="152"/>
      <c r="D759" s="39"/>
    </row>
    <row r="760" spans="2:4" ht="15.75" customHeight="1" x14ac:dyDescent="0.3">
      <c r="B760" s="152"/>
      <c r="D760" s="39"/>
    </row>
    <row r="761" spans="2:4" ht="15.75" customHeight="1" x14ac:dyDescent="0.3">
      <c r="B761" s="152"/>
      <c r="D761" s="39"/>
    </row>
    <row r="762" spans="2:4" ht="15.75" customHeight="1" x14ac:dyDescent="0.3">
      <c r="B762" s="152"/>
      <c r="D762" s="39"/>
    </row>
    <row r="763" spans="2:4" ht="15.75" customHeight="1" x14ac:dyDescent="0.3">
      <c r="B763" s="152"/>
      <c r="D763" s="39"/>
    </row>
    <row r="764" spans="2:4" ht="15.75" customHeight="1" x14ac:dyDescent="0.3">
      <c r="B764" s="152"/>
      <c r="D764" s="39"/>
    </row>
    <row r="765" spans="2:4" ht="15.75" customHeight="1" x14ac:dyDescent="0.3">
      <c r="B765" s="152"/>
      <c r="D765" s="39"/>
    </row>
    <row r="766" spans="2:4" ht="15.75" customHeight="1" x14ac:dyDescent="0.3">
      <c r="B766" s="152"/>
      <c r="D766" s="39"/>
    </row>
    <row r="767" spans="2:4" ht="15.75" customHeight="1" x14ac:dyDescent="0.3">
      <c r="B767" s="152"/>
      <c r="D767" s="39"/>
    </row>
    <row r="768" spans="2:4" ht="15.75" customHeight="1" x14ac:dyDescent="0.3">
      <c r="B768" s="152"/>
      <c r="D768" s="39"/>
    </row>
    <row r="769" spans="2:4" ht="15.75" customHeight="1" x14ac:dyDescent="0.3">
      <c r="B769" s="152"/>
      <c r="D769" s="39"/>
    </row>
    <row r="770" spans="2:4" ht="15.75" customHeight="1" x14ac:dyDescent="0.3">
      <c r="B770" s="152"/>
      <c r="D770" s="39"/>
    </row>
    <row r="771" spans="2:4" ht="15.75" customHeight="1" x14ac:dyDescent="0.3">
      <c r="B771" s="152"/>
      <c r="D771" s="39"/>
    </row>
    <row r="772" spans="2:4" ht="15.75" customHeight="1" x14ac:dyDescent="0.3">
      <c r="B772" s="152"/>
      <c r="D772" s="39"/>
    </row>
    <row r="773" spans="2:4" ht="15.75" customHeight="1" x14ac:dyDescent="0.3">
      <c r="B773" s="152"/>
      <c r="D773" s="39"/>
    </row>
    <row r="774" spans="2:4" ht="15.75" customHeight="1" x14ac:dyDescent="0.3">
      <c r="B774" s="152"/>
      <c r="D774" s="39"/>
    </row>
    <row r="775" spans="2:4" ht="15.75" customHeight="1" x14ac:dyDescent="0.3">
      <c r="B775" s="152"/>
      <c r="D775" s="39"/>
    </row>
    <row r="776" spans="2:4" ht="15.75" customHeight="1" x14ac:dyDescent="0.3">
      <c r="B776" s="152"/>
      <c r="D776" s="39"/>
    </row>
    <row r="777" spans="2:4" ht="15.75" customHeight="1" x14ac:dyDescent="0.3">
      <c r="B777" s="152"/>
      <c r="D777" s="39"/>
    </row>
    <row r="778" spans="2:4" ht="15.75" customHeight="1" x14ac:dyDescent="0.3">
      <c r="B778" s="152"/>
      <c r="D778" s="39"/>
    </row>
    <row r="779" spans="2:4" ht="15.75" customHeight="1" x14ac:dyDescent="0.3">
      <c r="B779" s="152"/>
      <c r="D779" s="39"/>
    </row>
    <row r="780" spans="2:4" ht="15.75" customHeight="1" x14ac:dyDescent="0.3">
      <c r="B780" s="152"/>
      <c r="D780" s="39"/>
    </row>
    <row r="781" spans="2:4" ht="15.75" customHeight="1" x14ac:dyDescent="0.3">
      <c r="B781" s="152"/>
      <c r="D781" s="39"/>
    </row>
    <row r="782" spans="2:4" ht="15.75" customHeight="1" x14ac:dyDescent="0.3">
      <c r="B782" s="152"/>
      <c r="D782" s="39"/>
    </row>
    <row r="783" spans="2:4" ht="15.75" customHeight="1" x14ac:dyDescent="0.3">
      <c r="B783" s="152"/>
      <c r="D783" s="39"/>
    </row>
    <row r="784" spans="2:4" ht="15.75" customHeight="1" x14ac:dyDescent="0.3">
      <c r="B784" s="152"/>
      <c r="D784" s="39"/>
    </row>
    <row r="785" spans="2:4" ht="15.75" customHeight="1" x14ac:dyDescent="0.3">
      <c r="B785" s="152"/>
      <c r="D785" s="39"/>
    </row>
    <row r="786" spans="2:4" ht="15.75" customHeight="1" x14ac:dyDescent="0.3">
      <c r="B786" s="152"/>
      <c r="D786" s="39"/>
    </row>
    <row r="787" spans="2:4" ht="15.75" customHeight="1" x14ac:dyDescent="0.3">
      <c r="B787" s="152"/>
      <c r="D787" s="39"/>
    </row>
    <row r="788" spans="2:4" ht="15.75" customHeight="1" x14ac:dyDescent="0.3">
      <c r="B788" s="152"/>
      <c r="D788" s="39"/>
    </row>
    <row r="789" spans="2:4" ht="15.75" customHeight="1" x14ac:dyDescent="0.3">
      <c r="B789" s="152"/>
      <c r="D789" s="39"/>
    </row>
    <row r="790" spans="2:4" ht="15.75" customHeight="1" x14ac:dyDescent="0.3">
      <c r="B790" s="152"/>
      <c r="D790" s="39"/>
    </row>
    <row r="791" spans="2:4" ht="15.75" customHeight="1" x14ac:dyDescent="0.3">
      <c r="B791" s="152"/>
      <c r="D791" s="39"/>
    </row>
    <row r="792" spans="2:4" ht="15.75" customHeight="1" x14ac:dyDescent="0.3">
      <c r="B792" s="152"/>
      <c r="D792" s="39"/>
    </row>
    <row r="793" spans="2:4" ht="15.75" customHeight="1" x14ac:dyDescent="0.3">
      <c r="B793" s="152"/>
      <c r="D793" s="39"/>
    </row>
    <row r="794" spans="2:4" ht="15.75" customHeight="1" x14ac:dyDescent="0.3">
      <c r="B794" s="152"/>
      <c r="D794" s="39"/>
    </row>
    <row r="795" spans="2:4" ht="15.75" customHeight="1" x14ac:dyDescent="0.3">
      <c r="B795" s="152"/>
      <c r="D795" s="39"/>
    </row>
    <row r="796" spans="2:4" ht="15.75" customHeight="1" x14ac:dyDescent="0.3">
      <c r="B796" s="152"/>
      <c r="D796" s="39"/>
    </row>
    <row r="797" spans="2:4" ht="15.75" customHeight="1" x14ac:dyDescent="0.3">
      <c r="B797" s="152"/>
      <c r="D797" s="39"/>
    </row>
    <row r="798" spans="2:4" ht="15.75" customHeight="1" x14ac:dyDescent="0.3">
      <c r="B798" s="152"/>
      <c r="D798" s="39"/>
    </row>
    <row r="799" spans="2:4" ht="15.75" customHeight="1" x14ac:dyDescent="0.3">
      <c r="B799" s="152"/>
      <c r="D799" s="39"/>
    </row>
    <row r="800" spans="2:4" ht="15.75" customHeight="1" x14ac:dyDescent="0.3">
      <c r="B800" s="152"/>
      <c r="D800" s="39"/>
    </row>
    <row r="801" spans="2:4" ht="15.75" customHeight="1" x14ac:dyDescent="0.3">
      <c r="B801" s="152"/>
      <c r="D801" s="39"/>
    </row>
    <row r="802" spans="2:4" ht="15.75" customHeight="1" x14ac:dyDescent="0.3">
      <c r="B802" s="152"/>
      <c r="D802" s="39"/>
    </row>
    <row r="803" spans="2:4" ht="15.75" customHeight="1" x14ac:dyDescent="0.3">
      <c r="B803" s="152"/>
      <c r="D803" s="39"/>
    </row>
    <row r="804" spans="2:4" ht="15.75" customHeight="1" x14ac:dyDescent="0.3">
      <c r="B804" s="152"/>
      <c r="D804" s="39"/>
    </row>
    <row r="805" spans="2:4" ht="15.75" customHeight="1" x14ac:dyDescent="0.3">
      <c r="B805" s="152"/>
      <c r="D805" s="39"/>
    </row>
    <row r="806" spans="2:4" ht="15.75" customHeight="1" x14ac:dyDescent="0.3">
      <c r="B806" s="152"/>
      <c r="D806" s="39"/>
    </row>
    <row r="807" spans="2:4" ht="15.75" customHeight="1" x14ac:dyDescent="0.3">
      <c r="B807" s="152"/>
      <c r="D807" s="39"/>
    </row>
    <row r="808" spans="2:4" ht="15.75" customHeight="1" x14ac:dyDescent="0.3">
      <c r="B808" s="152"/>
      <c r="D808" s="39"/>
    </row>
    <row r="809" spans="2:4" ht="15.75" customHeight="1" x14ac:dyDescent="0.3">
      <c r="B809" s="152"/>
      <c r="D809" s="39"/>
    </row>
    <row r="810" spans="2:4" ht="15.75" customHeight="1" x14ac:dyDescent="0.3">
      <c r="B810" s="152"/>
      <c r="D810" s="39"/>
    </row>
    <row r="811" spans="2:4" ht="15.75" customHeight="1" x14ac:dyDescent="0.3">
      <c r="B811" s="152"/>
      <c r="D811" s="39"/>
    </row>
    <row r="812" spans="2:4" ht="15.75" customHeight="1" x14ac:dyDescent="0.3">
      <c r="B812" s="152"/>
      <c r="D812" s="39"/>
    </row>
    <row r="813" spans="2:4" ht="15.75" customHeight="1" x14ac:dyDescent="0.3">
      <c r="B813" s="152"/>
      <c r="D813" s="39"/>
    </row>
    <row r="814" spans="2:4" ht="15.75" customHeight="1" x14ac:dyDescent="0.3">
      <c r="B814" s="152"/>
      <c r="D814" s="39"/>
    </row>
    <row r="815" spans="2:4" ht="15.75" customHeight="1" x14ac:dyDescent="0.3">
      <c r="B815" s="152"/>
      <c r="D815" s="39"/>
    </row>
    <row r="816" spans="2:4" ht="15.75" customHeight="1" x14ac:dyDescent="0.3">
      <c r="B816" s="152"/>
      <c r="D816" s="39"/>
    </row>
    <row r="817" spans="2:4" ht="15.75" customHeight="1" x14ac:dyDescent="0.3">
      <c r="B817" s="152"/>
      <c r="D817" s="39"/>
    </row>
    <row r="818" spans="2:4" ht="15.75" customHeight="1" x14ac:dyDescent="0.3">
      <c r="B818" s="152"/>
      <c r="D818" s="39"/>
    </row>
    <row r="819" spans="2:4" ht="15.75" customHeight="1" x14ac:dyDescent="0.3">
      <c r="B819" s="152"/>
      <c r="D819" s="39"/>
    </row>
    <row r="820" spans="2:4" ht="15.75" customHeight="1" x14ac:dyDescent="0.3">
      <c r="B820" s="152"/>
      <c r="D820" s="39"/>
    </row>
    <row r="821" spans="2:4" ht="15.75" customHeight="1" x14ac:dyDescent="0.3">
      <c r="B821" s="152"/>
      <c r="D821" s="39"/>
    </row>
    <row r="822" spans="2:4" ht="15.75" customHeight="1" x14ac:dyDescent="0.3">
      <c r="B822" s="152"/>
      <c r="D822" s="39"/>
    </row>
    <row r="823" spans="2:4" ht="15.75" customHeight="1" x14ac:dyDescent="0.3">
      <c r="B823" s="152"/>
      <c r="D823" s="39"/>
    </row>
    <row r="824" spans="2:4" ht="15.75" customHeight="1" x14ac:dyDescent="0.3">
      <c r="B824" s="152"/>
      <c r="D824" s="39"/>
    </row>
    <row r="825" spans="2:4" ht="15.75" customHeight="1" x14ac:dyDescent="0.3">
      <c r="B825" s="152"/>
      <c r="D825" s="39"/>
    </row>
    <row r="826" spans="2:4" ht="15.75" customHeight="1" x14ac:dyDescent="0.3">
      <c r="B826" s="152"/>
      <c r="D826" s="39"/>
    </row>
    <row r="827" spans="2:4" ht="15.75" customHeight="1" x14ac:dyDescent="0.3">
      <c r="B827" s="152"/>
      <c r="D827" s="39"/>
    </row>
    <row r="828" spans="2:4" ht="15.75" customHeight="1" x14ac:dyDescent="0.3">
      <c r="B828" s="152"/>
      <c r="D828" s="39"/>
    </row>
    <row r="829" spans="2:4" ht="15.75" customHeight="1" x14ac:dyDescent="0.3">
      <c r="B829" s="152"/>
      <c r="D829" s="39"/>
    </row>
    <row r="830" spans="2:4" ht="15.75" customHeight="1" x14ac:dyDescent="0.3">
      <c r="B830" s="152"/>
      <c r="D830" s="39"/>
    </row>
    <row r="831" spans="2:4" ht="15.75" customHeight="1" x14ac:dyDescent="0.3">
      <c r="B831" s="152"/>
      <c r="D831" s="39"/>
    </row>
    <row r="832" spans="2:4" ht="15.75" customHeight="1" x14ac:dyDescent="0.3">
      <c r="B832" s="152"/>
      <c r="D832" s="39"/>
    </row>
    <row r="833" spans="2:4" ht="15.75" customHeight="1" x14ac:dyDescent="0.3">
      <c r="B833" s="152"/>
      <c r="D833" s="39"/>
    </row>
    <row r="834" spans="2:4" ht="15.75" customHeight="1" x14ac:dyDescent="0.3">
      <c r="B834" s="152"/>
      <c r="D834" s="39"/>
    </row>
    <row r="835" spans="2:4" ht="15.75" customHeight="1" x14ac:dyDescent="0.3">
      <c r="B835" s="152"/>
      <c r="D835" s="39"/>
    </row>
    <row r="836" spans="2:4" ht="15.75" customHeight="1" x14ac:dyDescent="0.3">
      <c r="B836" s="152"/>
      <c r="D836" s="39"/>
    </row>
    <row r="837" spans="2:4" ht="15.75" customHeight="1" x14ac:dyDescent="0.3">
      <c r="B837" s="152"/>
      <c r="D837" s="39"/>
    </row>
    <row r="838" spans="2:4" ht="15.75" customHeight="1" x14ac:dyDescent="0.3">
      <c r="B838" s="152"/>
      <c r="D838" s="39"/>
    </row>
    <row r="839" spans="2:4" ht="15.75" customHeight="1" x14ac:dyDescent="0.3">
      <c r="B839" s="152"/>
      <c r="D839" s="39"/>
    </row>
    <row r="840" spans="2:4" ht="15.75" customHeight="1" x14ac:dyDescent="0.3">
      <c r="B840" s="152"/>
      <c r="D840" s="39"/>
    </row>
    <row r="841" spans="2:4" ht="15.75" customHeight="1" x14ac:dyDescent="0.3">
      <c r="B841" s="152"/>
      <c r="D841" s="39"/>
    </row>
    <row r="842" spans="2:4" ht="15.75" customHeight="1" x14ac:dyDescent="0.3">
      <c r="B842" s="152"/>
      <c r="D842" s="39"/>
    </row>
    <row r="843" spans="2:4" ht="15.75" customHeight="1" x14ac:dyDescent="0.3">
      <c r="B843" s="152"/>
      <c r="D843" s="39"/>
    </row>
    <row r="844" spans="2:4" ht="15.75" customHeight="1" x14ac:dyDescent="0.3">
      <c r="B844" s="152"/>
      <c r="D844" s="39"/>
    </row>
    <row r="845" spans="2:4" ht="15.75" customHeight="1" x14ac:dyDescent="0.3">
      <c r="B845" s="152"/>
      <c r="D845" s="39"/>
    </row>
    <row r="846" spans="2:4" ht="15.75" customHeight="1" x14ac:dyDescent="0.3">
      <c r="B846" s="152"/>
      <c r="D846" s="39"/>
    </row>
    <row r="847" spans="2:4" ht="15.75" customHeight="1" x14ac:dyDescent="0.3">
      <c r="B847" s="152"/>
      <c r="D847" s="39"/>
    </row>
    <row r="848" spans="2:4" ht="15.75" customHeight="1" x14ac:dyDescent="0.3">
      <c r="B848" s="152"/>
      <c r="D848" s="39"/>
    </row>
    <row r="849" spans="2:4" ht="15.75" customHeight="1" x14ac:dyDescent="0.3">
      <c r="B849" s="152"/>
      <c r="D849" s="39"/>
    </row>
    <row r="850" spans="2:4" ht="15.75" customHeight="1" x14ac:dyDescent="0.3">
      <c r="B850" s="152"/>
      <c r="D850" s="39"/>
    </row>
    <row r="851" spans="2:4" ht="15.75" customHeight="1" x14ac:dyDescent="0.3">
      <c r="B851" s="152"/>
      <c r="D851" s="39"/>
    </row>
    <row r="852" spans="2:4" ht="15.75" customHeight="1" x14ac:dyDescent="0.3">
      <c r="B852" s="152"/>
      <c r="D852" s="39"/>
    </row>
    <row r="853" spans="2:4" ht="15.75" customHeight="1" x14ac:dyDescent="0.3">
      <c r="B853" s="152"/>
      <c r="D853" s="39"/>
    </row>
    <row r="854" spans="2:4" ht="15.75" customHeight="1" x14ac:dyDescent="0.3">
      <c r="B854" s="152"/>
      <c r="D854" s="39"/>
    </row>
    <row r="855" spans="2:4" ht="15.75" customHeight="1" x14ac:dyDescent="0.3">
      <c r="B855" s="152"/>
      <c r="D855" s="39"/>
    </row>
    <row r="856" spans="2:4" ht="15.75" customHeight="1" x14ac:dyDescent="0.3">
      <c r="B856" s="152"/>
      <c r="D856" s="39"/>
    </row>
    <row r="857" spans="2:4" ht="15.75" customHeight="1" x14ac:dyDescent="0.3">
      <c r="B857" s="152"/>
      <c r="D857" s="39"/>
    </row>
    <row r="858" spans="2:4" ht="15.75" customHeight="1" x14ac:dyDescent="0.3">
      <c r="B858" s="152"/>
      <c r="D858" s="39"/>
    </row>
    <row r="859" spans="2:4" ht="15.75" customHeight="1" x14ac:dyDescent="0.3">
      <c r="B859" s="152"/>
      <c r="D859" s="39"/>
    </row>
    <row r="860" spans="2:4" ht="15.75" customHeight="1" x14ac:dyDescent="0.3">
      <c r="B860" s="152"/>
      <c r="D860" s="39"/>
    </row>
    <row r="861" spans="2:4" ht="15.75" customHeight="1" x14ac:dyDescent="0.3">
      <c r="B861" s="152"/>
      <c r="D861" s="39"/>
    </row>
    <row r="862" spans="2:4" ht="15.75" customHeight="1" x14ac:dyDescent="0.3">
      <c r="B862" s="152"/>
      <c r="D862" s="39"/>
    </row>
    <row r="863" spans="2:4" ht="15.75" customHeight="1" x14ac:dyDescent="0.3">
      <c r="B863" s="152"/>
      <c r="D863" s="39"/>
    </row>
    <row r="864" spans="2:4" ht="15.75" customHeight="1" x14ac:dyDescent="0.3">
      <c r="B864" s="152"/>
      <c r="D864" s="39"/>
    </row>
    <row r="865" spans="2:4" ht="15.75" customHeight="1" x14ac:dyDescent="0.3">
      <c r="B865" s="152"/>
      <c r="D865" s="39"/>
    </row>
    <row r="866" spans="2:4" ht="15.75" customHeight="1" x14ac:dyDescent="0.3">
      <c r="B866" s="152"/>
      <c r="D866" s="39"/>
    </row>
    <row r="867" spans="2:4" ht="15.75" customHeight="1" x14ac:dyDescent="0.3">
      <c r="B867" s="152"/>
      <c r="D867" s="39"/>
    </row>
    <row r="868" spans="2:4" ht="15.75" customHeight="1" x14ac:dyDescent="0.3">
      <c r="B868" s="152"/>
      <c r="D868" s="39"/>
    </row>
    <row r="869" spans="2:4" ht="15.75" customHeight="1" x14ac:dyDescent="0.3">
      <c r="B869" s="152"/>
      <c r="D869" s="39"/>
    </row>
    <row r="870" spans="2:4" ht="15.75" customHeight="1" x14ac:dyDescent="0.3">
      <c r="B870" s="152"/>
      <c r="D870" s="39"/>
    </row>
    <row r="871" spans="2:4" ht="15.75" customHeight="1" x14ac:dyDescent="0.3">
      <c r="B871" s="152"/>
      <c r="D871" s="39"/>
    </row>
    <row r="872" spans="2:4" ht="15.75" customHeight="1" x14ac:dyDescent="0.3">
      <c r="B872" s="152"/>
      <c r="D872" s="39"/>
    </row>
    <row r="873" spans="2:4" ht="15.75" customHeight="1" x14ac:dyDescent="0.3">
      <c r="B873" s="152"/>
      <c r="D873" s="39"/>
    </row>
    <row r="874" spans="2:4" ht="15.75" customHeight="1" x14ac:dyDescent="0.3">
      <c r="B874" s="152"/>
      <c r="D874" s="39"/>
    </row>
    <row r="875" spans="2:4" ht="15.75" customHeight="1" x14ac:dyDescent="0.3">
      <c r="B875" s="152"/>
      <c r="D875" s="39"/>
    </row>
    <row r="876" spans="2:4" ht="15.75" customHeight="1" x14ac:dyDescent="0.3">
      <c r="B876" s="152"/>
      <c r="D876" s="39"/>
    </row>
    <row r="877" spans="2:4" ht="15.75" customHeight="1" x14ac:dyDescent="0.3">
      <c r="B877" s="152"/>
      <c r="D877" s="39"/>
    </row>
    <row r="878" spans="2:4" ht="15.75" customHeight="1" x14ac:dyDescent="0.3">
      <c r="B878" s="152"/>
      <c r="D878" s="39"/>
    </row>
    <row r="879" spans="2:4" ht="15.75" customHeight="1" x14ac:dyDescent="0.3">
      <c r="B879" s="152"/>
      <c r="D879" s="39"/>
    </row>
    <row r="880" spans="2:4" ht="15.75" customHeight="1" x14ac:dyDescent="0.3">
      <c r="B880" s="152"/>
      <c r="D880" s="39"/>
    </row>
    <row r="881" spans="2:4" ht="15.75" customHeight="1" x14ac:dyDescent="0.3">
      <c r="B881" s="152"/>
      <c r="D881" s="39"/>
    </row>
    <row r="882" spans="2:4" ht="15.75" customHeight="1" x14ac:dyDescent="0.3">
      <c r="B882" s="152"/>
      <c r="D882" s="39"/>
    </row>
    <row r="883" spans="2:4" ht="15.75" customHeight="1" x14ac:dyDescent="0.3">
      <c r="B883" s="152"/>
      <c r="D883" s="39"/>
    </row>
    <row r="884" spans="2:4" ht="15.75" customHeight="1" x14ac:dyDescent="0.3">
      <c r="B884" s="152"/>
      <c r="D884" s="39"/>
    </row>
    <row r="885" spans="2:4" ht="15.75" customHeight="1" x14ac:dyDescent="0.3">
      <c r="B885" s="152"/>
      <c r="D885" s="39"/>
    </row>
    <row r="886" spans="2:4" ht="15.75" customHeight="1" x14ac:dyDescent="0.3">
      <c r="B886" s="152"/>
      <c r="D886" s="39"/>
    </row>
    <row r="887" spans="2:4" ht="15.75" customHeight="1" x14ac:dyDescent="0.3">
      <c r="B887" s="152"/>
      <c r="D887" s="39"/>
    </row>
    <row r="888" spans="2:4" ht="15.75" customHeight="1" x14ac:dyDescent="0.3">
      <c r="B888" s="152"/>
      <c r="D888" s="39"/>
    </row>
    <row r="889" spans="2:4" ht="15.75" customHeight="1" x14ac:dyDescent="0.3">
      <c r="B889" s="152"/>
      <c r="D889" s="39"/>
    </row>
    <row r="890" spans="2:4" ht="15.75" customHeight="1" x14ac:dyDescent="0.3">
      <c r="B890" s="152"/>
      <c r="D890" s="39"/>
    </row>
    <row r="891" spans="2:4" ht="15.75" customHeight="1" x14ac:dyDescent="0.3">
      <c r="B891" s="152"/>
      <c r="D891" s="39"/>
    </row>
    <row r="892" spans="2:4" ht="15.75" customHeight="1" x14ac:dyDescent="0.3">
      <c r="B892" s="152"/>
      <c r="D892" s="39"/>
    </row>
    <row r="893" spans="2:4" ht="15.75" customHeight="1" x14ac:dyDescent="0.3">
      <c r="B893" s="152"/>
      <c r="D893" s="39"/>
    </row>
    <row r="894" spans="2:4" ht="15.75" customHeight="1" x14ac:dyDescent="0.3">
      <c r="B894" s="152"/>
      <c r="D894" s="39"/>
    </row>
    <row r="895" spans="2:4" ht="15.75" customHeight="1" x14ac:dyDescent="0.3">
      <c r="B895" s="152"/>
      <c r="D895" s="39"/>
    </row>
    <row r="896" spans="2:4" ht="15.75" customHeight="1" x14ac:dyDescent="0.3">
      <c r="B896" s="152"/>
      <c r="D896" s="39"/>
    </row>
    <row r="897" spans="2:4" ht="15.75" customHeight="1" x14ac:dyDescent="0.3">
      <c r="B897" s="152"/>
      <c r="D897" s="39"/>
    </row>
    <row r="898" spans="2:4" ht="15.75" customHeight="1" x14ac:dyDescent="0.3">
      <c r="B898" s="152"/>
      <c r="D898" s="39"/>
    </row>
    <row r="899" spans="2:4" ht="15.75" customHeight="1" x14ac:dyDescent="0.3">
      <c r="B899" s="152"/>
      <c r="D899" s="39"/>
    </row>
    <row r="900" spans="2:4" ht="15.75" customHeight="1" x14ac:dyDescent="0.3">
      <c r="B900" s="152"/>
      <c r="D900" s="39"/>
    </row>
    <row r="901" spans="2:4" ht="15.75" customHeight="1" x14ac:dyDescent="0.3">
      <c r="B901" s="152"/>
      <c r="D901" s="39"/>
    </row>
    <row r="902" spans="2:4" ht="15.75" customHeight="1" x14ac:dyDescent="0.3">
      <c r="B902" s="152"/>
      <c r="D902" s="39"/>
    </row>
    <row r="903" spans="2:4" ht="15.75" customHeight="1" x14ac:dyDescent="0.3">
      <c r="B903" s="152"/>
      <c r="D903" s="39"/>
    </row>
    <row r="904" spans="2:4" ht="15.75" customHeight="1" x14ac:dyDescent="0.3">
      <c r="B904" s="152"/>
      <c r="D904" s="39"/>
    </row>
    <row r="905" spans="2:4" ht="15.75" customHeight="1" x14ac:dyDescent="0.3">
      <c r="B905" s="152"/>
      <c r="D905" s="39"/>
    </row>
    <row r="906" spans="2:4" ht="15.75" customHeight="1" x14ac:dyDescent="0.3">
      <c r="B906" s="152"/>
      <c r="D906" s="39"/>
    </row>
    <row r="907" spans="2:4" ht="15.75" customHeight="1" x14ac:dyDescent="0.3">
      <c r="B907" s="152"/>
      <c r="D907" s="39"/>
    </row>
    <row r="908" spans="2:4" ht="15.75" customHeight="1" x14ac:dyDescent="0.3">
      <c r="B908" s="152"/>
      <c r="D908" s="39"/>
    </row>
    <row r="909" spans="2:4" ht="15.75" customHeight="1" x14ac:dyDescent="0.3">
      <c r="B909" s="152"/>
      <c r="D909" s="39"/>
    </row>
    <row r="910" spans="2:4" ht="15.75" customHeight="1" x14ac:dyDescent="0.3">
      <c r="B910" s="152"/>
      <c r="D910" s="39"/>
    </row>
    <row r="911" spans="2:4" ht="15.75" customHeight="1" x14ac:dyDescent="0.3">
      <c r="B911" s="152"/>
      <c r="D911" s="39"/>
    </row>
    <row r="912" spans="2:4" ht="15.75" customHeight="1" x14ac:dyDescent="0.3">
      <c r="B912" s="152"/>
      <c r="D912" s="39"/>
    </row>
    <row r="913" spans="2:4" ht="15.75" customHeight="1" x14ac:dyDescent="0.3">
      <c r="B913" s="152"/>
      <c r="D913" s="39"/>
    </row>
    <row r="914" spans="2:4" ht="15.75" customHeight="1" x14ac:dyDescent="0.3">
      <c r="B914" s="152"/>
      <c r="D914" s="39"/>
    </row>
    <row r="915" spans="2:4" ht="15.75" customHeight="1" x14ac:dyDescent="0.3">
      <c r="B915" s="152"/>
      <c r="D915" s="39"/>
    </row>
    <row r="916" spans="2:4" ht="15.75" customHeight="1" x14ac:dyDescent="0.3">
      <c r="B916" s="152"/>
      <c r="D916" s="39"/>
    </row>
    <row r="917" spans="2:4" ht="15.75" customHeight="1" x14ac:dyDescent="0.3">
      <c r="B917" s="152"/>
      <c r="D917" s="39"/>
    </row>
    <row r="918" spans="2:4" ht="15.75" customHeight="1" x14ac:dyDescent="0.3">
      <c r="B918" s="152"/>
      <c r="D918" s="39"/>
    </row>
    <row r="919" spans="2:4" ht="15.75" customHeight="1" x14ac:dyDescent="0.3">
      <c r="B919" s="152"/>
      <c r="D919" s="39"/>
    </row>
    <row r="920" spans="2:4" ht="15.75" customHeight="1" x14ac:dyDescent="0.3">
      <c r="B920" s="152"/>
      <c r="D920" s="39"/>
    </row>
    <row r="921" spans="2:4" ht="15.75" customHeight="1" x14ac:dyDescent="0.3">
      <c r="B921" s="152"/>
      <c r="D921" s="39"/>
    </row>
    <row r="922" spans="2:4" ht="15.75" customHeight="1" x14ac:dyDescent="0.3">
      <c r="B922" s="152"/>
      <c r="D922" s="39"/>
    </row>
    <row r="923" spans="2:4" ht="15.75" customHeight="1" x14ac:dyDescent="0.3">
      <c r="B923" s="152"/>
      <c r="D923" s="39"/>
    </row>
    <row r="924" spans="2:4" ht="15.75" customHeight="1" x14ac:dyDescent="0.3">
      <c r="B924" s="152"/>
      <c r="D924" s="39"/>
    </row>
    <row r="925" spans="2:4" ht="15.75" customHeight="1" x14ac:dyDescent="0.3">
      <c r="B925" s="152"/>
      <c r="D925" s="39"/>
    </row>
    <row r="926" spans="2:4" ht="15.75" customHeight="1" x14ac:dyDescent="0.3">
      <c r="B926" s="152"/>
      <c r="D926" s="39"/>
    </row>
    <row r="927" spans="2:4" ht="15.75" customHeight="1" x14ac:dyDescent="0.3">
      <c r="B927" s="152"/>
      <c r="D927" s="39"/>
    </row>
    <row r="928" spans="2:4" ht="15.75" customHeight="1" x14ac:dyDescent="0.3">
      <c r="B928" s="152"/>
      <c r="D928" s="39"/>
    </row>
    <row r="929" spans="2:4" ht="15.75" customHeight="1" x14ac:dyDescent="0.3">
      <c r="B929" s="152"/>
      <c r="D929" s="39"/>
    </row>
    <row r="930" spans="2:4" ht="15.75" customHeight="1" x14ac:dyDescent="0.3">
      <c r="B930" s="152"/>
      <c r="D930" s="39"/>
    </row>
    <row r="931" spans="2:4" ht="15.75" customHeight="1" x14ac:dyDescent="0.3">
      <c r="B931" s="152"/>
      <c r="D931" s="39"/>
    </row>
    <row r="932" spans="2:4" ht="15.75" customHeight="1" x14ac:dyDescent="0.3">
      <c r="B932" s="152"/>
      <c r="D932" s="39"/>
    </row>
    <row r="933" spans="2:4" ht="15.75" customHeight="1" x14ac:dyDescent="0.3">
      <c r="B933" s="152"/>
      <c r="D933" s="39"/>
    </row>
    <row r="934" spans="2:4" ht="15.75" customHeight="1" x14ac:dyDescent="0.3">
      <c r="B934" s="152"/>
      <c r="D934" s="39"/>
    </row>
    <row r="935" spans="2:4" ht="15.75" customHeight="1" x14ac:dyDescent="0.3">
      <c r="B935" s="152"/>
      <c r="D935" s="39"/>
    </row>
    <row r="936" spans="2:4" ht="15.75" customHeight="1" x14ac:dyDescent="0.3">
      <c r="B936" s="152"/>
      <c r="D936" s="39"/>
    </row>
    <row r="937" spans="2:4" ht="15.75" customHeight="1" x14ac:dyDescent="0.3">
      <c r="B937" s="152"/>
      <c r="D937" s="39"/>
    </row>
    <row r="938" spans="2:4" ht="15.75" customHeight="1" x14ac:dyDescent="0.3">
      <c r="B938" s="152"/>
      <c r="D938" s="39"/>
    </row>
    <row r="939" spans="2:4" ht="15.75" customHeight="1" x14ac:dyDescent="0.3">
      <c r="B939" s="152"/>
      <c r="D939" s="39"/>
    </row>
    <row r="940" spans="2:4" ht="15.75" customHeight="1" x14ac:dyDescent="0.3">
      <c r="B940" s="152"/>
      <c r="D940" s="39"/>
    </row>
    <row r="941" spans="2:4" ht="15.75" customHeight="1" x14ac:dyDescent="0.3">
      <c r="B941" s="152"/>
      <c r="D941" s="39"/>
    </row>
    <row r="942" spans="2:4" ht="15.75" customHeight="1" x14ac:dyDescent="0.3">
      <c r="B942" s="152"/>
      <c r="D942" s="39"/>
    </row>
    <row r="943" spans="2:4" ht="15.75" customHeight="1" x14ac:dyDescent="0.3">
      <c r="B943" s="152"/>
      <c r="D943" s="39"/>
    </row>
    <row r="944" spans="2:4" ht="15.75" customHeight="1" x14ac:dyDescent="0.3">
      <c r="B944" s="152"/>
      <c r="D944" s="39"/>
    </row>
    <row r="945" spans="2:4" ht="15.75" customHeight="1" x14ac:dyDescent="0.3">
      <c r="B945" s="152"/>
      <c r="D945" s="39"/>
    </row>
    <row r="946" spans="2:4" ht="15.75" customHeight="1" x14ac:dyDescent="0.3">
      <c r="B946" s="152"/>
      <c r="D946" s="39"/>
    </row>
    <row r="947" spans="2:4" ht="15.75" customHeight="1" x14ac:dyDescent="0.3">
      <c r="B947" s="152"/>
      <c r="D947" s="39"/>
    </row>
    <row r="948" spans="2:4" ht="15.75" customHeight="1" x14ac:dyDescent="0.3">
      <c r="B948" s="152"/>
      <c r="D948" s="39"/>
    </row>
    <row r="949" spans="2:4" ht="15.75" customHeight="1" x14ac:dyDescent="0.3">
      <c r="B949" s="152"/>
      <c r="D949" s="39"/>
    </row>
    <row r="950" spans="2:4" ht="15.75" customHeight="1" x14ac:dyDescent="0.3">
      <c r="B950" s="152"/>
      <c r="D950" s="39"/>
    </row>
    <row r="951" spans="2:4" ht="15.75" customHeight="1" x14ac:dyDescent="0.3">
      <c r="B951" s="152"/>
      <c r="D951" s="39"/>
    </row>
    <row r="952" spans="2:4" ht="15.75" customHeight="1" x14ac:dyDescent="0.3">
      <c r="B952" s="152"/>
      <c r="D952" s="39"/>
    </row>
    <row r="953" spans="2:4" ht="15.75" customHeight="1" x14ac:dyDescent="0.3">
      <c r="B953" s="152"/>
      <c r="D953" s="39"/>
    </row>
    <row r="954" spans="2:4" ht="15.75" customHeight="1" x14ac:dyDescent="0.3">
      <c r="B954" s="152"/>
      <c r="D954" s="39"/>
    </row>
    <row r="955" spans="2:4" ht="15.75" customHeight="1" x14ac:dyDescent="0.3">
      <c r="B955" s="152"/>
      <c r="D955" s="39"/>
    </row>
    <row r="956" spans="2:4" ht="15.75" customHeight="1" x14ac:dyDescent="0.3">
      <c r="B956" s="152"/>
      <c r="D956" s="39"/>
    </row>
    <row r="957" spans="2:4" ht="15.75" customHeight="1" x14ac:dyDescent="0.3">
      <c r="B957" s="152"/>
      <c r="D957" s="39"/>
    </row>
    <row r="958" spans="2:4" ht="15.75" customHeight="1" x14ac:dyDescent="0.3">
      <c r="B958" s="152"/>
      <c r="D958" s="39"/>
    </row>
    <row r="959" spans="2:4" ht="15.75" customHeight="1" x14ac:dyDescent="0.3">
      <c r="B959" s="152"/>
      <c r="D959" s="39"/>
    </row>
    <row r="960" spans="2:4" ht="15.75" customHeight="1" x14ac:dyDescent="0.3">
      <c r="B960" s="152"/>
      <c r="D960" s="39"/>
    </row>
    <row r="961" spans="2:4" ht="15.75" customHeight="1" x14ac:dyDescent="0.3">
      <c r="B961" s="152"/>
      <c r="D961" s="39"/>
    </row>
    <row r="962" spans="2:4" ht="15.75" customHeight="1" x14ac:dyDescent="0.3">
      <c r="B962" s="152"/>
      <c r="D962" s="39"/>
    </row>
    <row r="963" spans="2:4" ht="15.75" customHeight="1" x14ac:dyDescent="0.3">
      <c r="B963" s="152"/>
      <c r="D963" s="39"/>
    </row>
    <row r="964" spans="2:4" ht="15.75" customHeight="1" x14ac:dyDescent="0.3">
      <c r="B964" s="152"/>
      <c r="D964" s="39"/>
    </row>
    <row r="965" spans="2:4" ht="15.75" customHeight="1" x14ac:dyDescent="0.3">
      <c r="B965" s="152"/>
      <c r="D965" s="39"/>
    </row>
    <row r="966" spans="2:4" ht="15.75" customHeight="1" x14ac:dyDescent="0.3">
      <c r="B966" s="152"/>
      <c r="D966" s="39"/>
    </row>
    <row r="967" spans="2:4" ht="15.75" customHeight="1" x14ac:dyDescent="0.3">
      <c r="B967" s="152"/>
      <c r="D967" s="39"/>
    </row>
    <row r="968" spans="2:4" ht="15.75" customHeight="1" x14ac:dyDescent="0.3">
      <c r="B968" s="152"/>
      <c r="D968" s="39"/>
    </row>
    <row r="969" spans="2:4" ht="15.75" customHeight="1" x14ac:dyDescent="0.3">
      <c r="B969" s="152"/>
      <c r="D969" s="39"/>
    </row>
    <row r="970" spans="2:4" ht="15.75" customHeight="1" x14ac:dyDescent="0.3">
      <c r="B970" s="152"/>
      <c r="D970" s="39"/>
    </row>
    <row r="971" spans="2:4" ht="15.75" customHeight="1" x14ac:dyDescent="0.3">
      <c r="B971" s="152"/>
      <c r="D971" s="39"/>
    </row>
    <row r="972" spans="2:4" ht="15.75" customHeight="1" x14ac:dyDescent="0.3">
      <c r="B972" s="152"/>
      <c r="D972" s="39"/>
    </row>
    <row r="973" spans="2:4" ht="15.75" customHeight="1" x14ac:dyDescent="0.3">
      <c r="B973" s="152"/>
      <c r="D973" s="39"/>
    </row>
    <row r="974" spans="2:4" ht="15.75" customHeight="1" x14ac:dyDescent="0.3">
      <c r="B974" s="152"/>
      <c r="D974" s="39"/>
    </row>
    <row r="975" spans="2:4" ht="15.75" customHeight="1" x14ac:dyDescent="0.3">
      <c r="B975" s="152"/>
      <c r="D975" s="39"/>
    </row>
    <row r="976" spans="2:4" ht="15.75" customHeight="1" x14ac:dyDescent="0.3">
      <c r="B976" s="152"/>
      <c r="D976" s="39"/>
    </row>
    <row r="977" spans="2:4" ht="15.75" customHeight="1" x14ac:dyDescent="0.3">
      <c r="B977" s="152"/>
      <c r="D977" s="39"/>
    </row>
    <row r="978" spans="2:4" ht="15.75" customHeight="1" x14ac:dyDescent="0.3">
      <c r="B978" s="152"/>
      <c r="D978" s="39"/>
    </row>
    <row r="979" spans="2:4" ht="15.75" customHeight="1" x14ac:dyDescent="0.3">
      <c r="B979" s="152"/>
      <c r="D979" s="39"/>
    </row>
    <row r="980" spans="2:4" ht="15.75" customHeight="1" x14ac:dyDescent="0.3">
      <c r="B980" s="152"/>
      <c r="D980" s="39"/>
    </row>
    <row r="981" spans="2:4" ht="15.75" customHeight="1" x14ac:dyDescent="0.3">
      <c r="B981" s="152"/>
      <c r="D981" s="39"/>
    </row>
    <row r="982" spans="2:4" ht="15.75" customHeight="1" x14ac:dyDescent="0.3">
      <c r="B982" s="152"/>
      <c r="D982" s="39"/>
    </row>
    <row r="983" spans="2:4" ht="15.75" customHeight="1" x14ac:dyDescent="0.3">
      <c r="B983" s="152"/>
      <c r="D983" s="39"/>
    </row>
    <row r="984" spans="2:4" ht="15.75" customHeight="1" x14ac:dyDescent="0.3">
      <c r="B984" s="152"/>
      <c r="D984" s="39"/>
    </row>
    <row r="985" spans="2:4" ht="15.75" customHeight="1" x14ac:dyDescent="0.3">
      <c r="B985" s="152"/>
      <c r="D985" s="39"/>
    </row>
    <row r="986" spans="2:4" ht="15.75" customHeight="1" x14ac:dyDescent="0.3">
      <c r="B986" s="152"/>
      <c r="D986" s="39"/>
    </row>
    <row r="987" spans="2:4" ht="15.75" customHeight="1" x14ac:dyDescent="0.3">
      <c r="B987" s="152"/>
      <c r="D987" s="39"/>
    </row>
    <row r="988" spans="2:4" ht="15.75" customHeight="1" x14ac:dyDescent="0.3">
      <c r="B988" s="152"/>
      <c r="D988" s="39"/>
    </row>
    <row r="989" spans="2:4" ht="15.75" customHeight="1" x14ac:dyDescent="0.3">
      <c r="B989" s="152"/>
      <c r="D989" s="39"/>
    </row>
    <row r="990" spans="2:4" ht="15.75" customHeight="1" x14ac:dyDescent="0.3">
      <c r="B990" s="152"/>
      <c r="D990" s="39"/>
    </row>
    <row r="991" spans="2:4" ht="15.75" customHeight="1" x14ac:dyDescent="0.3">
      <c r="B991" s="152"/>
      <c r="D991" s="39"/>
    </row>
    <row r="992" spans="2:4" ht="15.75" customHeight="1" x14ac:dyDescent="0.3">
      <c r="B992" s="152"/>
      <c r="D992" s="39"/>
    </row>
    <row r="993" spans="2:4" ht="15.75" customHeight="1" x14ac:dyDescent="0.3">
      <c r="B993" s="152"/>
      <c r="D993" s="39"/>
    </row>
    <row r="994" spans="2:4" ht="15.75" customHeight="1" x14ac:dyDescent="0.3">
      <c r="B994" s="152"/>
      <c r="D994" s="39"/>
    </row>
    <row r="995" spans="2:4" ht="15.75" customHeight="1" x14ac:dyDescent="0.3">
      <c r="B995" s="152"/>
      <c r="D995" s="39"/>
    </row>
    <row r="996" spans="2:4" ht="15.75" customHeight="1" x14ac:dyDescent="0.3">
      <c r="B996" s="152"/>
      <c r="D996" s="39"/>
    </row>
    <row r="997" spans="2:4" ht="15.75" customHeight="1" x14ac:dyDescent="0.3">
      <c r="B997" s="152"/>
      <c r="D997" s="39"/>
    </row>
    <row r="998" spans="2:4" ht="15.75" customHeight="1" x14ac:dyDescent="0.3">
      <c r="B998" s="152"/>
      <c r="D998" s="39"/>
    </row>
    <row r="999" spans="2:4" ht="15.75" customHeight="1" x14ac:dyDescent="0.3">
      <c r="B999" s="152"/>
      <c r="D999" s="39"/>
    </row>
    <row r="1000" spans="2:4" ht="15.75" customHeight="1" x14ac:dyDescent="0.3">
      <c r="B1000" s="152"/>
      <c r="D1000" s="39"/>
    </row>
  </sheetData>
  <mergeCells count="8">
    <mergeCell ref="A2:R2"/>
    <mergeCell ref="A3:B3"/>
    <mergeCell ref="A5:A6"/>
    <mergeCell ref="B5:B6"/>
    <mergeCell ref="C5:C6"/>
    <mergeCell ref="D5:D6"/>
    <mergeCell ref="E5:E6"/>
    <mergeCell ref="F5:R5"/>
  </mergeCells>
  <pageMargins left="0.7" right="0.7" top="0.75" bottom="0.75" header="0" footer="0"/>
  <pageSetup paperSize="9" orientation="portrait"/>
  <headerFooter>
    <oddFooter>&amp;L000000Open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82" workbookViewId="0">
      <selection activeCell="C94" sqref="C94"/>
    </sheetView>
  </sheetViews>
  <sheetFormatPr defaultColWidth="14.44140625" defaultRowHeight="15" customHeight="1" x14ac:dyDescent="0.3"/>
  <cols>
    <col min="1" max="1" width="8.44140625" style="148" customWidth="1"/>
    <col min="2" max="2" width="8.77734375" style="148" customWidth="1"/>
    <col min="3" max="3" width="31.88671875" customWidth="1"/>
    <col min="4" max="4" width="13.44140625" customWidth="1"/>
    <col min="5" max="5" width="10" customWidth="1"/>
    <col min="6" max="6" width="6.88671875" customWidth="1"/>
    <col min="7" max="7" width="5.6640625" customWidth="1"/>
    <col min="8" max="8" width="4.44140625" customWidth="1"/>
    <col min="9" max="9" width="4.109375" customWidth="1"/>
    <col min="10" max="10" width="5.109375" customWidth="1"/>
    <col min="11" max="11" width="4.33203125" customWidth="1"/>
    <col min="12" max="12" width="3.88671875" customWidth="1"/>
    <col min="13" max="14" width="4.88671875" customWidth="1"/>
    <col min="15" max="15" width="5" customWidth="1"/>
    <col min="16" max="16" width="4.6640625" customWidth="1"/>
    <col min="17" max="17" width="4.88671875" customWidth="1"/>
    <col min="18" max="18" width="6.88671875" customWidth="1"/>
    <col min="19" max="20" width="10.6640625" customWidth="1"/>
    <col min="21" max="21" width="16.5546875" customWidth="1"/>
    <col min="22" max="22" width="10.6640625" customWidth="1"/>
    <col min="23" max="23" width="19.5546875" customWidth="1"/>
    <col min="24" max="26" width="10.6640625" customWidth="1"/>
  </cols>
  <sheetData>
    <row r="1" spans="1:26" ht="14.4" x14ac:dyDescent="0.3">
      <c r="B1" s="152"/>
      <c r="D1" s="39"/>
    </row>
    <row r="2" spans="1:26" ht="21" x14ac:dyDescent="0.4">
      <c r="A2" s="376" t="s">
        <v>686</v>
      </c>
      <c r="B2" s="377"/>
      <c r="C2" s="377"/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40"/>
    </row>
    <row r="3" spans="1:26" ht="21" x14ac:dyDescent="0.4">
      <c r="A3" s="376" t="s">
        <v>687</v>
      </c>
      <c r="B3" s="377"/>
      <c r="C3" s="41">
        <f>E143+R143</f>
        <v>6860</v>
      </c>
      <c r="D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V3" s="20" t="e">
        <f>#REF!</f>
        <v>#REF!</v>
      </c>
      <c r="W3" s="42" t="e">
        <f>V3-C3</f>
        <v>#REF!</v>
      </c>
      <c r="Y3" s="20">
        <v>4360</v>
      </c>
    </row>
    <row r="4" spans="1:26" ht="14.4" x14ac:dyDescent="0.3">
      <c r="B4" s="152"/>
      <c r="D4" s="39"/>
      <c r="Y4" s="20">
        <v>408</v>
      </c>
    </row>
    <row r="5" spans="1:26" ht="14.4" x14ac:dyDescent="0.3">
      <c r="A5" s="378" t="s">
        <v>3</v>
      </c>
      <c r="B5" s="380" t="s">
        <v>688</v>
      </c>
      <c r="C5" s="378" t="s">
        <v>689</v>
      </c>
      <c r="D5" s="380" t="s">
        <v>690</v>
      </c>
      <c r="E5" s="385" t="s">
        <v>691</v>
      </c>
      <c r="F5" s="382" t="s">
        <v>692</v>
      </c>
      <c r="G5" s="383"/>
      <c r="H5" s="383"/>
      <c r="I5" s="383"/>
      <c r="J5" s="383"/>
      <c r="K5" s="383"/>
      <c r="L5" s="383"/>
      <c r="M5" s="383"/>
      <c r="N5" s="383"/>
      <c r="O5" s="383"/>
      <c r="P5" s="383"/>
      <c r="Q5" s="383"/>
      <c r="R5" s="384"/>
      <c r="S5" s="63"/>
    </row>
    <row r="6" spans="1:26" ht="14.4" x14ac:dyDescent="0.3">
      <c r="A6" s="381"/>
      <c r="B6" s="381"/>
      <c r="C6" s="379"/>
      <c r="D6" s="379"/>
      <c r="E6" s="386"/>
      <c r="F6" s="43" t="s">
        <v>693</v>
      </c>
      <c r="G6" s="43" t="s">
        <v>694</v>
      </c>
      <c r="H6" s="43" t="s">
        <v>695</v>
      </c>
      <c r="I6" s="43" t="s">
        <v>696</v>
      </c>
      <c r="J6" s="43" t="s">
        <v>697</v>
      </c>
      <c r="K6" s="43" t="s">
        <v>698</v>
      </c>
      <c r="L6" s="43" t="s">
        <v>699</v>
      </c>
      <c r="M6" s="43" t="s">
        <v>700</v>
      </c>
      <c r="N6" s="43" t="s">
        <v>701</v>
      </c>
      <c r="O6" s="43" t="s">
        <v>702</v>
      </c>
      <c r="P6" s="43" t="s">
        <v>703</v>
      </c>
      <c r="Q6" s="43" t="s">
        <v>704</v>
      </c>
      <c r="R6" s="43" t="s">
        <v>705</v>
      </c>
      <c r="S6" s="64"/>
      <c r="Y6" s="20">
        <f>Y3+Y4+Y5</f>
        <v>4768</v>
      </c>
    </row>
    <row r="7" spans="1:26" ht="14.4" x14ac:dyDescent="0.3">
      <c r="A7" s="120">
        <v>1</v>
      </c>
      <c r="B7" s="360" t="s">
        <v>636</v>
      </c>
      <c r="C7" s="86" t="s">
        <v>638</v>
      </c>
      <c r="D7" s="72" t="s">
        <v>706</v>
      </c>
      <c r="E7" s="74"/>
      <c r="F7" s="74">
        <v>10</v>
      </c>
      <c r="G7" s="74">
        <v>10</v>
      </c>
      <c r="H7" s="74">
        <v>10</v>
      </c>
      <c r="I7" s="74">
        <v>10</v>
      </c>
      <c r="J7" s="74">
        <v>10</v>
      </c>
      <c r="K7" s="74">
        <v>10</v>
      </c>
      <c r="L7" s="74">
        <v>10</v>
      </c>
      <c r="M7" s="74">
        <v>10</v>
      </c>
      <c r="N7" s="74">
        <v>10</v>
      </c>
      <c r="O7" s="74">
        <v>10</v>
      </c>
      <c r="P7" s="74">
        <v>10</v>
      </c>
      <c r="Q7" s="74">
        <v>10</v>
      </c>
      <c r="R7" s="74">
        <f>SUM(F7:Q7)</f>
        <v>120</v>
      </c>
      <c r="S7" s="75"/>
      <c r="T7" s="75" t="s">
        <v>979</v>
      </c>
      <c r="U7" s="75"/>
      <c r="V7" s="76"/>
      <c r="Y7" s="20">
        <v>276.8</v>
      </c>
    </row>
    <row r="8" spans="1:26" ht="14.4" x14ac:dyDescent="0.3">
      <c r="A8" s="120">
        <v>2</v>
      </c>
      <c r="B8" s="206" t="s">
        <v>455</v>
      </c>
      <c r="C8" s="44" t="s">
        <v>708</v>
      </c>
      <c r="D8" s="47" t="s">
        <v>709</v>
      </c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65"/>
      <c r="S8" s="53"/>
      <c r="Y8" s="20">
        <f>Y6-Y7</f>
        <v>4491.2</v>
      </c>
    </row>
    <row r="9" spans="1:26" ht="14.4" x14ac:dyDescent="0.3">
      <c r="A9" s="120">
        <v>3</v>
      </c>
      <c r="B9" s="364" t="s">
        <v>103</v>
      </c>
      <c r="C9" s="90" t="s">
        <v>936</v>
      </c>
      <c r="D9" s="88" t="s">
        <v>711</v>
      </c>
      <c r="E9" s="90"/>
      <c r="F9" s="90">
        <v>10</v>
      </c>
      <c r="G9" s="90">
        <v>10</v>
      </c>
      <c r="H9" s="90">
        <v>10</v>
      </c>
      <c r="I9" s="90">
        <v>10</v>
      </c>
      <c r="J9" s="90">
        <v>10</v>
      </c>
      <c r="K9" s="90">
        <v>10</v>
      </c>
      <c r="L9" s="90">
        <v>10</v>
      </c>
      <c r="M9" s="90">
        <v>10</v>
      </c>
      <c r="N9" s="90">
        <v>10</v>
      </c>
      <c r="O9" s="90">
        <v>10</v>
      </c>
      <c r="P9" s="90">
        <v>10</v>
      </c>
      <c r="Q9" s="90">
        <v>10</v>
      </c>
      <c r="R9" s="90">
        <f>SUM(F9:Q9)</f>
        <v>120</v>
      </c>
      <c r="S9" s="92"/>
      <c r="T9" s="92" t="s">
        <v>937</v>
      </c>
      <c r="U9" s="92"/>
      <c r="V9" s="76"/>
    </row>
    <row r="10" spans="1:26" ht="14.4" x14ac:dyDescent="0.3">
      <c r="A10" s="120">
        <v>4</v>
      </c>
      <c r="B10" s="153" t="s">
        <v>283</v>
      </c>
      <c r="C10" s="44" t="s">
        <v>712</v>
      </c>
      <c r="D10" s="47" t="s">
        <v>713</v>
      </c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53"/>
    </row>
    <row r="11" spans="1:26" ht="14.4" x14ac:dyDescent="0.3">
      <c r="A11" s="120">
        <v>5</v>
      </c>
      <c r="B11" s="153" t="s">
        <v>39</v>
      </c>
      <c r="C11" s="14" t="s">
        <v>715</v>
      </c>
      <c r="D11" s="47" t="s">
        <v>716</v>
      </c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65"/>
      <c r="S11" s="53"/>
    </row>
    <row r="12" spans="1:26" ht="14.4" x14ac:dyDescent="0.3">
      <c r="A12" s="120">
        <v>6</v>
      </c>
      <c r="B12" s="362" t="s">
        <v>200</v>
      </c>
      <c r="C12" s="19" t="s">
        <v>202</v>
      </c>
      <c r="D12" s="77" t="s">
        <v>718</v>
      </c>
      <c r="E12" s="78"/>
      <c r="F12" s="74">
        <v>10</v>
      </c>
      <c r="G12" s="74">
        <v>10</v>
      </c>
      <c r="H12" s="74">
        <v>10</v>
      </c>
      <c r="I12" s="74">
        <v>10</v>
      </c>
      <c r="J12" s="74">
        <v>10</v>
      </c>
      <c r="K12" s="74">
        <v>10</v>
      </c>
      <c r="L12" s="74">
        <v>10</v>
      </c>
      <c r="M12" s="74">
        <v>10</v>
      </c>
      <c r="N12" s="74">
        <v>10</v>
      </c>
      <c r="O12" s="74">
        <v>10</v>
      </c>
      <c r="P12" s="74">
        <v>10</v>
      </c>
      <c r="Q12" s="74">
        <v>10</v>
      </c>
      <c r="R12" s="74">
        <f t="shared" ref="R12:R16" si="0">SUM(F12:Q12)</f>
        <v>120</v>
      </c>
      <c r="S12" s="75"/>
      <c r="T12" s="75" t="s">
        <v>980</v>
      </c>
      <c r="U12" s="75"/>
      <c r="V12" s="76"/>
    </row>
    <row r="13" spans="1:26" ht="14.4" x14ac:dyDescent="0.3">
      <c r="A13" s="120">
        <v>7</v>
      </c>
      <c r="B13" s="363" t="s">
        <v>402</v>
      </c>
      <c r="C13" s="74" t="s">
        <v>720</v>
      </c>
      <c r="D13" s="72" t="s">
        <v>963</v>
      </c>
      <c r="E13" s="74"/>
      <c r="F13" s="74">
        <v>10</v>
      </c>
      <c r="G13" s="74">
        <v>10</v>
      </c>
      <c r="H13" s="74">
        <v>10</v>
      </c>
      <c r="I13" s="74">
        <v>10</v>
      </c>
      <c r="J13" s="74">
        <v>10</v>
      </c>
      <c r="K13" s="74">
        <v>10</v>
      </c>
      <c r="L13" s="74">
        <v>10</v>
      </c>
      <c r="M13" s="74">
        <v>10</v>
      </c>
      <c r="N13" s="74">
        <v>10</v>
      </c>
      <c r="O13" s="74">
        <v>10</v>
      </c>
      <c r="P13" s="74">
        <v>10</v>
      </c>
      <c r="Q13" s="74">
        <v>10</v>
      </c>
      <c r="R13" s="74">
        <f t="shared" si="0"/>
        <v>120</v>
      </c>
      <c r="S13" s="75"/>
      <c r="T13" s="75" t="s">
        <v>981</v>
      </c>
      <c r="U13" s="75"/>
      <c r="V13" s="76"/>
    </row>
    <row r="14" spans="1:26" ht="14.4" x14ac:dyDescent="0.3">
      <c r="A14" s="120">
        <v>8</v>
      </c>
      <c r="B14" s="363" t="s">
        <v>54</v>
      </c>
      <c r="C14" s="86" t="s">
        <v>56</v>
      </c>
      <c r="D14" s="72" t="s">
        <v>722</v>
      </c>
      <c r="E14" s="74"/>
      <c r="F14" s="74">
        <v>10</v>
      </c>
      <c r="G14" s="74">
        <v>10</v>
      </c>
      <c r="H14" s="74">
        <v>10</v>
      </c>
      <c r="I14" s="74">
        <v>10</v>
      </c>
      <c r="J14" s="74">
        <v>10</v>
      </c>
      <c r="K14" s="74">
        <v>10</v>
      </c>
      <c r="L14" s="74">
        <v>10</v>
      </c>
      <c r="M14" s="74">
        <v>10</v>
      </c>
      <c r="N14" s="74">
        <v>10</v>
      </c>
      <c r="O14" s="74">
        <v>10</v>
      </c>
      <c r="P14" s="74">
        <v>10</v>
      </c>
      <c r="Q14" s="74">
        <v>10</v>
      </c>
      <c r="R14" s="74">
        <f t="shared" si="0"/>
        <v>120</v>
      </c>
      <c r="S14" s="75"/>
      <c r="T14" s="75" t="s">
        <v>982</v>
      </c>
      <c r="U14" s="75"/>
      <c r="V14" s="76"/>
      <c r="W14" s="53"/>
      <c r="X14" s="53"/>
      <c r="Y14" s="53"/>
      <c r="Z14" s="53"/>
    </row>
    <row r="15" spans="1:26" ht="14.4" x14ac:dyDescent="0.3">
      <c r="A15" s="120">
        <v>9</v>
      </c>
      <c r="B15" s="364" t="s">
        <v>423</v>
      </c>
      <c r="C15" s="90" t="s">
        <v>425</v>
      </c>
      <c r="D15" s="88" t="s">
        <v>723</v>
      </c>
      <c r="E15" s="90"/>
      <c r="F15" s="90">
        <v>10</v>
      </c>
      <c r="G15" s="90">
        <v>10</v>
      </c>
      <c r="H15" s="90">
        <v>10</v>
      </c>
      <c r="I15" s="90">
        <v>10</v>
      </c>
      <c r="J15" s="90">
        <v>10</v>
      </c>
      <c r="K15" s="90">
        <v>10</v>
      </c>
      <c r="L15" s="90">
        <v>10</v>
      </c>
      <c r="M15" s="90">
        <v>10</v>
      </c>
      <c r="N15" s="90">
        <v>10</v>
      </c>
      <c r="O15" s="90">
        <v>10</v>
      </c>
      <c r="P15" s="90">
        <v>10</v>
      </c>
      <c r="Q15" s="90">
        <v>10</v>
      </c>
      <c r="R15" s="90">
        <f t="shared" si="0"/>
        <v>120</v>
      </c>
      <c r="S15" s="92"/>
      <c r="T15" s="92" t="s">
        <v>983</v>
      </c>
      <c r="U15" s="92"/>
      <c r="V15" s="92"/>
    </row>
    <row r="16" spans="1:26" ht="14.4" x14ac:dyDescent="0.3">
      <c r="A16" s="120">
        <v>10</v>
      </c>
      <c r="B16" s="153" t="s">
        <v>430</v>
      </c>
      <c r="C16" s="86" t="s">
        <v>432</v>
      </c>
      <c r="D16" s="72" t="s">
        <v>724</v>
      </c>
      <c r="E16" s="74"/>
      <c r="F16" s="74">
        <v>10</v>
      </c>
      <c r="G16" s="74">
        <v>10</v>
      </c>
      <c r="H16" s="74">
        <v>10</v>
      </c>
      <c r="I16" s="74">
        <v>10</v>
      </c>
      <c r="J16" s="74">
        <v>10</v>
      </c>
      <c r="K16" s="74">
        <v>10</v>
      </c>
      <c r="L16" s="74">
        <v>10</v>
      </c>
      <c r="M16" s="74">
        <v>10</v>
      </c>
      <c r="N16" s="74">
        <v>10</v>
      </c>
      <c r="O16" s="74">
        <v>10</v>
      </c>
      <c r="P16" s="74">
        <v>10</v>
      </c>
      <c r="Q16" s="74">
        <v>10</v>
      </c>
      <c r="R16" s="74">
        <f t="shared" si="0"/>
        <v>120</v>
      </c>
      <c r="S16" s="75"/>
      <c r="T16" s="75" t="s">
        <v>971</v>
      </c>
      <c r="U16" s="75"/>
      <c r="V16" s="76"/>
    </row>
    <row r="17" spans="1:22" ht="14.4" x14ac:dyDescent="0.3">
      <c r="A17" s="120">
        <v>11</v>
      </c>
      <c r="B17" s="153" t="s">
        <v>72</v>
      </c>
      <c r="C17" s="14" t="s">
        <v>74</v>
      </c>
      <c r="D17" s="47" t="s">
        <v>725</v>
      </c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53"/>
    </row>
    <row r="18" spans="1:22" ht="14.4" x14ac:dyDescent="0.3">
      <c r="A18" s="120">
        <v>12</v>
      </c>
      <c r="B18" s="153" t="s">
        <v>335</v>
      </c>
      <c r="C18" s="14" t="s">
        <v>337</v>
      </c>
      <c r="D18" s="47" t="s">
        <v>726</v>
      </c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65"/>
      <c r="S18" s="53"/>
    </row>
    <row r="19" spans="1:22" ht="14.4" x14ac:dyDescent="0.3">
      <c r="A19" s="120">
        <v>13</v>
      </c>
      <c r="B19" s="363" t="s">
        <v>519</v>
      </c>
      <c r="C19" s="74" t="s">
        <v>521</v>
      </c>
      <c r="D19" s="72" t="s">
        <v>727</v>
      </c>
      <c r="E19" s="74"/>
      <c r="F19" s="74">
        <v>10</v>
      </c>
      <c r="G19" s="74">
        <v>10</v>
      </c>
      <c r="H19" s="74">
        <v>10</v>
      </c>
      <c r="I19" s="74">
        <v>10</v>
      </c>
      <c r="J19" s="74">
        <v>10</v>
      </c>
      <c r="K19" s="74">
        <v>10</v>
      </c>
      <c r="L19" s="74">
        <v>10</v>
      </c>
      <c r="M19" s="74">
        <v>10</v>
      </c>
      <c r="N19" s="74">
        <v>10</v>
      </c>
      <c r="O19" s="74">
        <v>10</v>
      </c>
      <c r="P19" s="74">
        <v>10</v>
      </c>
      <c r="Q19" s="74">
        <v>10</v>
      </c>
      <c r="R19" s="74">
        <f t="shared" ref="R19:R20" si="1">SUM(F19:Q19)</f>
        <v>120</v>
      </c>
      <c r="S19" s="75"/>
      <c r="T19" s="75" t="s">
        <v>984</v>
      </c>
      <c r="U19" s="75"/>
      <c r="V19" s="76"/>
    </row>
    <row r="20" spans="1:22" ht="14.4" x14ac:dyDescent="0.3">
      <c r="A20" s="120">
        <v>14</v>
      </c>
      <c r="B20" s="363" t="s">
        <v>372</v>
      </c>
      <c r="C20" s="86" t="s">
        <v>374</v>
      </c>
      <c r="D20" s="72" t="s">
        <v>729</v>
      </c>
      <c r="E20" s="74"/>
      <c r="F20" s="74">
        <v>10</v>
      </c>
      <c r="G20" s="74">
        <v>10</v>
      </c>
      <c r="H20" s="74">
        <v>10</v>
      </c>
      <c r="I20" s="74">
        <v>10</v>
      </c>
      <c r="J20" s="74">
        <v>10</v>
      </c>
      <c r="K20" s="74">
        <v>10</v>
      </c>
      <c r="L20" s="74">
        <v>10</v>
      </c>
      <c r="M20" s="74">
        <v>10</v>
      </c>
      <c r="N20" s="74">
        <v>10</v>
      </c>
      <c r="O20" s="74">
        <v>10</v>
      </c>
      <c r="P20" s="74">
        <v>10</v>
      </c>
      <c r="Q20" s="74">
        <v>10</v>
      </c>
      <c r="R20" s="74">
        <f t="shared" si="1"/>
        <v>120</v>
      </c>
      <c r="S20" s="75"/>
      <c r="T20" s="75" t="s">
        <v>956</v>
      </c>
      <c r="U20" s="75"/>
      <c r="V20" s="76"/>
    </row>
    <row r="21" spans="1:22" ht="15.75" customHeight="1" x14ac:dyDescent="0.3">
      <c r="A21" s="120">
        <v>15</v>
      </c>
      <c r="B21" s="363" t="s">
        <v>79</v>
      </c>
      <c r="C21" s="74" t="s">
        <v>81</v>
      </c>
      <c r="D21" s="72" t="s">
        <v>730</v>
      </c>
      <c r="E21" s="74"/>
      <c r="F21" s="94">
        <v>10</v>
      </c>
      <c r="G21" s="95">
        <v>10</v>
      </c>
      <c r="H21" s="95">
        <v>10</v>
      </c>
      <c r="I21" s="95">
        <v>10</v>
      </c>
      <c r="J21" s="95">
        <v>10</v>
      </c>
      <c r="K21" s="95">
        <v>10</v>
      </c>
      <c r="L21" s="95">
        <v>10</v>
      </c>
      <c r="M21" s="95">
        <v>10</v>
      </c>
      <c r="N21" s="95">
        <v>10</v>
      </c>
      <c r="O21" s="95">
        <v>10</v>
      </c>
      <c r="P21" s="95">
        <v>10</v>
      </c>
      <c r="Q21" s="95">
        <v>10</v>
      </c>
      <c r="R21" s="95">
        <v>120</v>
      </c>
      <c r="S21" s="75"/>
      <c r="T21" s="96" t="s">
        <v>985</v>
      </c>
      <c r="U21" s="96"/>
      <c r="V21" s="76"/>
    </row>
    <row r="22" spans="1:22" ht="15.75" customHeight="1" x14ac:dyDescent="0.3">
      <c r="A22" s="120">
        <v>16</v>
      </c>
      <c r="B22" s="153" t="s">
        <v>232</v>
      </c>
      <c r="C22" s="14" t="s">
        <v>234</v>
      </c>
      <c r="D22" s="47" t="s">
        <v>731</v>
      </c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53"/>
    </row>
    <row r="23" spans="1:22" ht="15.75" customHeight="1" x14ac:dyDescent="0.3">
      <c r="A23" s="120">
        <v>17</v>
      </c>
      <c r="B23" s="153" t="s">
        <v>503</v>
      </c>
      <c r="C23" s="14" t="s">
        <v>505</v>
      </c>
      <c r="D23" s="47" t="s">
        <v>732</v>
      </c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53"/>
    </row>
    <row r="24" spans="1:22" ht="15.75" customHeight="1" x14ac:dyDescent="0.3">
      <c r="A24" s="120">
        <v>18</v>
      </c>
      <c r="B24" s="363" t="s">
        <v>556</v>
      </c>
      <c r="C24" s="97" t="s">
        <v>733</v>
      </c>
      <c r="D24" s="72" t="s">
        <v>734</v>
      </c>
      <c r="E24" s="74"/>
      <c r="F24" s="74">
        <v>10</v>
      </c>
      <c r="G24" s="74">
        <v>10</v>
      </c>
      <c r="H24" s="74">
        <v>10</v>
      </c>
      <c r="I24" s="74">
        <v>10</v>
      </c>
      <c r="J24" s="74">
        <v>10</v>
      </c>
      <c r="K24" s="74">
        <v>10</v>
      </c>
      <c r="L24" s="74">
        <v>10</v>
      </c>
      <c r="M24" s="74">
        <v>10</v>
      </c>
      <c r="N24" s="74">
        <v>10</v>
      </c>
      <c r="O24" s="74">
        <v>10</v>
      </c>
      <c r="P24" s="74">
        <v>10</v>
      </c>
      <c r="Q24" s="74">
        <v>10</v>
      </c>
      <c r="R24" s="74">
        <f>SUM(F24:Q24)</f>
        <v>120</v>
      </c>
      <c r="S24" s="75"/>
      <c r="T24" s="96" t="s">
        <v>915</v>
      </c>
      <c r="U24" s="96"/>
      <c r="V24" s="76"/>
    </row>
    <row r="25" spans="1:22" ht="15.75" customHeight="1" x14ac:dyDescent="0.3">
      <c r="A25" s="120">
        <v>19</v>
      </c>
      <c r="B25" s="153" t="s">
        <v>595</v>
      </c>
      <c r="C25" s="44" t="s">
        <v>735</v>
      </c>
      <c r="D25" s="47" t="s">
        <v>736</v>
      </c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53"/>
    </row>
    <row r="26" spans="1:22" ht="15.75" customHeight="1" x14ac:dyDescent="0.3">
      <c r="A26" s="120">
        <v>20</v>
      </c>
      <c r="B26" s="363" t="s">
        <v>524</v>
      </c>
      <c r="C26" s="86" t="s">
        <v>526</v>
      </c>
      <c r="D26" s="72" t="s">
        <v>737</v>
      </c>
      <c r="E26" s="74"/>
      <c r="F26" s="94">
        <v>10</v>
      </c>
      <c r="G26" s="95">
        <v>10</v>
      </c>
      <c r="H26" s="95">
        <v>10</v>
      </c>
      <c r="I26" s="95">
        <v>10</v>
      </c>
      <c r="J26" s="95">
        <v>10</v>
      </c>
      <c r="K26" s="95">
        <v>10</v>
      </c>
      <c r="L26" s="95">
        <v>10</v>
      </c>
      <c r="M26" s="95">
        <v>10</v>
      </c>
      <c r="N26" s="95">
        <v>10</v>
      </c>
      <c r="O26" s="95">
        <v>10</v>
      </c>
      <c r="P26" s="95">
        <v>10</v>
      </c>
      <c r="Q26" s="95">
        <v>10</v>
      </c>
      <c r="R26" s="95">
        <v>120</v>
      </c>
      <c r="S26" s="75"/>
      <c r="T26" s="75" t="s">
        <v>971</v>
      </c>
      <c r="U26" s="75"/>
      <c r="V26" s="76"/>
    </row>
    <row r="27" spans="1:22" ht="15.75" customHeight="1" x14ac:dyDescent="0.3">
      <c r="A27" s="120">
        <v>21</v>
      </c>
      <c r="B27" s="153" t="s">
        <v>532</v>
      </c>
      <c r="C27" s="14" t="s">
        <v>534</v>
      </c>
      <c r="D27" s="47" t="s">
        <v>738</v>
      </c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65"/>
      <c r="S27" s="53"/>
    </row>
    <row r="28" spans="1:22" ht="15.75" customHeight="1" x14ac:dyDescent="0.3">
      <c r="A28" s="120">
        <v>22</v>
      </c>
      <c r="B28" s="363" t="s">
        <v>653</v>
      </c>
      <c r="C28" s="86" t="s">
        <v>656</v>
      </c>
      <c r="D28" s="72" t="s">
        <v>739</v>
      </c>
      <c r="E28" s="74"/>
      <c r="F28" s="94">
        <v>10</v>
      </c>
      <c r="G28" s="95">
        <v>10</v>
      </c>
      <c r="H28" s="95">
        <v>10</v>
      </c>
      <c r="I28" s="95">
        <v>10</v>
      </c>
      <c r="J28" s="95">
        <v>10</v>
      </c>
      <c r="K28" s="95">
        <v>10</v>
      </c>
      <c r="L28" s="95">
        <v>10</v>
      </c>
      <c r="M28" s="95">
        <v>10</v>
      </c>
      <c r="N28" s="95">
        <v>10</v>
      </c>
      <c r="O28" s="95">
        <v>10</v>
      </c>
      <c r="P28" s="95">
        <v>10</v>
      </c>
      <c r="Q28" s="95">
        <v>10</v>
      </c>
      <c r="R28" s="95">
        <v>120</v>
      </c>
      <c r="S28" s="75"/>
      <c r="T28" s="75" t="s">
        <v>971</v>
      </c>
      <c r="U28" s="75"/>
      <c r="V28" s="76"/>
    </row>
    <row r="29" spans="1:22" ht="15.75" customHeight="1" x14ac:dyDescent="0.3">
      <c r="A29" s="120">
        <v>23</v>
      </c>
      <c r="B29" s="363" t="s">
        <v>678</v>
      </c>
      <c r="C29" s="86" t="s">
        <v>681</v>
      </c>
      <c r="D29" s="72" t="s">
        <v>740</v>
      </c>
      <c r="E29" s="74"/>
      <c r="F29" s="94">
        <v>10</v>
      </c>
      <c r="G29" s="95">
        <v>10</v>
      </c>
      <c r="H29" s="95">
        <v>10</v>
      </c>
      <c r="I29" s="95">
        <v>10</v>
      </c>
      <c r="J29" s="95">
        <v>10</v>
      </c>
      <c r="K29" s="95">
        <v>10</v>
      </c>
      <c r="L29" s="95">
        <v>10</v>
      </c>
      <c r="M29" s="95">
        <v>10</v>
      </c>
      <c r="N29" s="95">
        <v>10</v>
      </c>
      <c r="O29" s="95">
        <v>10</v>
      </c>
      <c r="P29" s="95">
        <v>10</v>
      </c>
      <c r="Q29" s="95">
        <v>10</v>
      </c>
      <c r="R29" s="95">
        <v>120</v>
      </c>
      <c r="S29" s="75"/>
      <c r="T29" s="75" t="s">
        <v>956</v>
      </c>
      <c r="U29" s="75"/>
    </row>
    <row r="30" spans="1:22" ht="15.75" customHeight="1" x14ac:dyDescent="0.3">
      <c r="A30" s="120">
        <v>24</v>
      </c>
      <c r="B30" s="363" t="s">
        <v>356</v>
      </c>
      <c r="C30" s="74" t="s">
        <v>986</v>
      </c>
      <c r="D30" s="72" t="s">
        <v>742</v>
      </c>
      <c r="E30" s="74"/>
      <c r="F30" s="94">
        <v>10</v>
      </c>
      <c r="G30" s="95">
        <v>10</v>
      </c>
      <c r="H30" s="95">
        <v>10</v>
      </c>
      <c r="I30" s="95">
        <v>10</v>
      </c>
      <c r="J30" s="95">
        <v>10</v>
      </c>
      <c r="K30" s="95">
        <v>10</v>
      </c>
      <c r="L30" s="95">
        <v>10</v>
      </c>
      <c r="M30" s="95">
        <v>10</v>
      </c>
      <c r="N30" s="95">
        <v>10</v>
      </c>
      <c r="O30" s="95">
        <v>10</v>
      </c>
      <c r="P30" s="95">
        <v>10</v>
      </c>
      <c r="Q30" s="95">
        <v>10</v>
      </c>
      <c r="R30" s="95">
        <v>120</v>
      </c>
      <c r="S30" s="75"/>
      <c r="T30" s="75" t="s">
        <v>956</v>
      </c>
      <c r="U30" s="75"/>
      <c r="V30" s="76"/>
    </row>
    <row r="31" spans="1:22" ht="15.75" customHeight="1" x14ac:dyDescent="0.3">
      <c r="A31" s="120">
        <v>25</v>
      </c>
      <c r="B31" s="363" t="s">
        <v>462</v>
      </c>
      <c r="C31" s="74" t="s">
        <v>743</v>
      </c>
      <c r="D31" s="72" t="s">
        <v>744</v>
      </c>
      <c r="E31" s="74"/>
      <c r="F31" s="94">
        <v>10</v>
      </c>
      <c r="G31" s="95">
        <v>10</v>
      </c>
      <c r="H31" s="95">
        <v>10</v>
      </c>
      <c r="I31" s="95">
        <v>10</v>
      </c>
      <c r="J31" s="95">
        <v>10</v>
      </c>
      <c r="K31" s="95">
        <v>10</v>
      </c>
      <c r="L31" s="95">
        <v>10</v>
      </c>
      <c r="M31" s="95">
        <v>10</v>
      </c>
      <c r="N31" s="95">
        <v>10</v>
      </c>
      <c r="O31" s="95">
        <v>10</v>
      </c>
      <c r="P31" s="95">
        <v>10</v>
      </c>
      <c r="Q31" s="95">
        <v>10</v>
      </c>
      <c r="R31" s="95">
        <v>120</v>
      </c>
      <c r="S31" s="75"/>
      <c r="T31" s="75" t="s">
        <v>956</v>
      </c>
      <c r="U31" s="75"/>
      <c r="V31" s="76"/>
    </row>
    <row r="32" spans="1:22" ht="15.75" customHeight="1" x14ac:dyDescent="0.3">
      <c r="A32" s="120">
        <v>26</v>
      </c>
      <c r="B32" s="153" t="s">
        <v>224</v>
      </c>
      <c r="C32" s="44" t="s">
        <v>745</v>
      </c>
      <c r="D32" s="47" t="s">
        <v>746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53"/>
    </row>
    <row r="33" spans="1:26" ht="15.75" customHeight="1" x14ac:dyDescent="0.3">
      <c r="A33" s="120">
        <v>27</v>
      </c>
      <c r="B33" s="363" t="s">
        <v>328</v>
      </c>
      <c r="C33" s="74" t="s">
        <v>329</v>
      </c>
      <c r="D33" s="72" t="s">
        <v>747</v>
      </c>
      <c r="E33" s="74"/>
      <c r="F33" s="94">
        <v>10</v>
      </c>
      <c r="G33" s="95">
        <v>10</v>
      </c>
      <c r="H33" s="95">
        <v>10</v>
      </c>
      <c r="I33" s="95">
        <v>10</v>
      </c>
      <c r="J33" s="95">
        <v>10</v>
      </c>
      <c r="K33" s="95">
        <v>10</v>
      </c>
      <c r="L33" s="95">
        <v>10</v>
      </c>
      <c r="M33" s="95">
        <v>10</v>
      </c>
      <c r="N33" s="95">
        <v>10</v>
      </c>
      <c r="O33" s="95">
        <v>10</v>
      </c>
      <c r="P33" s="95">
        <v>10</v>
      </c>
      <c r="Q33" s="95">
        <v>10</v>
      </c>
      <c r="R33" s="95">
        <v>120</v>
      </c>
      <c r="S33" s="75"/>
      <c r="T33" s="75" t="s">
        <v>971</v>
      </c>
      <c r="U33" s="75"/>
      <c r="V33" s="76"/>
    </row>
    <row r="34" spans="1:26" ht="15.75" customHeight="1" x14ac:dyDescent="0.3">
      <c r="A34" s="120">
        <v>28</v>
      </c>
      <c r="B34" s="362" t="s">
        <v>172</v>
      </c>
      <c r="C34" s="78" t="s">
        <v>174</v>
      </c>
      <c r="D34" s="77" t="s">
        <v>748</v>
      </c>
      <c r="E34" s="78"/>
      <c r="F34" s="94">
        <v>10</v>
      </c>
      <c r="G34" s="95">
        <v>10</v>
      </c>
      <c r="H34" s="95">
        <v>10</v>
      </c>
      <c r="I34" s="95">
        <v>10</v>
      </c>
      <c r="J34" s="95">
        <v>10</v>
      </c>
      <c r="K34" s="95">
        <v>10</v>
      </c>
      <c r="L34" s="95">
        <v>10</v>
      </c>
      <c r="M34" s="95">
        <v>10</v>
      </c>
      <c r="N34" s="95">
        <v>10</v>
      </c>
      <c r="O34" s="95">
        <v>10</v>
      </c>
      <c r="P34" s="95">
        <v>10</v>
      </c>
      <c r="Q34" s="95">
        <v>10</v>
      </c>
      <c r="R34" s="95">
        <v>120</v>
      </c>
      <c r="S34" s="75"/>
      <c r="T34" s="75" t="s">
        <v>987</v>
      </c>
      <c r="U34" s="75"/>
      <c r="V34" s="76"/>
    </row>
    <row r="35" spans="1:26" ht="15.75" customHeight="1" x14ac:dyDescent="0.3">
      <c r="A35" s="120">
        <v>29</v>
      </c>
      <c r="B35" s="153" t="s">
        <v>348</v>
      </c>
      <c r="C35" s="14" t="s">
        <v>749</v>
      </c>
      <c r="D35" s="47" t="s">
        <v>750</v>
      </c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53"/>
    </row>
    <row r="36" spans="1:26" ht="15.75" customHeight="1" x14ac:dyDescent="0.3">
      <c r="A36" s="120">
        <v>30</v>
      </c>
      <c r="B36" s="363" t="s">
        <v>85</v>
      </c>
      <c r="C36" s="74" t="s">
        <v>751</v>
      </c>
      <c r="D36" s="72" t="s">
        <v>752</v>
      </c>
      <c r="E36" s="74"/>
      <c r="F36" s="94">
        <v>10</v>
      </c>
      <c r="G36" s="95">
        <v>10</v>
      </c>
      <c r="H36" s="95">
        <v>10</v>
      </c>
      <c r="I36" s="95">
        <v>10</v>
      </c>
      <c r="J36" s="95">
        <v>10</v>
      </c>
      <c r="K36" s="95">
        <v>10</v>
      </c>
      <c r="L36" s="95">
        <v>10</v>
      </c>
      <c r="M36" s="95">
        <v>10</v>
      </c>
      <c r="N36" s="95">
        <v>10</v>
      </c>
      <c r="O36" s="95">
        <v>10</v>
      </c>
      <c r="P36" s="95">
        <v>10</v>
      </c>
      <c r="Q36" s="95">
        <v>10</v>
      </c>
      <c r="R36" s="95">
        <v>120</v>
      </c>
      <c r="S36" s="75"/>
      <c r="T36" s="75" t="s">
        <v>982</v>
      </c>
      <c r="U36" s="75"/>
      <c r="V36" s="76"/>
    </row>
    <row r="37" spans="1:26" ht="15.75" customHeight="1" x14ac:dyDescent="0.3">
      <c r="A37" s="120">
        <v>31</v>
      </c>
      <c r="B37" s="363" t="s">
        <v>577</v>
      </c>
      <c r="C37" s="86" t="s">
        <v>579</v>
      </c>
      <c r="D37" s="72" t="s">
        <v>753</v>
      </c>
      <c r="E37" s="74"/>
      <c r="F37" s="94">
        <v>10</v>
      </c>
      <c r="G37" s="95">
        <v>10</v>
      </c>
      <c r="H37" s="95">
        <v>10</v>
      </c>
      <c r="I37" s="95">
        <v>10</v>
      </c>
      <c r="J37" s="95">
        <v>10</v>
      </c>
      <c r="K37" s="95">
        <v>10</v>
      </c>
      <c r="L37" s="95">
        <v>10</v>
      </c>
      <c r="M37" s="95">
        <v>10</v>
      </c>
      <c r="N37" s="95">
        <v>10</v>
      </c>
      <c r="O37" s="95">
        <v>10</v>
      </c>
      <c r="P37" s="95">
        <v>10</v>
      </c>
      <c r="Q37" s="95">
        <v>10</v>
      </c>
      <c r="R37" s="95">
        <v>120</v>
      </c>
      <c r="S37" s="75"/>
      <c r="T37" s="75" t="s">
        <v>971</v>
      </c>
      <c r="U37" s="75"/>
      <c r="V37" s="76"/>
    </row>
    <row r="38" spans="1:26" ht="15.75" customHeight="1" x14ac:dyDescent="0.3">
      <c r="A38" s="120">
        <v>32</v>
      </c>
      <c r="B38" s="363" t="s">
        <v>31</v>
      </c>
      <c r="C38" s="98" t="s">
        <v>754</v>
      </c>
      <c r="D38" s="72" t="s">
        <v>755</v>
      </c>
      <c r="E38" s="74"/>
      <c r="F38" s="74">
        <v>10</v>
      </c>
      <c r="G38" s="74">
        <v>10</v>
      </c>
      <c r="H38" s="74">
        <v>10</v>
      </c>
      <c r="I38" s="74">
        <v>10</v>
      </c>
      <c r="J38" s="74">
        <v>10</v>
      </c>
      <c r="K38" s="74">
        <v>10</v>
      </c>
      <c r="L38" s="74">
        <v>10</v>
      </c>
      <c r="M38" s="74">
        <v>10</v>
      </c>
      <c r="N38" s="74">
        <v>10</v>
      </c>
      <c r="O38" s="74">
        <v>10</v>
      </c>
      <c r="P38" s="74">
        <v>10</v>
      </c>
      <c r="Q38" s="74">
        <v>10</v>
      </c>
      <c r="R38" s="74">
        <f t="shared" ref="R38:R39" si="2">SUM(F38:Q38)</f>
        <v>120</v>
      </c>
      <c r="S38" s="75"/>
      <c r="T38" s="75" t="s">
        <v>981</v>
      </c>
      <c r="U38" s="75"/>
      <c r="V38" s="76"/>
    </row>
    <row r="39" spans="1:26" ht="15.75" customHeight="1" x14ac:dyDescent="0.3">
      <c r="A39" s="120">
        <v>33</v>
      </c>
      <c r="B39" s="363" t="s">
        <v>117</v>
      </c>
      <c r="C39" s="74" t="s">
        <v>119</v>
      </c>
      <c r="D39" s="72" t="s">
        <v>756</v>
      </c>
      <c r="E39" s="74"/>
      <c r="F39" s="74">
        <v>10</v>
      </c>
      <c r="G39" s="74">
        <v>10</v>
      </c>
      <c r="H39" s="74">
        <v>10</v>
      </c>
      <c r="I39" s="74">
        <v>10</v>
      </c>
      <c r="J39" s="74">
        <v>10</v>
      </c>
      <c r="K39" s="74">
        <v>10</v>
      </c>
      <c r="L39" s="74">
        <v>10</v>
      </c>
      <c r="M39" s="74">
        <v>10</v>
      </c>
      <c r="N39" s="74">
        <v>10</v>
      </c>
      <c r="O39" s="74">
        <v>10</v>
      </c>
      <c r="P39" s="74">
        <v>10</v>
      </c>
      <c r="Q39" s="74">
        <v>10</v>
      </c>
      <c r="R39" s="74">
        <f t="shared" si="2"/>
        <v>120</v>
      </c>
      <c r="S39" s="75"/>
      <c r="T39" s="75" t="s">
        <v>915</v>
      </c>
      <c r="U39" s="75"/>
      <c r="V39" s="76"/>
    </row>
    <row r="40" spans="1:26" ht="15.75" customHeight="1" x14ac:dyDescent="0.3">
      <c r="A40" s="196">
        <v>34</v>
      </c>
      <c r="B40" s="179" t="s">
        <v>444</v>
      </c>
      <c r="C40" s="156" t="s">
        <v>446</v>
      </c>
      <c r="D40" s="157" t="s">
        <v>757</v>
      </c>
      <c r="E40" s="156"/>
      <c r="F40" s="156">
        <v>10</v>
      </c>
      <c r="G40" s="158">
        <v>10</v>
      </c>
      <c r="H40" s="156">
        <v>10</v>
      </c>
      <c r="I40" s="156">
        <v>10</v>
      </c>
      <c r="J40" s="156">
        <v>10</v>
      </c>
      <c r="K40" s="156">
        <v>10</v>
      </c>
      <c r="L40" s="156">
        <v>10</v>
      </c>
      <c r="M40" s="156">
        <v>10</v>
      </c>
      <c r="N40" s="156">
        <v>10</v>
      </c>
      <c r="O40" s="156">
        <v>10</v>
      </c>
      <c r="P40" s="156">
        <v>10</v>
      </c>
      <c r="Q40" s="156">
        <v>10</v>
      </c>
      <c r="R40" s="156">
        <f>SUM(F40:Q40)</f>
        <v>120</v>
      </c>
      <c r="S40" s="159"/>
      <c r="T40" s="160" t="s">
        <v>1134</v>
      </c>
      <c r="U40" s="161"/>
      <c r="V40" s="161"/>
    </row>
    <row r="41" spans="1:26" ht="15.75" customHeight="1" x14ac:dyDescent="0.3">
      <c r="A41" s="120">
        <v>35</v>
      </c>
      <c r="B41" s="362" t="s">
        <v>265</v>
      </c>
      <c r="C41" s="24" t="s">
        <v>267</v>
      </c>
      <c r="D41" s="77" t="s">
        <v>758</v>
      </c>
      <c r="E41" s="78"/>
      <c r="F41" s="74">
        <v>10</v>
      </c>
      <c r="G41" s="74">
        <v>10</v>
      </c>
      <c r="H41" s="74">
        <v>10</v>
      </c>
      <c r="I41" s="74">
        <v>10</v>
      </c>
      <c r="J41" s="74">
        <v>10</v>
      </c>
      <c r="K41" s="74">
        <v>10</v>
      </c>
      <c r="L41" s="74">
        <v>10</v>
      </c>
      <c r="M41" s="74">
        <v>10</v>
      </c>
      <c r="N41" s="74">
        <v>10</v>
      </c>
      <c r="O41" s="74">
        <v>10</v>
      </c>
      <c r="P41" s="74">
        <v>10</v>
      </c>
      <c r="Q41" s="74">
        <v>10</v>
      </c>
      <c r="R41" s="74">
        <f>SUM(F41:Q41)</f>
        <v>120</v>
      </c>
      <c r="S41" s="75"/>
      <c r="T41" s="75" t="s">
        <v>988</v>
      </c>
      <c r="U41" s="75"/>
      <c r="V41" s="76"/>
    </row>
    <row r="42" spans="1:26" ht="15.75" customHeight="1" x14ac:dyDescent="0.3">
      <c r="A42" s="120">
        <v>36</v>
      </c>
      <c r="B42" s="153" t="s">
        <v>63</v>
      </c>
      <c r="C42" s="14" t="s">
        <v>65</v>
      </c>
      <c r="D42" s="47" t="s">
        <v>759</v>
      </c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53"/>
    </row>
    <row r="43" spans="1:26" ht="15.75" customHeight="1" x14ac:dyDescent="0.3">
      <c r="A43" s="120">
        <v>37</v>
      </c>
      <c r="B43" s="365" t="s">
        <v>47</v>
      </c>
      <c r="C43" s="100" t="s">
        <v>49</v>
      </c>
      <c r="D43" s="101" t="s">
        <v>761</v>
      </c>
      <c r="E43" s="97"/>
      <c r="F43" s="102">
        <v>10</v>
      </c>
      <c r="G43" s="103">
        <v>10</v>
      </c>
      <c r="H43" s="103">
        <v>10</v>
      </c>
      <c r="I43" s="103">
        <v>10</v>
      </c>
      <c r="J43" s="103">
        <v>10</v>
      </c>
      <c r="K43" s="103">
        <v>10</v>
      </c>
      <c r="L43" s="103">
        <v>10</v>
      </c>
      <c r="M43" s="103">
        <v>10</v>
      </c>
      <c r="N43" s="103">
        <v>10</v>
      </c>
      <c r="O43" s="103">
        <v>10</v>
      </c>
      <c r="P43" s="103">
        <v>10</v>
      </c>
      <c r="Q43" s="104">
        <v>10</v>
      </c>
      <c r="R43" s="103">
        <v>120</v>
      </c>
      <c r="S43" s="92"/>
      <c r="T43" s="92" t="s">
        <v>989</v>
      </c>
      <c r="U43" s="92"/>
      <c r="V43" s="64"/>
      <c r="W43" s="105"/>
      <c r="Y43" s="20"/>
    </row>
    <row r="44" spans="1:26" ht="15.75" customHeight="1" x14ac:dyDescent="0.3">
      <c r="A44" s="120">
        <v>38</v>
      </c>
      <c r="B44" s="363" t="s">
        <v>380</v>
      </c>
      <c r="C44" s="86" t="s">
        <v>382</v>
      </c>
      <c r="D44" s="72" t="s">
        <v>762</v>
      </c>
      <c r="E44" s="74"/>
      <c r="F44" s="74">
        <v>10</v>
      </c>
      <c r="G44" s="74">
        <v>10</v>
      </c>
      <c r="H44" s="74">
        <v>10</v>
      </c>
      <c r="I44" s="74">
        <v>10</v>
      </c>
      <c r="J44" s="74">
        <v>10</v>
      </c>
      <c r="K44" s="74">
        <v>10</v>
      </c>
      <c r="L44" s="74">
        <v>10</v>
      </c>
      <c r="M44" s="74">
        <v>10</v>
      </c>
      <c r="N44" s="74">
        <v>10</v>
      </c>
      <c r="O44" s="74">
        <v>10</v>
      </c>
      <c r="P44" s="74">
        <v>10</v>
      </c>
      <c r="Q44" s="74">
        <v>10</v>
      </c>
      <c r="R44" s="74">
        <f t="shared" ref="R44:R47" si="3">SUM(F44:Q44)</f>
        <v>120</v>
      </c>
      <c r="S44" s="75"/>
      <c r="T44" s="75" t="s">
        <v>979</v>
      </c>
      <c r="U44" s="75"/>
      <c r="V44" s="76"/>
    </row>
    <row r="45" spans="1:26" ht="15.75" customHeight="1" x14ac:dyDescent="0.3">
      <c r="A45" s="120">
        <v>39</v>
      </c>
      <c r="B45" s="363" t="s">
        <v>511</v>
      </c>
      <c r="C45" s="86" t="s">
        <v>513</v>
      </c>
      <c r="D45" s="72" t="s">
        <v>763</v>
      </c>
      <c r="E45" s="74"/>
      <c r="F45" s="74">
        <v>10</v>
      </c>
      <c r="G45" s="74">
        <v>10</v>
      </c>
      <c r="H45" s="74">
        <v>10</v>
      </c>
      <c r="I45" s="74">
        <v>10</v>
      </c>
      <c r="J45" s="74">
        <v>10</v>
      </c>
      <c r="K45" s="74">
        <v>10</v>
      </c>
      <c r="L45" s="74">
        <v>10</v>
      </c>
      <c r="M45" s="74">
        <v>10</v>
      </c>
      <c r="N45" s="74">
        <v>10</v>
      </c>
      <c r="O45" s="74">
        <v>10</v>
      </c>
      <c r="P45" s="74">
        <v>10</v>
      </c>
      <c r="Q45" s="74">
        <v>10</v>
      </c>
      <c r="R45" s="74">
        <f t="shared" si="3"/>
        <v>120</v>
      </c>
      <c r="S45" s="75"/>
      <c r="T45" s="75" t="s">
        <v>970</v>
      </c>
      <c r="U45" s="75"/>
      <c r="V45" s="76"/>
    </row>
    <row r="46" spans="1:26" ht="15.75" customHeight="1" x14ac:dyDescent="0.3">
      <c r="A46" s="120">
        <v>40</v>
      </c>
      <c r="B46" s="363" t="s">
        <v>157</v>
      </c>
      <c r="C46" s="86" t="s">
        <v>159</v>
      </c>
      <c r="D46" s="72" t="s">
        <v>764</v>
      </c>
      <c r="E46" s="74"/>
      <c r="F46" s="74">
        <v>10</v>
      </c>
      <c r="G46" s="74">
        <v>10</v>
      </c>
      <c r="H46" s="74">
        <v>10</v>
      </c>
      <c r="I46" s="74">
        <v>10</v>
      </c>
      <c r="J46" s="74">
        <v>10</v>
      </c>
      <c r="K46" s="74">
        <v>10</v>
      </c>
      <c r="L46" s="74">
        <v>10</v>
      </c>
      <c r="M46" s="74">
        <v>10</v>
      </c>
      <c r="N46" s="74">
        <v>10</v>
      </c>
      <c r="O46" s="74">
        <v>10</v>
      </c>
      <c r="P46" s="74">
        <v>10</v>
      </c>
      <c r="Q46" s="74">
        <v>10</v>
      </c>
      <c r="R46" s="74">
        <f t="shared" si="3"/>
        <v>120</v>
      </c>
      <c r="S46" s="75"/>
      <c r="T46" s="75" t="s">
        <v>971</v>
      </c>
      <c r="U46" s="75"/>
      <c r="V46" s="76"/>
      <c r="W46" s="53"/>
      <c r="X46" s="53"/>
      <c r="Y46" s="53"/>
      <c r="Z46" s="53"/>
    </row>
    <row r="47" spans="1:26" ht="15.75" customHeight="1" x14ac:dyDescent="0.3">
      <c r="A47" s="120">
        <v>41</v>
      </c>
      <c r="B47" s="363" t="s">
        <v>590</v>
      </c>
      <c r="C47" s="74" t="s">
        <v>990</v>
      </c>
      <c r="D47" s="72" t="s">
        <v>766</v>
      </c>
      <c r="E47" s="74"/>
      <c r="F47" s="74">
        <v>10</v>
      </c>
      <c r="G47" s="74">
        <v>10</v>
      </c>
      <c r="H47" s="74">
        <v>10</v>
      </c>
      <c r="I47" s="74">
        <v>10</v>
      </c>
      <c r="J47" s="74">
        <v>10</v>
      </c>
      <c r="K47" s="74">
        <v>10</v>
      </c>
      <c r="L47" s="74">
        <v>10</v>
      </c>
      <c r="M47" s="74">
        <v>10</v>
      </c>
      <c r="N47" s="74">
        <v>10</v>
      </c>
      <c r="O47" s="74">
        <v>10</v>
      </c>
      <c r="P47" s="74">
        <v>10</v>
      </c>
      <c r="Q47" s="74">
        <v>10</v>
      </c>
      <c r="R47" s="74">
        <f t="shared" si="3"/>
        <v>120</v>
      </c>
      <c r="S47" s="75"/>
      <c r="T47" s="75" t="s">
        <v>991</v>
      </c>
      <c r="U47" s="75"/>
      <c r="V47" s="76"/>
    </row>
    <row r="48" spans="1:26" ht="15.75" customHeight="1" x14ac:dyDescent="0.3">
      <c r="A48" s="120">
        <v>42</v>
      </c>
      <c r="B48" s="153" t="s">
        <v>614</v>
      </c>
      <c r="C48" s="44" t="s">
        <v>767</v>
      </c>
      <c r="D48" s="47" t="s">
        <v>768</v>
      </c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53"/>
    </row>
    <row r="49" spans="1:26" ht="15.75" customHeight="1" x14ac:dyDescent="0.3">
      <c r="A49" s="120">
        <v>43</v>
      </c>
      <c r="B49" s="365" t="s">
        <v>22</v>
      </c>
      <c r="C49" s="89" t="s">
        <v>25</v>
      </c>
      <c r="D49" s="88" t="s">
        <v>770</v>
      </c>
      <c r="E49" s="90"/>
      <c r="F49" s="90">
        <v>10</v>
      </c>
      <c r="G49" s="90">
        <v>10</v>
      </c>
      <c r="H49" s="90">
        <v>10</v>
      </c>
      <c r="I49" s="90">
        <v>10</v>
      </c>
      <c r="J49" s="90">
        <v>10</v>
      </c>
      <c r="K49" s="90">
        <v>10</v>
      </c>
      <c r="L49" s="90">
        <v>10</v>
      </c>
      <c r="M49" s="90">
        <v>10</v>
      </c>
      <c r="N49" s="90">
        <v>10</v>
      </c>
      <c r="O49" s="90">
        <v>10</v>
      </c>
      <c r="P49" s="90">
        <v>10</v>
      </c>
      <c r="Q49" s="90">
        <v>10</v>
      </c>
      <c r="R49" s="90">
        <f>SUM(F49:Q49)</f>
        <v>120</v>
      </c>
      <c r="S49" s="91"/>
      <c r="T49" s="277" t="s">
        <v>1195</v>
      </c>
      <c r="U49" s="93"/>
      <c r="V49" s="93"/>
    </row>
    <row r="50" spans="1:26" ht="15.75" customHeight="1" x14ac:dyDescent="0.3">
      <c r="A50" s="120">
        <v>44</v>
      </c>
      <c r="B50" s="363" t="s">
        <v>110</v>
      </c>
      <c r="C50" s="74" t="s">
        <v>112</v>
      </c>
      <c r="D50" s="72" t="s">
        <v>771</v>
      </c>
      <c r="E50" s="74"/>
      <c r="F50" s="94">
        <v>10</v>
      </c>
      <c r="G50" s="95">
        <v>10</v>
      </c>
      <c r="H50" s="95">
        <v>10</v>
      </c>
      <c r="I50" s="95">
        <v>10</v>
      </c>
      <c r="J50" s="95">
        <v>10</v>
      </c>
      <c r="K50" s="95">
        <v>10</v>
      </c>
      <c r="L50" s="95">
        <v>10</v>
      </c>
      <c r="M50" s="95">
        <v>10</v>
      </c>
      <c r="N50" s="95">
        <v>10</v>
      </c>
      <c r="O50" s="95">
        <v>10</v>
      </c>
      <c r="P50" s="95">
        <v>10</v>
      </c>
      <c r="Q50" s="95">
        <v>10</v>
      </c>
      <c r="R50" s="95">
        <v>120</v>
      </c>
      <c r="S50" s="75"/>
      <c r="T50" s="75" t="s">
        <v>992</v>
      </c>
      <c r="U50" s="75"/>
      <c r="V50" s="75"/>
    </row>
    <row r="51" spans="1:26" ht="15.75" customHeight="1" x14ac:dyDescent="0.3">
      <c r="A51" s="120">
        <v>45</v>
      </c>
      <c r="B51" s="153" t="s">
        <v>134</v>
      </c>
      <c r="C51" s="3" t="s">
        <v>136</v>
      </c>
      <c r="D51" s="47" t="s">
        <v>772</v>
      </c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53"/>
    </row>
    <row r="52" spans="1:26" ht="15.75" customHeight="1" x14ac:dyDescent="0.3">
      <c r="A52" s="120">
        <v>46</v>
      </c>
      <c r="B52" s="363" t="s">
        <v>192</v>
      </c>
      <c r="C52" s="74" t="s">
        <v>773</v>
      </c>
      <c r="D52" s="72" t="s">
        <v>774</v>
      </c>
      <c r="E52" s="74"/>
      <c r="F52" s="94">
        <v>10</v>
      </c>
      <c r="G52" s="95">
        <v>10</v>
      </c>
      <c r="H52" s="95">
        <v>10</v>
      </c>
      <c r="I52" s="95">
        <v>10</v>
      </c>
      <c r="J52" s="95">
        <v>10</v>
      </c>
      <c r="K52" s="95">
        <v>10</v>
      </c>
      <c r="L52" s="95">
        <v>10</v>
      </c>
      <c r="M52" s="95">
        <v>10</v>
      </c>
      <c r="N52" s="95">
        <v>10</v>
      </c>
      <c r="O52" s="95">
        <v>10</v>
      </c>
      <c r="P52" s="95">
        <v>10</v>
      </c>
      <c r="Q52" s="95">
        <v>10</v>
      </c>
      <c r="R52" s="95">
        <v>120</v>
      </c>
      <c r="S52" s="75"/>
      <c r="T52" s="75" t="s">
        <v>956</v>
      </c>
      <c r="U52" s="75"/>
      <c r="V52" s="75"/>
    </row>
    <row r="53" spans="1:26" ht="15.75" customHeight="1" x14ac:dyDescent="0.3">
      <c r="A53" s="120">
        <v>47</v>
      </c>
      <c r="B53" s="153" t="s">
        <v>321</v>
      </c>
      <c r="C53" s="3" t="s">
        <v>323</v>
      </c>
      <c r="D53" s="47" t="s">
        <v>775</v>
      </c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53"/>
    </row>
    <row r="54" spans="1:26" ht="15.75" customHeight="1" x14ac:dyDescent="0.3">
      <c r="A54" s="120">
        <v>48</v>
      </c>
      <c r="B54" s="363" t="s">
        <v>450</v>
      </c>
      <c r="C54" s="86" t="s">
        <v>452</v>
      </c>
      <c r="D54" s="72" t="s">
        <v>776</v>
      </c>
      <c r="E54" s="74"/>
      <c r="F54" s="74">
        <v>10</v>
      </c>
      <c r="G54" s="74">
        <v>10</v>
      </c>
      <c r="H54" s="74">
        <v>10</v>
      </c>
      <c r="I54" s="74">
        <v>10</v>
      </c>
      <c r="J54" s="74">
        <v>10</v>
      </c>
      <c r="K54" s="74">
        <v>10</v>
      </c>
      <c r="L54" s="74">
        <v>10</v>
      </c>
      <c r="M54" s="74">
        <v>10</v>
      </c>
      <c r="N54" s="74">
        <v>10</v>
      </c>
      <c r="O54" s="74">
        <v>10</v>
      </c>
      <c r="P54" s="74">
        <v>10</v>
      </c>
      <c r="Q54" s="74">
        <v>10</v>
      </c>
      <c r="R54" s="74">
        <f>SUM(F54:Q54)</f>
        <v>120</v>
      </c>
      <c r="S54" s="75"/>
      <c r="T54" s="75" t="s">
        <v>984</v>
      </c>
      <c r="U54" s="75"/>
      <c r="V54" s="76"/>
    </row>
    <row r="55" spans="1:26" ht="15.75" customHeight="1" x14ac:dyDescent="0.3">
      <c r="A55" s="120">
        <v>49</v>
      </c>
      <c r="B55" s="153" t="s">
        <v>669</v>
      </c>
      <c r="C55" s="14" t="s">
        <v>672</v>
      </c>
      <c r="D55" s="47" t="s">
        <v>777</v>
      </c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53"/>
      <c r="T55" s="53"/>
      <c r="U55" s="53"/>
      <c r="V55" s="53"/>
      <c r="W55" s="53"/>
      <c r="X55" s="53"/>
      <c r="Y55" s="53"/>
      <c r="Z55" s="53"/>
    </row>
    <row r="56" spans="1:26" ht="15.75" customHeight="1" x14ac:dyDescent="0.3">
      <c r="A56" s="120">
        <v>50</v>
      </c>
      <c r="B56" s="153" t="s">
        <v>257</v>
      </c>
      <c r="C56" s="3" t="s">
        <v>259</v>
      </c>
      <c r="D56" s="47" t="s">
        <v>778</v>
      </c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53"/>
      <c r="T56" s="53"/>
      <c r="U56" s="53"/>
      <c r="V56" s="53"/>
      <c r="W56" s="53"/>
      <c r="X56" s="53"/>
      <c r="Y56" s="53"/>
      <c r="Z56" s="53"/>
    </row>
    <row r="57" spans="1:26" ht="15.75" customHeight="1" x14ac:dyDescent="0.3">
      <c r="A57" s="120">
        <v>51</v>
      </c>
      <c r="B57" s="363" t="s">
        <v>364</v>
      </c>
      <c r="C57" s="74" t="s">
        <v>366</v>
      </c>
      <c r="D57" s="72" t="s">
        <v>779</v>
      </c>
      <c r="E57" s="74"/>
      <c r="F57" s="94">
        <v>10</v>
      </c>
      <c r="G57" s="95">
        <v>10</v>
      </c>
      <c r="H57" s="95">
        <v>10</v>
      </c>
      <c r="I57" s="95">
        <v>10</v>
      </c>
      <c r="J57" s="95">
        <v>10</v>
      </c>
      <c r="K57" s="95">
        <v>10</v>
      </c>
      <c r="L57" s="95">
        <v>10</v>
      </c>
      <c r="M57" s="95">
        <v>10</v>
      </c>
      <c r="N57" s="95">
        <v>10</v>
      </c>
      <c r="O57" s="95">
        <v>10</v>
      </c>
      <c r="P57" s="95">
        <v>10</v>
      </c>
      <c r="Q57" s="95">
        <v>10</v>
      </c>
      <c r="R57" s="95">
        <v>120</v>
      </c>
      <c r="S57" s="75"/>
      <c r="T57" s="75" t="s">
        <v>982</v>
      </c>
      <c r="U57" s="75"/>
      <c r="V57" s="76"/>
      <c r="W57" s="53"/>
      <c r="X57" s="53"/>
      <c r="Y57" s="53"/>
      <c r="Z57" s="53"/>
    </row>
    <row r="58" spans="1:26" ht="15.75" customHeight="1" x14ac:dyDescent="0.3">
      <c r="A58" s="120">
        <v>52</v>
      </c>
      <c r="B58" s="363" t="s">
        <v>489</v>
      </c>
      <c r="C58" s="86" t="s">
        <v>491</v>
      </c>
      <c r="D58" s="72" t="s">
        <v>780</v>
      </c>
      <c r="E58" s="74"/>
      <c r="F58" s="94">
        <v>10</v>
      </c>
      <c r="G58" s="95">
        <v>10</v>
      </c>
      <c r="H58" s="95">
        <v>10</v>
      </c>
      <c r="I58" s="95">
        <v>10</v>
      </c>
      <c r="J58" s="95">
        <v>10</v>
      </c>
      <c r="K58" s="95">
        <v>10</v>
      </c>
      <c r="L58" s="95">
        <v>10</v>
      </c>
      <c r="M58" s="95">
        <v>10</v>
      </c>
      <c r="N58" s="95">
        <v>10</v>
      </c>
      <c r="O58" s="95">
        <v>10</v>
      </c>
      <c r="P58" s="95">
        <v>10</v>
      </c>
      <c r="Q58" s="95">
        <v>10</v>
      </c>
      <c r="R58" s="95">
        <v>120</v>
      </c>
      <c r="S58" s="75"/>
      <c r="T58" s="75" t="s">
        <v>956</v>
      </c>
      <c r="U58" s="75"/>
      <c r="V58" s="76" t="s">
        <v>993</v>
      </c>
      <c r="W58" s="106" t="s">
        <v>994</v>
      </c>
      <c r="X58" s="53"/>
      <c r="Y58" s="53"/>
      <c r="Z58" s="53"/>
    </row>
    <row r="59" spans="1:26" ht="15.75" customHeight="1" x14ac:dyDescent="0.3">
      <c r="A59" s="120">
        <v>53</v>
      </c>
      <c r="B59" s="363" t="s">
        <v>126</v>
      </c>
      <c r="C59" s="86" t="s">
        <v>128</v>
      </c>
      <c r="D59" s="72" t="s">
        <v>781</v>
      </c>
      <c r="E59" s="74"/>
      <c r="F59" s="94">
        <v>10</v>
      </c>
      <c r="G59" s="95">
        <v>10</v>
      </c>
      <c r="H59" s="95">
        <v>10</v>
      </c>
      <c r="I59" s="95">
        <v>10</v>
      </c>
      <c r="J59" s="95">
        <v>10</v>
      </c>
      <c r="K59" s="95">
        <v>10</v>
      </c>
      <c r="L59" s="95">
        <v>10</v>
      </c>
      <c r="M59" s="95">
        <v>10</v>
      </c>
      <c r="N59" s="95">
        <v>10</v>
      </c>
      <c r="O59" s="95">
        <v>10</v>
      </c>
      <c r="P59" s="95">
        <v>10</v>
      </c>
      <c r="Q59" s="95">
        <v>10</v>
      </c>
      <c r="R59" s="95">
        <v>120</v>
      </c>
      <c r="S59" s="75"/>
      <c r="T59" s="75" t="s">
        <v>975</v>
      </c>
      <c r="U59" s="75"/>
      <c r="V59" s="76" t="s">
        <v>995</v>
      </c>
      <c r="W59" s="53" t="s">
        <v>996</v>
      </c>
      <c r="X59" s="53"/>
      <c r="Y59" s="53"/>
      <c r="Z59" s="53"/>
    </row>
    <row r="60" spans="1:26" ht="15.75" customHeight="1" x14ac:dyDescent="0.3">
      <c r="A60" s="120">
        <v>54</v>
      </c>
      <c r="B60" s="362" t="s">
        <v>239</v>
      </c>
      <c r="C60" s="78" t="s">
        <v>957</v>
      </c>
      <c r="D60" s="77" t="s">
        <v>783</v>
      </c>
      <c r="E60" s="78"/>
      <c r="F60" s="94">
        <v>10</v>
      </c>
      <c r="G60" s="95">
        <v>10</v>
      </c>
      <c r="H60" s="95">
        <v>10</v>
      </c>
      <c r="I60" s="95">
        <v>10</v>
      </c>
      <c r="J60" s="95">
        <v>10</v>
      </c>
      <c r="K60" s="95">
        <v>10</v>
      </c>
      <c r="L60" s="95">
        <v>10</v>
      </c>
      <c r="M60" s="95">
        <v>10</v>
      </c>
      <c r="N60" s="95">
        <v>10</v>
      </c>
      <c r="O60" s="95">
        <v>10</v>
      </c>
      <c r="P60" s="95">
        <v>10</v>
      </c>
      <c r="Q60" s="95">
        <v>10</v>
      </c>
      <c r="R60" s="95">
        <v>120</v>
      </c>
      <c r="S60" s="107"/>
      <c r="T60" s="107" t="s">
        <v>997</v>
      </c>
      <c r="U60" s="107"/>
      <c r="V60" s="107"/>
      <c r="W60" s="53"/>
      <c r="X60" s="53"/>
      <c r="Y60" s="53"/>
      <c r="Z60" s="53"/>
    </row>
    <row r="61" spans="1:26" ht="15.75" customHeight="1" x14ac:dyDescent="0.3">
      <c r="A61" s="120">
        <v>55</v>
      </c>
      <c r="B61" s="153" t="s">
        <v>249</v>
      </c>
      <c r="C61" s="14" t="s">
        <v>251</v>
      </c>
      <c r="D61" s="47" t="s">
        <v>785</v>
      </c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53"/>
      <c r="T61" s="53"/>
      <c r="U61" s="53"/>
      <c r="V61" s="53"/>
      <c r="W61" s="53"/>
      <c r="X61" s="53"/>
      <c r="Y61" s="53"/>
      <c r="Z61" s="53"/>
    </row>
    <row r="62" spans="1:26" ht="15.75" customHeight="1" x14ac:dyDescent="0.3">
      <c r="A62" s="120">
        <v>56</v>
      </c>
      <c r="B62" s="153" t="s">
        <v>395</v>
      </c>
      <c r="C62" s="14" t="s">
        <v>397</v>
      </c>
      <c r="D62" s="47" t="s">
        <v>786</v>
      </c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53"/>
      <c r="T62" s="53"/>
      <c r="U62" s="53"/>
      <c r="V62" s="53"/>
      <c r="W62" s="53"/>
      <c r="X62" s="53"/>
      <c r="Y62" s="53"/>
      <c r="Z62" s="53"/>
    </row>
    <row r="63" spans="1:26" ht="15.75" customHeight="1" x14ac:dyDescent="0.3">
      <c r="A63" s="120">
        <v>57</v>
      </c>
      <c r="B63" s="153" t="s">
        <v>150</v>
      </c>
      <c r="C63" s="14" t="s">
        <v>152</v>
      </c>
      <c r="D63" s="47" t="s">
        <v>789</v>
      </c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53"/>
      <c r="T63" s="53"/>
      <c r="U63" s="53"/>
      <c r="V63" s="53"/>
      <c r="W63" s="53"/>
      <c r="X63" s="53"/>
      <c r="Y63" s="53"/>
      <c r="Z63" s="53"/>
    </row>
    <row r="64" spans="1:26" ht="15.75" customHeight="1" x14ac:dyDescent="0.3">
      <c r="A64" s="120">
        <v>58</v>
      </c>
      <c r="B64" s="153" t="s">
        <v>438</v>
      </c>
      <c r="C64" s="3" t="s">
        <v>440</v>
      </c>
      <c r="D64" s="47" t="s">
        <v>791</v>
      </c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53"/>
      <c r="T64" s="53"/>
      <c r="U64" s="53"/>
      <c r="V64" s="53"/>
      <c r="W64" s="53"/>
      <c r="X64" s="53"/>
      <c r="Y64" s="53"/>
      <c r="Z64" s="53"/>
    </row>
    <row r="65" spans="1:26" ht="15.75" customHeight="1" x14ac:dyDescent="0.3">
      <c r="A65" s="120">
        <v>59</v>
      </c>
      <c r="B65" s="153" t="s">
        <v>307</v>
      </c>
      <c r="C65" s="3" t="s">
        <v>309</v>
      </c>
      <c r="D65" s="47" t="s">
        <v>792</v>
      </c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53"/>
      <c r="T65" s="53"/>
      <c r="U65" s="53"/>
      <c r="V65" s="53"/>
      <c r="W65" s="53"/>
      <c r="X65" s="53"/>
      <c r="Y65" s="53"/>
      <c r="Z65" s="53"/>
    </row>
    <row r="66" spans="1:26" ht="15.75" customHeight="1" x14ac:dyDescent="0.3">
      <c r="A66" s="120">
        <v>60</v>
      </c>
      <c r="B66" s="362" t="s">
        <v>217</v>
      </c>
      <c r="C66" s="19" t="s">
        <v>219</v>
      </c>
      <c r="D66" s="77" t="s">
        <v>793</v>
      </c>
      <c r="E66" s="78"/>
      <c r="F66" s="74">
        <v>10</v>
      </c>
      <c r="G66" s="74">
        <v>10</v>
      </c>
      <c r="H66" s="74">
        <v>10</v>
      </c>
      <c r="I66" s="74">
        <v>10</v>
      </c>
      <c r="J66" s="74">
        <v>10</v>
      </c>
      <c r="K66" s="74">
        <v>10</v>
      </c>
      <c r="L66" s="74">
        <v>10</v>
      </c>
      <c r="M66" s="74">
        <v>10</v>
      </c>
      <c r="N66" s="74">
        <v>10</v>
      </c>
      <c r="O66" s="74">
        <v>10</v>
      </c>
      <c r="P66" s="74">
        <v>10</v>
      </c>
      <c r="Q66" s="74">
        <v>10</v>
      </c>
      <c r="R66" s="74">
        <f>SUM(F66:Q66)</f>
        <v>120</v>
      </c>
      <c r="S66" s="75"/>
      <c r="T66" s="75" t="s">
        <v>998</v>
      </c>
      <c r="U66" s="75"/>
      <c r="V66" s="76"/>
      <c r="W66" s="53"/>
      <c r="X66" s="53"/>
      <c r="Y66" s="53"/>
      <c r="Z66" s="53"/>
    </row>
    <row r="67" spans="1:26" ht="15.75" customHeight="1" x14ac:dyDescent="0.3">
      <c r="A67" s="120">
        <v>61</v>
      </c>
      <c r="B67" s="153" t="s">
        <v>301</v>
      </c>
      <c r="C67" s="44" t="s">
        <v>794</v>
      </c>
      <c r="D67" s="47" t="s">
        <v>795</v>
      </c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53"/>
      <c r="T67" s="53"/>
      <c r="U67" s="53"/>
      <c r="V67" s="53"/>
      <c r="W67" s="53"/>
      <c r="X67" s="53"/>
      <c r="Y67" s="53"/>
      <c r="Z67" s="53"/>
    </row>
    <row r="68" spans="1:26" ht="15.75" customHeight="1" x14ac:dyDescent="0.3">
      <c r="A68" s="120">
        <v>62</v>
      </c>
      <c r="B68" s="364" t="s">
        <v>342</v>
      </c>
      <c r="C68" s="89" t="s">
        <v>344</v>
      </c>
      <c r="D68" s="88" t="s">
        <v>796</v>
      </c>
      <c r="E68" s="90"/>
      <c r="F68" s="90">
        <v>10</v>
      </c>
      <c r="G68" s="90">
        <v>10</v>
      </c>
      <c r="H68" s="90">
        <v>10</v>
      </c>
      <c r="I68" s="90">
        <v>10</v>
      </c>
      <c r="J68" s="90">
        <v>10</v>
      </c>
      <c r="K68" s="90">
        <v>10</v>
      </c>
      <c r="L68" s="90">
        <v>10</v>
      </c>
      <c r="M68" s="90">
        <v>10</v>
      </c>
      <c r="N68" s="90">
        <v>10</v>
      </c>
      <c r="O68" s="90">
        <v>10</v>
      </c>
      <c r="P68" s="90">
        <v>10</v>
      </c>
      <c r="Q68" s="90">
        <v>10</v>
      </c>
      <c r="R68" s="90">
        <f t="shared" ref="R68:R69" si="4">SUM(F68:Q68)</f>
        <v>120</v>
      </c>
      <c r="S68" s="92"/>
      <c r="T68" s="92" t="s">
        <v>983</v>
      </c>
      <c r="U68" s="92"/>
      <c r="V68" s="92"/>
      <c r="W68" s="53"/>
      <c r="X68" s="53"/>
      <c r="Y68" s="53"/>
      <c r="Z68" s="53"/>
    </row>
    <row r="69" spans="1:26" ht="15.75" customHeight="1" x14ac:dyDescent="0.3">
      <c r="A69" s="120">
        <v>63</v>
      </c>
      <c r="B69" s="363" t="s">
        <v>289</v>
      </c>
      <c r="C69" s="73" t="s">
        <v>291</v>
      </c>
      <c r="D69" s="72" t="s">
        <v>797</v>
      </c>
      <c r="E69" s="74"/>
      <c r="F69" s="74">
        <v>10</v>
      </c>
      <c r="G69" s="74">
        <v>10</v>
      </c>
      <c r="H69" s="74">
        <v>10</v>
      </c>
      <c r="I69" s="74">
        <v>10</v>
      </c>
      <c r="J69" s="74">
        <v>10</v>
      </c>
      <c r="K69" s="74">
        <v>10</v>
      </c>
      <c r="L69" s="74">
        <v>10</v>
      </c>
      <c r="M69" s="74">
        <v>10</v>
      </c>
      <c r="N69" s="74">
        <v>10</v>
      </c>
      <c r="O69" s="74">
        <v>10</v>
      </c>
      <c r="P69" s="74">
        <v>10</v>
      </c>
      <c r="Q69" s="74">
        <v>10</v>
      </c>
      <c r="R69" s="74">
        <f t="shared" si="4"/>
        <v>120</v>
      </c>
      <c r="S69" s="75"/>
      <c r="T69" s="75" t="s">
        <v>915</v>
      </c>
      <c r="U69" s="75"/>
      <c r="V69" s="76"/>
      <c r="W69" s="53"/>
      <c r="X69" s="53"/>
      <c r="Y69" s="53"/>
      <c r="Z69" s="53"/>
    </row>
    <row r="70" spans="1:26" ht="15.75" customHeight="1" x14ac:dyDescent="0.3">
      <c r="A70" s="120">
        <v>64</v>
      </c>
      <c r="B70" s="153" t="s">
        <v>608</v>
      </c>
      <c r="C70" s="44" t="s">
        <v>798</v>
      </c>
      <c r="D70" s="47" t="s">
        <v>799</v>
      </c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53"/>
      <c r="T70" s="53"/>
      <c r="U70" s="53"/>
      <c r="V70" s="53"/>
      <c r="W70" s="53"/>
      <c r="X70" s="53"/>
      <c r="Y70" s="53"/>
      <c r="Z70" s="53"/>
    </row>
    <row r="71" spans="1:26" ht="15.75" customHeight="1" x14ac:dyDescent="0.3">
      <c r="A71" s="120">
        <v>65</v>
      </c>
      <c r="B71" s="153" t="s">
        <v>548</v>
      </c>
      <c r="C71" s="86" t="s">
        <v>550</v>
      </c>
      <c r="D71" s="72" t="s">
        <v>800</v>
      </c>
      <c r="E71" s="74"/>
      <c r="F71" s="94">
        <v>10</v>
      </c>
      <c r="G71" s="95">
        <v>10</v>
      </c>
      <c r="H71" s="95">
        <v>10</v>
      </c>
      <c r="I71" s="95">
        <v>10</v>
      </c>
      <c r="J71" s="95">
        <v>10</v>
      </c>
      <c r="K71" s="95">
        <v>10</v>
      </c>
      <c r="L71" s="95">
        <v>10</v>
      </c>
      <c r="M71" s="95">
        <v>10</v>
      </c>
      <c r="N71" s="95">
        <v>10</v>
      </c>
      <c r="O71" s="95">
        <v>10</v>
      </c>
      <c r="P71" s="95">
        <v>10</v>
      </c>
      <c r="Q71" s="95">
        <v>10</v>
      </c>
      <c r="R71" s="95">
        <v>120</v>
      </c>
      <c r="S71" s="75"/>
      <c r="T71" s="75" t="s">
        <v>971</v>
      </c>
      <c r="U71" s="75"/>
      <c r="V71" s="75"/>
      <c r="W71" s="53"/>
      <c r="X71" s="53"/>
      <c r="Y71" s="53"/>
      <c r="Z71" s="53"/>
    </row>
    <row r="72" spans="1:26" ht="15.75" customHeight="1" x14ac:dyDescent="0.3">
      <c r="A72" s="120">
        <v>66</v>
      </c>
      <c r="B72" s="363" t="s">
        <v>482</v>
      </c>
      <c r="C72" s="74" t="s">
        <v>999</v>
      </c>
      <c r="D72" s="72" t="s">
        <v>802</v>
      </c>
      <c r="E72" s="74"/>
      <c r="F72" s="94">
        <v>10</v>
      </c>
      <c r="G72" s="95">
        <v>10</v>
      </c>
      <c r="H72" s="95">
        <v>10</v>
      </c>
      <c r="I72" s="95">
        <v>10</v>
      </c>
      <c r="J72" s="95">
        <v>10</v>
      </c>
      <c r="K72" s="95">
        <v>10</v>
      </c>
      <c r="L72" s="95">
        <v>10</v>
      </c>
      <c r="M72" s="95">
        <v>10</v>
      </c>
      <c r="N72" s="95">
        <v>10</v>
      </c>
      <c r="O72" s="95">
        <v>10</v>
      </c>
      <c r="P72" s="95">
        <v>10</v>
      </c>
      <c r="Q72" s="95">
        <v>10</v>
      </c>
      <c r="R72" s="95">
        <v>120</v>
      </c>
      <c r="S72" s="75"/>
      <c r="T72" s="75" t="s">
        <v>956</v>
      </c>
      <c r="U72" s="75"/>
      <c r="V72" s="75"/>
    </row>
    <row r="73" spans="1:26" ht="15.75" customHeight="1" x14ac:dyDescent="0.3">
      <c r="A73" s="120">
        <v>67</v>
      </c>
      <c r="B73" s="363" t="s">
        <v>185</v>
      </c>
      <c r="C73" s="73" t="s">
        <v>187</v>
      </c>
      <c r="D73" s="72" t="s">
        <v>804</v>
      </c>
      <c r="E73" s="74"/>
      <c r="F73" s="74">
        <v>10</v>
      </c>
      <c r="G73" s="74">
        <v>10</v>
      </c>
      <c r="H73" s="74">
        <v>10</v>
      </c>
      <c r="I73" s="74">
        <v>10</v>
      </c>
      <c r="J73" s="74">
        <v>10</v>
      </c>
      <c r="K73" s="74">
        <v>10</v>
      </c>
      <c r="L73" s="74">
        <v>10</v>
      </c>
      <c r="M73" s="74">
        <v>10</v>
      </c>
      <c r="N73" s="74">
        <v>10</v>
      </c>
      <c r="O73" s="74">
        <v>10</v>
      </c>
      <c r="P73" s="74">
        <v>10</v>
      </c>
      <c r="Q73" s="74">
        <v>10</v>
      </c>
      <c r="R73" s="74">
        <f t="shared" ref="R73:R74" si="5">SUM(F73:Q73)</f>
        <v>120</v>
      </c>
      <c r="S73" s="75"/>
      <c r="T73" s="75" t="s">
        <v>981</v>
      </c>
      <c r="U73" s="75"/>
      <c r="V73" s="76"/>
    </row>
    <row r="74" spans="1:26" ht="15.75" customHeight="1" x14ac:dyDescent="0.3">
      <c r="A74" s="120">
        <v>68</v>
      </c>
      <c r="B74" s="363" t="s">
        <v>276</v>
      </c>
      <c r="C74" s="74" t="s">
        <v>1000</v>
      </c>
      <c r="D74" s="72" t="s">
        <v>806</v>
      </c>
      <c r="E74" s="74"/>
      <c r="F74" s="74">
        <v>10</v>
      </c>
      <c r="G74" s="74">
        <v>10</v>
      </c>
      <c r="H74" s="74">
        <v>10</v>
      </c>
      <c r="I74" s="74">
        <v>10</v>
      </c>
      <c r="J74" s="74">
        <v>10</v>
      </c>
      <c r="K74" s="74">
        <v>10</v>
      </c>
      <c r="L74" s="74">
        <v>10</v>
      </c>
      <c r="M74" s="74">
        <v>10</v>
      </c>
      <c r="N74" s="74">
        <v>10</v>
      </c>
      <c r="O74" s="74">
        <v>10</v>
      </c>
      <c r="P74" s="74">
        <v>10</v>
      </c>
      <c r="Q74" s="74">
        <v>10</v>
      </c>
      <c r="R74" s="74">
        <f t="shared" si="5"/>
        <v>120</v>
      </c>
      <c r="S74" s="75"/>
      <c r="T74" s="75" t="s">
        <v>1001</v>
      </c>
      <c r="U74" s="75"/>
      <c r="V74" s="76"/>
    </row>
    <row r="75" spans="1:26" ht="15.75" customHeight="1" x14ac:dyDescent="0.3">
      <c r="A75" s="120">
        <v>69</v>
      </c>
      <c r="B75" s="153" t="s">
        <v>564</v>
      </c>
      <c r="C75" s="44" t="s">
        <v>807</v>
      </c>
      <c r="D75" s="47" t="s">
        <v>808</v>
      </c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53"/>
    </row>
    <row r="76" spans="1:26" ht="15.75" customHeight="1" x14ac:dyDescent="0.3">
      <c r="A76" s="120">
        <v>70</v>
      </c>
      <c r="B76" s="153" t="s">
        <v>629</v>
      </c>
      <c r="C76" s="3" t="s">
        <v>631</v>
      </c>
      <c r="D76" s="47" t="s">
        <v>809</v>
      </c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53"/>
    </row>
    <row r="77" spans="1:26" ht="15.75" customHeight="1" x14ac:dyDescent="0.3">
      <c r="A77" s="120">
        <v>71</v>
      </c>
      <c r="B77" s="153" t="s">
        <v>810</v>
      </c>
      <c r="C77" s="44" t="s">
        <v>811</v>
      </c>
      <c r="D77" s="47" t="s">
        <v>812</v>
      </c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53"/>
    </row>
    <row r="78" spans="1:26" ht="15.75" customHeight="1" x14ac:dyDescent="0.3">
      <c r="A78" s="120">
        <v>72</v>
      </c>
      <c r="B78" s="363" t="s">
        <v>813</v>
      </c>
      <c r="C78" s="74" t="s">
        <v>814</v>
      </c>
      <c r="D78" s="72" t="s">
        <v>815</v>
      </c>
      <c r="E78" s="74"/>
      <c r="F78" s="74">
        <v>10</v>
      </c>
      <c r="G78" s="74">
        <v>10</v>
      </c>
      <c r="H78" s="74">
        <v>10</v>
      </c>
      <c r="I78" s="74">
        <v>10</v>
      </c>
      <c r="J78" s="74">
        <v>10</v>
      </c>
      <c r="K78" s="74">
        <v>10</v>
      </c>
      <c r="L78" s="74">
        <v>10</v>
      </c>
      <c r="M78" s="74">
        <v>10</v>
      </c>
      <c r="N78" s="74">
        <v>10</v>
      </c>
      <c r="O78" s="74">
        <v>10</v>
      </c>
      <c r="P78" s="74">
        <v>10</v>
      </c>
      <c r="Q78" s="74">
        <v>10</v>
      </c>
      <c r="R78" s="74">
        <v>120</v>
      </c>
      <c r="S78" s="75"/>
      <c r="T78" s="96" t="s">
        <v>978</v>
      </c>
      <c r="U78" s="75"/>
    </row>
    <row r="79" spans="1:26" ht="15.75" customHeight="1" x14ac:dyDescent="0.3">
      <c r="A79" s="120">
        <v>73</v>
      </c>
      <c r="B79" s="363" t="s">
        <v>816</v>
      </c>
      <c r="C79" s="74" t="s">
        <v>817</v>
      </c>
      <c r="D79" s="72" t="s">
        <v>818</v>
      </c>
      <c r="E79" s="74"/>
      <c r="F79" s="74">
        <v>10</v>
      </c>
      <c r="G79" s="74">
        <v>10</v>
      </c>
      <c r="H79" s="74">
        <v>10</v>
      </c>
      <c r="I79" s="74">
        <v>10</v>
      </c>
      <c r="J79" s="74">
        <v>10</v>
      </c>
      <c r="K79" s="74">
        <v>10</v>
      </c>
      <c r="L79" s="74">
        <v>10</v>
      </c>
      <c r="M79" s="74">
        <v>10</v>
      </c>
      <c r="N79" s="74">
        <v>10</v>
      </c>
      <c r="O79" s="74">
        <v>10</v>
      </c>
      <c r="P79" s="74">
        <v>10</v>
      </c>
      <c r="Q79" s="74">
        <v>10</v>
      </c>
      <c r="R79" s="74">
        <f>SUM(F79:Q79)</f>
        <v>120</v>
      </c>
      <c r="S79" s="75"/>
      <c r="T79" s="75" t="s">
        <v>915</v>
      </c>
      <c r="U79" s="75"/>
      <c r="V79" s="76"/>
    </row>
    <row r="80" spans="1:26" ht="15.75" customHeight="1" x14ac:dyDescent="0.3">
      <c r="A80" s="120">
        <v>74</v>
      </c>
      <c r="B80" s="153" t="s">
        <v>819</v>
      </c>
      <c r="C80" s="44" t="s">
        <v>820</v>
      </c>
      <c r="D80" s="47" t="s">
        <v>821</v>
      </c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53"/>
    </row>
    <row r="81" spans="1:22" ht="15.75" customHeight="1" x14ac:dyDescent="0.3">
      <c r="A81" s="120">
        <v>75</v>
      </c>
      <c r="B81" s="153" t="s">
        <v>822</v>
      </c>
      <c r="C81" s="44" t="s">
        <v>823</v>
      </c>
      <c r="D81" s="47" t="s">
        <v>824</v>
      </c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53"/>
    </row>
    <row r="82" spans="1:22" ht="15.75" customHeight="1" x14ac:dyDescent="0.3">
      <c r="A82" s="120">
        <v>76</v>
      </c>
      <c r="B82" s="153" t="s">
        <v>825</v>
      </c>
      <c r="C82" s="44" t="s">
        <v>826</v>
      </c>
      <c r="D82" s="47" t="s">
        <v>827</v>
      </c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53"/>
    </row>
    <row r="83" spans="1:22" ht="15.75" customHeight="1" x14ac:dyDescent="0.3">
      <c r="A83" s="120">
        <v>77</v>
      </c>
      <c r="B83" s="153" t="s">
        <v>416</v>
      </c>
      <c r="C83" s="14" t="s">
        <v>418</v>
      </c>
      <c r="D83" s="47" t="s">
        <v>828</v>
      </c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53"/>
    </row>
    <row r="84" spans="1:22" ht="15.75" customHeight="1" x14ac:dyDescent="0.3">
      <c r="A84" s="120">
        <v>78</v>
      </c>
      <c r="B84" s="153" t="s">
        <v>829</v>
      </c>
      <c r="C84" s="44" t="s">
        <v>830</v>
      </c>
      <c r="D84" s="47" t="s">
        <v>831</v>
      </c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53"/>
    </row>
    <row r="85" spans="1:22" ht="15.75" customHeight="1" x14ac:dyDescent="0.3">
      <c r="A85" s="120">
        <v>79</v>
      </c>
      <c r="B85" s="153" t="s">
        <v>832</v>
      </c>
      <c r="C85" s="3" t="s">
        <v>584</v>
      </c>
      <c r="D85" s="47" t="s">
        <v>721</v>
      </c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53"/>
    </row>
    <row r="86" spans="1:22" ht="15.75" customHeight="1" x14ac:dyDescent="0.3">
      <c r="A86" s="120">
        <v>80</v>
      </c>
      <c r="B86" s="153" t="s">
        <v>833</v>
      </c>
      <c r="C86" s="14" t="s">
        <v>296</v>
      </c>
      <c r="D86" s="47" t="s">
        <v>834</v>
      </c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53"/>
    </row>
    <row r="87" spans="1:22" ht="15.75" customHeight="1" x14ac:dyDescent="0.3">
      <c r="A87" s="120">
        <v>81</v>
      </c>
      <c r="B87" s="153" t="s">
        <v>836</v>
      </c>
      <c r="C87" s="44" t="s">
        <v>919</v>
      </c>
      <c r="D87" s="47" t="s">
        <v>920</v>
      </c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53"/>
    </row>
    <row r="88" spans="1:22" ht="15.75" customHeight="1" x14ac:dyDescent="0.3">
      <c r="A88" s="120">
        <v>82</v>
      </c>
      <c r="B88" s="153" t="s">
        <v>837</v>
      </c>
      <c r="C88" s="44" t="s">
        <v>921</v>
      </c>
      <c r="D88" s="47" t="s">
        <v>922</v>
      </c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53"/>
    </row>
    <row r="89" spans="1:22" ht="15.75" customHeight="1" x14ac:dyDescent="0.3">
      <c r="A89" s="120">
        <v>83</v>
      </c>
      <c r="B89" s="363" t="s">
        <v>142</v>
      </c>
      <c r="C89" s="86" t="s">
        <v>144</v>
      </c>
      <c r="D89" s="72" t="s">
        <v>838</v>
      </c>
      <c r="E89" s="346"/>
      <c r="F89" s="346">
        <v>10</v>
      </c>
      <c r="G89" s="346">
        <v>10</v>
      </c>
      <c r="H89" s="346">
        <v>10</v>
      </c>
      <c r="I89" s="346">
        <v>10</v>
      </c>
      <c r="J89" s="346">
        <v>10</v>
      </c>
      <c r="K89" s="346">
        <v>10</v>
      </c>
      <c r="L89" s="346">
        <v>10</v>
      </c>
      <c r="M89" s="346">
        <v>10</v>
      </c>
      <c r="N89" s="346">
        <v>10</v>
      </c>
      <c r="O89" s="346">
        <v>10</v>
      </c>
      <c r="P89" s="346">
        <v>10</v>
      </c>
      <c r="Q89" s="346">
        <v>10</v>
      </c>
      <c r="R89" s="346">
        <f>SUM(F89:Q89)</f>
        <v>120</v>
      </c>
      <c r="S89" s="75"/>
      <c r="T89" s="75" t="s">
        <v>1002</v>
      </c>
      <c r="U89" s="75"/>
      <c r="V89" s="76"/>
    </row>
    <row r="90" spans="1:22" ht="15.75" customHeight="1" x14ac:dyDescent="0.3">
      <c r="A90" s="120">
        <v>84</v>
      </c>
      <c r="B90" s="153" t="s">
        <v>839</v>
      </c>
      <c r="C90" s="3" t="s">
        <v>572</v>
      </c>
      <c r="D90" s="345" t="s">
        <v>923</v>
      </c>
      <c r="E90" s="348"/>
      <c r="F90" s="348"/>
      <c r="G90" s="348"/>
      <c r="H90" s="348"/>
      <c r="I90" s="348"/>
      <c r="J90" s="348"/>
      <c r="K90" s="348"/>
      <c r="L90" s="348"/>
      <c r="M90" s="348"/>
      <c r="N90" s="348"/>
      <c r="O90" s="348"/>
      <c r="P90" s="348"/>
      <c r="Q90" s="348"/>
      <c r="R90" s="348"/>
    </row>
    <row r="91" spans="1:22" ht="15.75" customHeight="1" x14ac:dyDescent="0.3">
      <c r="A91" s="120">
        <v>85</v>
      </c>
      <c r="B91" s="153" t="s">
        <v>840</v>
      </c>
      <c r="C91" s="44"/>
      <c r="D91" s="47"/>
      <c r="E91" s="347"/>
      <c r="F91" s="347"/>
      <c r="G91" s="347"/>
      <c r="H91" s="347"/>
      <c r="I91" s="347"/>
      <c r="J91" s="347"/>
      <c r="K91" s="347"/>
      <c r="L91" s="347"/>
      <c r="M91" s="347"/>
      <c r="N91" s="347"/>
      <c r="O91" s="347"/>
      <c r="P91" s="347"/>
      <c r="Q91" s="347"/>
      <c r="R91" s="347"/>
      <c r="S91" s="53"/>
    </row>
    <row r="92" spans="1:22" ht="15.75" customHeight="1" x14ac:dyDescent="0.3">
      <c r="A92" s="120">
        <v>86</v>
      </c>
      <c r="B92" s="153" t="s">
        <v>841</v>
      </c>
      <c r="C92" s="3" t="s">
        <v>212</v>
      </c>
      <c r="D92" s="47" t="s">
        <v>926</v>
      </c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53"/>
    </row>
    <row r="93" spans="1:22" ht="15.75" customHeight="1" x14ac:dyDescent="0.3">
      <c r="A93" s="120">
        <v>87</v>
      </c>
      <c r="B93" s="153" t="s">
        <v>842</v>
      </c>
      <c r="C93" s="44"/>
      <c r="D93" s="47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53"/>
    </row>
    <row r="94" spans="1:22" ht="15.75" customHeight="1" x14ac:dyDescent="0.3">
      <c r="A94" s="326">
        <v>88</v>
      </c>
      <c r="B94" s="327" t="s">
        <v>644</v>
      </c>
      <c r="C94" s="336" t="s">
        <v>647</v>
      </c>
      <c r="D94" s="343" t="s">
        <v>843</v>
      </c>
      <c r="E94" s="333"/>
      <c r="F94" s="333">
        <v>10</v>
      </c>
      <c r="G94" s="333">
        <v>10</v>
      </c>
      <c r="H94" s="333">
        <v>10</v>
      </c>
      <c r="I94" s="333">
        <v>10</v>
      </c>
      <c r="J94" s="333">
        <v>10</v>
      </c>
      <c r="K94" s="333">
        <v>10</v>
      </c>
      <c r="L94" s="333">
        <v>10</v>
      </c>
      <c r="M94" s="333">
        <v>10</v>
      </c>
      <c r="N94" s="333">
        <v>10</v>
      </c>
      <c r="O94" s="333">
        <v>10</v>
      </c>
      <c r="P94" s="333">
        <v>10</v>
      </c>
      <c r="Q94" s="333">
        <v>10</v>
      </c>
      <c r="R94" s="333">
        <f>SUM(E94:Q94)</f>
        <v>120</v>
      </c>
      <c r="S94" s="334" t="s">
        <v>1226</v>
      </c>
      <c r="T94" s="335"/>
    </row>
    <row r="95" spans="1:22" ht="15.75" customHeight="1" x14ac:dyDescent="0.3">
      <c r="A95" s="120">
        <v>89</v>
      </c>
      <c r="B95" s="153" t="s">
        <v>844</v>
      </c>
      <c r="C95" s="44"/>
      <c r="D95" s="47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53"/>
    </row>
    <row r="96" spans="1:22" ht="15.75" customHeight="1" x14ac:dyDescent="0.3">
      <c r="A96" s="120">
        <v>90</v>
      </c>
      <c r="B96" s="153" t="s">
        <v>845</v>
      </c>
      <c r="C96" s="44"/>
      <c r="D96" s="47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53"/>
      <c r="U96" s="108" t="s">
        <v>1003</v>
      </c>
      <c r="V96" s="108">
        <v>33</v>
      </c>
    </row>
    <row r="97" spans="1:22" ht="15.75" customHeight="1" x14ac:dyDescent="0.3">
      <c r="A97" s="120">
        <v>91</v>
      </c>
      <c r="B97" s="153" t="s">
        <v>846</v>
      </c>
      <c r="C97" s="44"/>
      <c r="D97" s="47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53"/>
      <c r="U97" s="108" t="s">
        <v>1004</v>
      </c>
      <c r="V97" s="108">
        <v>98</v>
      </c>
    </row>
    <row r="98" spans="1:22" ht="15.75" customHeight="1" x14ac:dyDescent="0.3">
      <c r="A98" s="120">
        <v>92</v>
      </c>
      <c r="B98" s="153" t="s">
        <v>847</v>
      </c>
      <c r="C98" s="44"/>
      <c r="D98" s="47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53"/>
    </row>
    <row r="99" spans="1:22" ht="15.75" customHeight="1" x14ac:dyDescent="0.3">
      <c r="A99" s="120">
        <v>93</v>
      </c>
      <c r="B99" s="153" t="s">
        <v>848</v>
      </c>
      <c r="C99" s="44"/>
      <c r="D99" s="47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53"/>
    </row>
    <row r="100" spans="1:22" ht="15.75" customHeight="1" x14ac:dyDescent="0.3">
      <c r="A100" s="120">
        <v>94</v>
      </c>
      <c r="B100" s="153" t="s">
        <v>849</v>
      </c>
      <c r="C100" s="44"/>
      <c r="D100" s="47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53"/>
    </row>
    <row r="101" spans="1:22" ht="15.75" customHeight="1" x14ac:dyDescent="0.3">
      <c r="A101" s="120">
        <v>95</v>
      </c>
      <c r="B101" s="153" t="s">
        <v>850</v>
      </c>
      <c r="C101" s="44"/>
      <c r="D101" s="47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53"/>
    </row>
    <row r="102" spans="1:22" ht="15.75" customHeight="1" x14ac:dyDescent="0.3">
      <c r="A102" s="120">
        <v>96</v>
      </c>
      <c r="B102" s="153" t="s">
        <v>851</v>
      </c>
      <c r="C102" s="44"/>
      <c r="D102" s="47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53"/>
    </row>
    <row r="103" spans="1:22" ht="15.75" customHeight="1" x14ac:dyDescent="0.3">
      <c r="A103" s="120">
        <v>97</v>
      </c>
      <c r="B103" s="153" t="s">
        <v>852</v>
      </c>
      <c r="C103" s="44"/>
      <c r="D103" s="47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53"/>
    </row>
    <row r="104" spans="1:22" ht="15.75" customHeight="1" x14ac:dyDescent="0.3">
      <c r="A104" s="120">
        <v>98</v>
      </c>
      <c r="B104" s="153" t="s">
        <v>853</v>
      </c>
      <c r="C104" s="44"/>
      <c r="D104" s="47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53"/>
    </row>
    <row r="105" spans="1:22" ht="15.75" customHeight="1" x14ac:dyDescent="0.3">
      <c r="A105" s="120">
        <v>99</v>
      </c>
      <c r="B105" s="153" t="s">
        <v>854</v>
      </c>
      <c r="C105" s="44"/>
      <c r="D105" s="47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53"/>
    </row>
    <row r="106" spans="1:22" ht="15.75" customHeight="1" x14ac:dyDescent="0.3">
      <c r="A106" s="120">
        <v>100</v>
      </c>
      <c r="B106" s="153" t="s">
        <v>855</v>
      </c>
      <c r="C106" s="44"/>
      <c r="D106" s="47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53"/>
    </row>
    <row r="107" spans="1:22" ht="15.75" customHeight="1" x14ac:dyDescent="0.3">
      <c r="A107" s="120">
        <v>101</v>
      </c>
      <c r="B107" s="153" t="s">
        <v>856</v>
      </c>
      <c r="C107" s="44"/>
      <c r="D107" s="47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53"/>
    </row>
    <row r="108" spans="1:22" ht="15.75" customHeight="1" x14ac:dyDescent="0.3">
      <c r="A108" s="120">
        <v>102</v>
      </c>
      <c r="B108" s="153" t="s">
        <v>857</v>
      </c>
      <c r="C108" s="44"/>
      <c r="D108" s="47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53"/>
    </row>
    <row r="109" spans="1:22" ht="15.75" customHeight="1" x14ac:dyDescent="0.3">
      <c r="A109" s="120">
        <v>103</v>
      </c>
      <c r="B109" s="153" t="s">
        <v>858</v>
      </c>
      <c r="C109" s="44"/>
      <c r="D109" s="47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53"/>
    </row>
    <row r="110" spans="1:22" ht="15.75" customHeight="1" x14ac:dyDescent="0.3">
      <c r="A110" s="120">
        <v>104</v>
      </c>
      <c r="B110" s="153" t="s">
        <v>859</v>
      </c>
      <c r="C110" s="44"/>
      <c r="D110" s="47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53"/>
    </row>
    <row r="111" spans="1:22" ht="15.75" customHeight="1" x14ac:dyDescent="0.3">
      <c r="A111" s="120">
        <v>105</v>
      </c>
      <c r="B111" s="363" t="s">
        <v>468</v>
      </c>
      <c r="C111" s="74" t="s">
        <v>470</v>
      </c>
      <c r="D111" s="72" t="s">
        <v>860</v>
      </c>
      <c r="E111" s="74"/>
      <c r="F111" s="74">
        <v>10</v>
      </c>
      <c r="G111" s="74">
        <v>10</v>
      </c>
      <c r="H111" s="74">
        <v>10</v>
      </c>
      <c r="I111" s="74">
        <v>10</v>
      </c>
      <c r="J111" s="74">
        <v>10</v>
      </c>
      <c r="K111" s="74">
        <v>10</v>
      </c>
      <c r="L111" s="74">
        <v>10</v>
      </c>
      <c r="M111" s="74">
        <v>10</v>
      </c>
      <c r="N111" s="74">
        <v>10</v>
      </c>
      <c r="O111" s="74">
        <v>10</v>
      </c>
      <c r="P111" s="74">
        <v>10</v>
      </c>
      <c r="Q111" s="74">
        <v>10</v>
      </c>
      <c r="R111" s="74">
        <f>SUM(F111:Q111)</f>
        <v>120</v>
      </c>
      <c r="S111" s="75"/>
      <c r="T111" s="75" t="s">
        <v>1005</v>
      </c>
      <c r="U111" s="75"/>
    </row>
    <row r="112" spans="1:22" ht="15.75" customHeight="1" x14ac:dyDescent="0.3">
      <c r="A112" s="120">
        <v>106</v>
      </c>
      <c r="B112" s="153" t="s">
        <v>861</v>
      </c>
      <c r="C112" s="44"/>
      <c r="D112" s="47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53"/>
    </row>
    <row r="113" spans="1:22" ht="15.75" customHeight="1" x14ac:dyDescent="0.3">
      <c r="A113" s="120">
        <v>107</v>
      </c>
      <c r="B113" s="153" t="s">
        <v>862</v>
      </c>
      <c r="C113" s="44"/>
      <c r="D113" s="47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53"/>
    </row>
    <row r="114" spans="1:22" ht="15.75" customHeight="1" x14ac:dyDescent="0.3">
      <c r="A114" s="120">
        <v>108</v>
      </c>
      <c r="B114" s="153" t="s">
        <v>863</v>
      </c>
      <c r="C114" s="44"/>
      <c r="D114" s="47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53"/>
    </row>
    <row r="115" spans="1:22" ht="15.75" customHeight="1" x14ac:dyDescent="0.3">
      <c r="A115" s="120">
        <v>109</v>
      </c>
      <c r="B115" s="153" t="s">
        <v>864</v>
      </c>
      <c r="C115" s="44"/>
      <c r="D115" s="47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53"/>
    </row>
    <row r="116" spans="1:22" ht="15.75" customHeight="1" x14ac:dyDescent="0.3">
      <c r="A116" s="120">
        <v>110</v>
      </c>
      <c r="B116" s="153" t="s">
        <v>865</v>
      </c>
      <c r="C116" s="44"/>
      <c r="D116" s="47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53"/>
    </row>
    <row r="117" spans="1:22" ht="15.75" customHeight="1" x14ac:dyDescent="0.3">
      <c r="A117" s="120">
        <v>111</v>
      </c>
      <c r="B117" s="363" t="s">
        <v>621</v>
      </c>
      <c r="C117" s="86" t="s">
        <v>623</v>
      </c>
      <c r="D117" s="72" t="s">
        <v>866</v>
      </c>
      <c r="E117" s="74"/>
      <c r="F117" s="74">
        <v>10</v>
      </c>
      <c r="G117" s="74">
        <v>10</v>
      </c>
      <c r="H117" s="74">
        <v>10</v>
      </c>
      <c r="I117" s="74">
        <v>10</v>
      </c>
      <c r="J117" s="74">
        <v>10</v>
      </c>
      <c r="K117" s="74">
        <v>10</v>
      </c>
      <c r="L117" s="74">
        <v>10</v>
      </c>
      <c r="M117" s="74">
        <v>10</v>
      </c>
      <c r="N117" s="74">
        <v>10</v>
      </c>
      <c r="O117" s="74">
        <v>10</v>
      </c>
      <c r="P117" s="74">
        <v>10</v>
      </c>
      <c r="Q117" s="74">
        <v>10</v>
      </c>
      <c r="R117" s="74">
        <f>SUM(F117:Q117)</f>
        <v>120</v>
      </c>
      <c r="S117" s="75"/>
      <c r="T117" s="75" t="s">
        <v>915</v>
      </c>
      <c r="U117" s="75"/>
      <c r="V117" s="76"/>
    </row>
    <row r="118" spans="1:22" ht="15.75" customHeight="1" x14ac:dyDescent="0.3">
      <c r="A118" s="120">
        <v>112</v>
      </c>
      <c r="B118" s="363" t="s">
        <v>208</v>
      </c>
      <c r="C118" s="78" t="s">
        <v>1006</v>
      </c>
      <c r="D118" s="77" t="s">
        <v>1007</v>
      </c>
      <c r="E118" s="74"/>
      <c r="F118" s="74">
        <v>10</v>
      </c>
      <c r="G118" s="74">
        <v>10</v>
      </c>
      <c r="H118" s="74">
        <v>10</v>
      </c>
      <c r="I118" s="74">
        <v>10</v>
      </c>
      <c r="J118" s="74">
        <v>10</v>
      </c>
      <c r="K118" s="74">
        <v>10</v>
      </c>
      <c r="L118" s="74">
        <v>10</v>
      </c>
      <c r="M118" s="74">
        <v>10</v>
      </c>
      <c r="N118" s="74">
        <v>10</v>
      </c>
      <c r="O118" s="74">
        <v>10</v>
      </c>
      <c r="P118" s="74">
        <v>10</v>
      </c>
      <c r="Q118" s="74">
        <v>10</v>
      </c>
      <c r="R118" s="74">
        <v>140</v>
      </c>
      <c r="S118" s="75"/>
      <c r="T118" s="75" t="s">
        <v>1008</v>
      </c>
      <c r="U118" s="75"/>
      <c r="V118" s="76"/>
    </row>
    <row r="119" spans="1:22" ht="15.75" customHeight="1" x14ac:dyDescent="0.3">
      <c r="A119" s="120">
        <v>113</v>
      </c>
      <c r="B119" s="153" t="s">
        <v>867</v>
      </c>
      <c r="C119" s="44"/>
      <c r="D119" s="47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53"/>
    </row>
    <row r="120" spans="1:22" ht="15.75" customHeight="1" x14ac:dyDescent="0.3">
      <c r="A120" s="120">
        <v>114</v>
      </c>
      <c r="B120" s="153" t="s">
        <v>868</v>
      </c>
      <c r="C120" s="44"/>
      <c r="D120" s="47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53"/>
    </row>
    <row r="121" spans="1:22" ht="15.75" customHeight="1" x14ac:dyDescent="0.3">
      <c r="A121" s="120">
        <v>115</v>
      </c>
      <c r="B121" s="153" t="s">
        <v>869</v>
      </c>
      <c r="C121" s="44"/>
      <c r="D121" s="47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53"/>
    </row>
    <row r="122" spans="1:22" ht="15.75" customHeight="1" x14ac:dyDescent="0.3">
      <c r="A122" s="120">
        <v>116</v>
      </c>
      <c r="B122" s="153" t="s">
        <v>870</v>
      </c>
      <c r="C122" s="44"/>
      <c r="D122" s="47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53"/>
    </row>
    <row r="123" spans="1:22" ht="15.75" customHeight="1" x14ac:dyDescent="0.3">
      <c r="A123" s="120">
        <v>117</v>
      </c>
      <c r="B123" s="153" t="s">
        <v>871</v>
      </c>
      <c r="C123" s="44"/>
      <c r="D123" s="47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53"/>
    </row>
    <row r="124" spans="1:22" ht="15.75" customHeight="1" x14ac:dyDescent="0.3">
      <c r="A124" s="120">
        <v>118</v>
      </c>
      <c r="B124" s="153" t="s">
        <v>872</v>
      </c>
      <c r="C124" s="44"/>
      <c r="D124" s="47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53"/>
    </row>
    <row r="125" spans="1:22" ht="15.75" customHeight="1" x14ac:dyDescent="0.3">
      <c r="A125" s="120">
        <v>119</v>
      </c>
      <c r="B125" s="153" t="s">
        <v>873</v>
      </c>
      <c r="C125" s="44"/>
      <c r="D125" s="47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53"/>
    </row>
    <row r="126" spans="1:22" ht="15.75" customHeight="1" x14ac:dyDescent="0.3">
      <c r="A126" s="120">
        <v>120</v>
      </c>
      <c r="B126" s="153" t="s">
        <v>246</v>
      </c>
      <c r="C126" s="44"/>
      <c r="D126" s="47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53"/>
    </row>
    <row r="127" spans="1:22" ht="15.75" customHeight="1" x14ac:dyDescent="0.3">
      <c r="A127" s="120">
        <v>121</v>
      </c>
      <c r="B127" s="153" t="s">
        <v>540</v>
      </c>
      <c r="C127" s="44" t="s">
        <v>874</v>
      </c>
      <c r="D127" s="47" t="s">
        <v>875</v>
      </c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53"/>
    </row>
    <row r="128" spans="1:22" ht="15.75" customHeight="1" x14ac:dyDescent="0.3">
      <c r="A128" s="120">
        <v>122</v>
      </c>
      <c r="B128" s="153" t="s">
        <v>876</v>
      </c>
      <c r="C128" s="44"/>
      <c r="D128" s="47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53"/>
    </row>
    <row r="129" spans="1:26" ht="15.75" customHeight="1" x14ac:dyDescent="0.3">
      <c r="A129" s="120">
        <v>123</v>
      </c>
      <c r="B129" s="363" t="s">
        <v>165</v>
      </c>
      <c r="C129" s="86" t="s">
        <v>167</v>
      </c>
      <c r="D129" s="72" t="s">
        <v>877</v>
      </c>
      <c r="E129" s="74"/>
      <c r="F129" s="74">
        <v>10</v>
      </c>
      <c r="G129" s="74">
        <v>10</v>
      </c>
      <c r="H129" s="74">
        <v>10</v>
      </c>
      <c r="I129" s="74">
        <v>10</v>
      </c>
      <c r="J129" s="74">
        <v>10</v>
      </c>
      <c r="K129" s="74">
        <v>10</v>
      </c>
      <c r="L129" s="74">
        <v>10</v>
      </c>
      <c r="M129" s="74">
        <v>10</v>
      </c>
      <c r="N129" s="74">
        <v>10</v>
      </c>
      <c r="O129" s="74">
        <v>10</v>
      </c>
      <c r="P129" s="74">
        <v>10</v>
      </c>
      <c r="Q129" s="74">
        <v>10</v>
      </c>
      <c r="R129" s="74">
        <f>SUM(F129:Q129)</f>
        <v>120</v>
      </c>
      <c r="S129" s="75"/>
      <c r="T129" s="75" t="s">
        <v>956</v>
      </c>
      <c r="U129" s="75"/>
    </row>
    <row r="130" spans="1:26" ht="15.75" customHeight="1" x14ac:dyDescent="0.3">
      <c r="A130" s="120">
        <v>124</v>
      </c>
      <c r="B130" s="153" t="s">
        <v>878</v>
      </c>
      <c r="C130" s="44"/>
      <c r="D130" s="47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53"/>
    </row>
    <row r="131" spans="1:26" ht="15.75" customHeight="1" x14ac:dyDescent="0.3">
      <c r="A131" s="120">
        <v>125</v>
      </c>
      <c r="B131" s="363" t="s">
        <v>476</v>
      </c>
      <c r="C131" s="86" t="s">
        <v>478</v>
      </c>
      <c r="D131" s="72" t="s">
        <v>879</v>
      </c>
      <c r="E131" s="74"/>
      <c r="F131" s="74">
        <v>10</v>
      </c>
      <c r="G131" s="74">
        <v>10</v>
      </c>
      <c r="H131" s="74">
        <v>10</v>
      </c>
      <c r="I131" s="74">
        <v>10</v>
      </c>
      <c r="J131" s="74">
        <v>10</v>
      </c>
      <c r="K131" s="74">
        <v>10</v>
      </c>
      <c r="L131" s="74">
        <v>10</v>
      </c>
      <c r="M131" s="74">
        <v>10</v>
      </c>
      <c r="N131" s="74">
        <v>10</v>
      </c>
      <c r="O131" s="74">
        <v>10</v>
      </c>
      <c r="P131" s="74">
        <v>10</v>
      </c>
      <c r="Q131" s="74">
        <v>10</v>
      </c>
      <c r="R131" s="74">
        <f>SUM(F131:Q131)</f>
        <v>120</v>
      </c>
      <c r="S131" s="75"/>
      <c r="T131" s="75" t="s">
        <v>956</v>
      </c>
      <c r="U131" s="75"/>
      <c r="V131" s="76"/>
    </row>
    <row r="132" spans="1:26" ht="15.75" customHeight="1" x14ac:dyDescent="0.3">
      <c r="A132" s="120"/>
      <c r="B132" s="153" t="s">
        <v>387</v>
      </c>
      <c r="C132" s="14" t="s">
        <v>880</v>
      </c>
      <c r="D132" s="47" t="s">
        <v>881</v>
      </c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53"/>
    </row>
    <row r="133" spans="1:26" ht="15.75" customHeight="1" x14ac:dyDescent="0.3">
      <c r="A133" s="120"/>
      <c r="B133" s="153" t="s">
        <v>662</v>
      </c>
      <c r="C133" s="14" t="s">
        <v>665</v>
      </c>
      <c r="D133" s="47" t="s">
        <v>882</v>
      </c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53"/>
    </row>
    <row r="134" spans="1:26" ht="15.75" customHeight="1" x14ac:dyDescent="0.3">
      <c r="A134" s="119"/>
      <c r="B134" s="362" t="s">
        <v>496</v>
      </c>
      <c r="C134" s="19" t="s">
        <v>498</v>
      </c>
      <c r="D134" s="77" t="s">
        <v>1009</v>
      </c>
      <c r="E134" s="78"/>
      <c r="F134" s="74">
        <v>10</v>
      </c>
      <c r="G134" s="74">
        <v>10</v>
      </c>
      <c r="H134" s="74">
        <v>10</v>
      </c>
      <c r="I134" s="74">
        <v>10</v>
      </c>
      <c r="J134" s="74">
        <v>10</v>
      </c>
      <c r="K134" s="74">
        <v>10</v>
      </c>
      <c r="L134" s="74">
        <v>10</v>
      </c>
      <c r="M134" s="74">
        <v>10</v>
      </c>
      <c r="N134" s="74">
        <v>10</v>
      </c>
      <c r="O134" s="74">
        <v>10</v>
      </c>
      <c r="P134" s="74">
        <v>10</v>
      </c>
      <c r="Q134" s="74">
        <v>10</v>
      </c>
      <c r="R134" s="74">
        <f>SUM(F134:Q134)</f>
        <v>120</v>
      </c>
      <c r="S134" s="75"/>
      <c r="T134" s="75" t="s">
        <v>975</v>
      </c>
      <c r="U134" s="75"/>
      <c r="V134" s="76"/>
    </row>
    <row r="135" spans="1:26" ht="15.75" customHeight="1" x14ac:dyDescent="0.3">
      <c r="A135" s="120"/>
      <c r="B135" s="153" t="s">
        <v>13</v>
      </c>
      <c r="C135" s="44" t="s">
        <v>886</v>
      </c>
      <c r="D135" s="47" t="s">
        <v>887</v>
      </c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53"/>
      <c r="U135" s="20">
        <f t="shared" ref="U135:U138" si="6">IF(R135=120,(R135+E135),0)</f>
        <v>0</v>
      </c>
    </row>
    <row r="136" spans="1:26" ht="15.75" customHeight="1" x14ac:dyDescent="0.3">
      <c r="A136" s="120"/>
      <c r="B136" s="363" t="s">
        <v>93</v>
      </c>
      <c r="C136" s="74" t="s">
        <v>95</v>
      </c>
      <c r="D136" s="72"/>
      <c r="E136" s="74"/>
      <c r="F136" s="74">
        <v>10</v>
      </c>
      <c r="G136" s="74">
        <v>10</v>
      </c>
      <c r="H136" s="74">
        <v>10</v>
      </c>
      <c r="I136" s="74">
        <v>10</v>
      </c>
      <c r="J136" s="74">
        <v>10</v>
      </c>
      <c r="K136" s="74">
        <v>10</v>
      </c>
      <c r="L136" s="74">
        <v>10</v>
      </c>
      <c r="M136" s="74">
        <v>10</v>
      </c>
      <c r="N136" s="74">
        <v>10</v>
      </c>
      <c r="O136" s="74">
        <v>10</v>
      </c>
      <c r="P136" s="74">
        <v>10</v>
      </c>
      <c r="Q136" s="74">
        <v>10</v>
      </c>
      <c r="R136" s="74">
        <f>SUM(F136:Q136)</f>
        <v>120</v>
      </c>
      <c r="S136" s="109"/>
      <c r="T136" s="110" t="s">
        <v>1010</v>
      </c>
      <c r="U136" s="111">
        <f t="shared" si="6"/>
        <v>120</v>
      </c>
      <c r="V136" s="20" t="s">
        <v>932</v>
      </c>
    </row>
    <row r="137" spans="1:26" ht="15.75" customHeight="1" x14ac:dyDescent="0.3">
      <c r="A137" s="120"/>
      <c r="B137" s="153" t="s">
        <v>409</v>
      </c>
      <c r="C137" s="3" t="s">
        <v>412</v>
      </c>
      <c r="D137" s="47" t="s">
        <v>888</v>
      </c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53"/>
      <c r="U137" s="20">
        <f t="shared" si="6"/>
        <v>0</v>
      </c>
    </row>
    <row r="138" spans="1:26" ht="15.75" customHeight="1" x14ac:dyDescent="0.3">
      <c r="A138" s="120"/>
      <c r="B138" s="153" t="s">
        <v>602</v>
      </c>
      <c r="C138" s="3" t="s">
        <v>933</v>
      </c>
      <c r="D138" s="47" t="s">
        <v>736</v>
      </c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53"/>
      <c r="T138" s="53">
        <f>R138+E138</f>
        <v>0</v>
      </c>
      <c r="U138" s="53">
        <f t="shared" si="6"/>
        <v>0</v>
      </c>
      <c r="V138" s="53"/>
      <c r="W138" s="53"/>
      <c r="X138" s="53"/>
      <c r="Y138" s="53"/>
      <c r="Z138" s="53"/>
    </row>
    <row r="139" spans="1:26" ht="15.75" customHeight="1" x14ac:dyDescent="0.3">
      <c r="A139" s="120"/>
      <c r="B139" s="362" t="s">
        <v>890</v>
      </c>
      <c r="C139" s="73" t="s">
        <v>891</v>
      </c>
      <c r="D139" s="72" t="s">
        <v>892</v>
      </c>
      <c r="E139" s="74"/>
      <c r="F139" s="74">
        <v>10</v>
      </c>
      <c r="G139" s="74">
        <v>10</v>
      </c>
      <c r="H139" s="74">
        <v>10</v>
      </c>
      <c r="I139" s="74">
        <v>10</v>
      </c>
      <c r="J139" s="74">
        <v>10</v>
      </c>
      <c r="K139" s="74">
        <v>10</v>
      </c>
      <c r="L139" s="74">
        <v>10</v>
      </c>
      <c r="M139" s="74">
        <v>10</v>
      </c>
      <c r="N139" s="74">
        <v>10</v>
      </c>
      <c r="O139" s="74">
        <v>10</v>
      </c>
      <c r="P139" s="74">
        <v>10</v>
      </c>
      <c r="Q139" s="74">
        <v>10</v>
      </c>
      <c r="R139" s="74">
        <f>SUM(F139:Q139)</f>
        <v>120</v>
      </c>
      <c r="S139" s="75"/>
      <c r="T139" s="75" t="s">
        <v>971</v>
      </c>
      <c r="U139" s="75"/>
      <c r="V139" s="76" t="s">
        <v>1011</v>
      </c>
      <c r="W139" s="53"/>
      <c r="X139" s="53"/>
      <c r="Y139" s="53"/>
      <c r="Z139" s="53"/>
    </row>
    <row r="140" spans="1:26" ht="15.75" customHeight="1" x14ac:dyDescent="0.3">
      <c r="A140" s="120"/>
      <c r="B140" s="153" t="s">
        <v>893</v>
      </c>
      <c r="C140" s="3" t="s">
        <v>894</v>
      </c>
      <c r="D140" s="47" t="s">
        <v>895</v>
      </c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 x14ac:dyDescent="0.3">
      <c r="A141" s="120"/>
      <c r="B141" s="362" t="s">
        <v>1012</v>
      </c>
      <c r="C141" s="24" t="s">
        <v>1013</v>
      </c>
      <c r="D141" s="77" t="s">
        <v>1014</v>
      </c>
      <c r="E141" s="78"/>
      <c r="F141" s="78">
        <v>10</v>
      </c>
      <c r="G141" s="78">
        <v>10</v>
      </c>
      <c r="H141" s="78">
        <v>10</v>
      </c>
      <c r="I141" s="78">
        <v>10</v>
      </c>
      <c r="J141" s="78">
        <v>10</v>
      </c>
      <c r="K141" s="78">
        <v>10</v>
      </c>
      <c r="L141" s="78">
        <v>10</v>
      </c>
      <c r="M141" s="78">
        <v>10</v>
      </c>
      <c r="N141" s="78">
        <v>10</v>
      </c>
      <c r="O141" s="78">
        <v>10</v>
      </c>
      <c r="P141" s="78">
        <v>10</v>
      </c>
      <c r="Q141" s="78">
        <v>10</v>
      </c>
      <c r="R141" s="78">
        <f>SUM(F141:Q141)</f>
        <v>120</v>
      </c>
      <c r="S141" s="79"/>
      <c r="T141" s="79" t="s">
        <v>975</v>
      </c>
      <c r="U141" s="79"/>
      <c r="V141" s="112"/>
      <c r="W141" s="53"/>
    </row>
    <row r="142" spans="1:26" ht="15.75" customHeight="1" x14ac:dyDescent="0.3">
      <c r="A142" s="149"/>
      <c r="B142" s="152"/>
      <c r="C142" s="62"/>
      <c r="D142" s="39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</row>
    <row r="143" spans="1:26" ht="15.75" customHeight="1" x14ac:dyDescent="0.3">
      <c r="B143" s="152"/>
      <c r="D143" s="39" t="s">
        <v>896</v>
      </c>
      <c r="E143" s="20">
        <f t="shared" ref="E143:U143" si="7">SUM(E7:E141)</f>
        <v>0</v>
      </c>
      <c r="F143" s="20">
        <f t="shared" si="7"/>
        <v>570</v>
      </c>
      <c r="G143" s="20">
        <f t="shared" si="7"/>
        <v>570</v>
      </c>
      <c r="H143" s="20">
        <f t="shared" si="7"/>
        <v>570</v>
      </c>
      <c r="I143" s="20">
        <f t="shared" si="7"/>
        <v>570</v>
      </c>
      <c r="J143" s="20">
        <f t="shared" si="7"/>
        <v>570</v>
      </c>
      <c r="K143" s="20">
        <f t="shared" si="7"/>
        <v>570</v>
      </c>
      <c r="L143" s="20">
        <f t="shared" si="7"/>
        <v>570</v>
      </c>
      <c r="M143" s="20">
        <f t="shared" si="7"/>
        <v>570</v>
      </c>
      <c r="N143" s="20">
        <f t="shared" si="7"/>
        <v>570</v>
      </c>
      <c r="O143" s="20">
        <f t="shared" si="7"/>
        <v>570</v>
      </c>
      <c r="P143" s="20">
        <f t="shared" si="7"/>
        <v>570</v>
      </c>
      <c r="Q143" s="20">
        <f t="shared" si="7"/>
        <v>570</v>
      </c>
      <c r="R143" s="20">
        <f t="shared" si="7"/>
        <v>6860</v>
      </c>
      <c r="S143" s="20">
        <f t="shared" si="7"/>
        <v>0</v>
      </c>
      <c r="T143" s="20">
        <f t="shared" si="7"/>
        <v>0</v>
      </c>
      <c r="U143" s="20">
        <f t="shared" si="7"/>
        <v>120</v>
      </c>
    </row>
    <row r="144" spans="1:26" ht="15.75" customHeight="1" x14ac:dyDescent="0.3">
      <c r="B144" s="152"/>
      <c r="D144" s="39"/>
      <c r="E144" s="20">
        <f>E143/20</f>
        <v>0</v>
      </c>
    </row>
    <row r="145" spans="2:19" ht="15.75" customHeight="1" x14ac:dyDescent="0.3">
      <c r="B145" s="152"/>
      <c r="D145" s="39"/>
    </row>
    <row r="146" spans="2:19" ht="15.75" customHeight="1" x14ac:dyDescent="0.3">
      <c r="B146" s="152"/>
      <c r="D146" s="39"/>
      <c r="S146" s="20">
        <f>S143-110</f>
        <v>-110</v>
      </c>
    </row>
    <row r="147" spans="2:19" ht="15.75" customHeight="1" x14ac:dyDescent="0.3">
      <c r="B147" s="152"/>
      <c r="D147" s="39"/>
      <c r="S147" s="20">
        <f>S146/120</f>
        <v>-0.91666666666666663</v>
      </c>
    </row>
    <row r="148" spans="2:19" ht="15.75" customHeight="1" x14ac:dyDescent="0.3">
      <c r="B148" s="152"/>
      <c r="D148" s="39"/>
    </row>
    <row r="149" spans="2:19" ht="15.75" customHeight="1" x14ac:dyDescent="0.3">
      <c r="B149" s="152"/>
      <c r="D149" s="39"/>
    </row>
    <row r="150" spans="2:19" ht="15.75" customHeight="1" x14ac:dyDescent="0.3">
      <c r="B150" s="152"/>
      <c r="D150" s="39"/>
    </row>
    <row r="151" spans="2:19" ht="15.75" customHeight="1" x14ac:dyDescent="0.3">
      <c r="B151" s="152"/>
      <c r="D151" s="39"/>
    </row>
    <row r="152" spans="2:19" ht="15.75" customHeight="1" x14ac:dyDescent="0.3">
      <c r="B152" s="152"/>
      <c r="D152" s="39"/>
    </row>
    <row r="153" spans="2:19" ht="15.75" customHeight="1" x14ac:dyDescent="0.3">
      <c r="B153" s="152"/>
      <c r="D153" s="39"/>
    </row>
    <row r="154" spans="2:19" ht="15.75" customHeight="1" x14ac:dyDescent="0.3">
      <c r="B154" s="152"/>
      <c r="D154" s="39"/>
    </row>
    <row r="155" spans="2:19" ht="15.75" customHeight="1" x14ac:dyDescent="0.3">
      <c r="B155" s="152"/>
      <c r="D155" s="39"/>
    </row>
    <row r="156" spans="2:19" ht="15.75" customHeight="1" x14ac:dyDescent="0.3">
      <c r="B156" s="152"/>
      <c r="D156" s="39"/>
    </row>
    <row r="157" spans="2:19" ht="15.75" customHeight="1" x14ac:dyDescent="0.3">
      <c r="B157" s="152"/>
      <c r="D157" s="39"/>
    </row>
    <row r="158" spans="2:19" ht="15.75" customHeight="1" x14ac:dyDescent="0.3">
      <c r="B158" s="152"/>
      <c r="D158" s="39"/>
    </row>
    <row r="159" spans="2:19" ht="15.75" customHeight="1" x14ac:dyDescent="0.3">
      <c r="B159" s="152"/>
      <c r="D159" s="39"/>
    </row>
    <row r="160" spans="2:19" ht="15.75" customHeight="1" x14ac:dyDescent="0.3">
      <c r="B160" s="152"/>
      <c r="D160" s="39"/>
    </row>
    <row r="161" spans="2:4" ht="15.75" customHeight="1" x14ac:dyDescent="0.3">
      <c r="B161" s="152"/>
      <c r="D161" s="39"/>
    </row>
    <row r="162" spans="2:4" ht="15.75" customHeight="1" x14ac:dyDescent="0.3">
      <c r="B162" s="152"/>
      <c r="D162" s="39"/>
    </row>
    <row r="163" spans="2:4" ht="15.75" customHeight="1" x14ac:dyDescent="0.3">
      <c r="B163" s="152"/>
      <c r="D163" s="39"/>
    </row>
    <row r="164" spans="2:4" ht="15.75" customHeight="1" x14ac:dyDescent="0.3">
      <c r="B164" s="152"/>
      <c r="D164" s="39"/>
    </row>
    <row r="165" spans="2:4" ht="15.75" customHeight="1" x14ac:dyDescent="0.3">
      <c r="B165" s="152"/>
      <c r="D165" s="39"/>
    </row>
    <row r="166" spans="2:4" ht="15.75" customHeight="1" x14ac:dyDescent="0.3">
      <c r="B166" s="152"/>
      <c r="D166" s="39"/>
    </row>
    <row r="167" spans="2:4" ht="15.75" customHeight="1" x14ac:dyDescent="0.3">
      <c r="B167" s="152"/>
      <c r="D167" s="39"/>
    </row>
    <row r="168" spans="2:4" ht="15.75" customHeight="1" x14ac:dyDescent="0.3">
      <c r="B168" s="152"/>
      <c r="D168" s="39"/>
    </row>
    <row r="169" spans="2:4" ht="15.75" customHeight="1" x14ac:dyDescent="0.3">
      <c r="B169" s="152"/>
      <c r="D169" s="39"/>
    </row>
    <row r="170" spans="2:4" ht="15.75" customHeight="1" x14ac:dyDescent="0.3">
      <c r="B170" s="152"/>
      <c r="D170" s="39"/>
    </row>
    <row r="171" spans="2:4" ht="15.75" customHeight="1" x14ac:dyDescent="0.3">
      <c r="B171" s="152"/>
      <c r="D171" s="39"/>
    </row>
    <row r="172" spans="2:4" ht="15.75" customHeight="1" x14ac:dyDescent="0.3">
      <c r="B172" s="152"/>
      <c r="D172" s="39"/>
    </row>
    <row r="173" spans="2:4" ht="15.75" customHeight="1" x14ac:dyDescent="0.3">
      <c r="B173" s="152"/>
      <c r="D173" s="39"/>
    </row>
    <row r="174" spans="2:4" ht="15.75" customHeight="1" x14ac:dyDescent="0.3">
      <c r="B174" s="152"/>
      <c r="D174" s="39"/>
    </row>
    <row r="175" spans="2:4" ht="15.75" customHeight="1" x14ac:dyDescent="0.3">
      <c r="B175" s="152"/>
      <c r="D175" s="39"/>
    </row>
    <row r="176" spans="2:4" ht="15.75" customHeight="1" x14ac:dyDescent="0.3">
      <c r="B176" s="152"/>
      <c r="D176" s="39"/>
    </row>
    <row r="177" spans="2:4" ht="15.75" customHeight="1" x14ac:dyDescent="0.3">
      <c r="B177" s="152"/>
      <c r="D177" s="39"/>
    </row>
    <row r="178" spans="2:4" ht="15.75" customHeight="1" x14ac:dyDescent="0.3">
      <c r="B178" s="152"/>
      <c r="D178" s="39"/>
    </row>
    <row r="179" spans="2:4" ht="15.75" customHeight="1" x14ac:dyDescent="0.3">
      <c r="B179" s="152"/>
      <c r="D179" s="39"/>
    </row>
    <row r="180" spans="2:4" ht="15.75" customHeight="1" x14ac:dyDescent="0.3">
      <c r="B180" s="152"/>
      <c r="D180" s="39"/>
    </row>
    <row r="181" spans="2:4" ht="15.75" customHeight="1" x14ac:dyDescent="0.3">
      <c r="B181" s="152"/>
      <c r="D181" s="39"/>
    </row>
    <row r="182" spans="2:4" ht="15.75" customHeight="1" x14ac:dyDescent="0.3">
      <c r="B182" s="152"/>
      <c r="D182" s="39"/>
    </row>
    <row r="183" spans="2:4" ht="15.75" customHeight="1" x14ac:dyDescent="0.3">
      <c r="B183" s="152"/>
      <c r="D183" s="39"/>
    </row>
    <row r="184" spans="2:4" ht="15.75" customHeight="1" x14ac:dyDescent="0.3">
      <c r="B184" s="152"/>
      <c r="D184" s="39"/>
    </row>
    <row r="185" spans="2:4" ht="15.75" customHeight="1" x14ac:dyDescent="0.3">
      <c r="B185" s="152"/>
      <c r="D185" s="39"/>
    </row>
    <row r="186" spans="2:4" ht="15.75" customHeight="1" x14ac:dyDescent="0.3">
      <c r="B186" s="152"/>
      <c r="D186" s="39"/>
    </row>
    <row r="187" spans="2:4" ht="15.75" customHeight="1" x14ac:dyDescent="0.3">
      <c r="B187" s="152"/>
      <c r="D187" s="39"/>
    </row>
    <row r="188" spans="2:4" ht="15.75" customHeight="1" x14ac:dyDescent="0.3"/>
    <row r="189" spans="2:4" ht="15.75" customHeight="1" x14ac:dyDescent="0.3"/>
    <row r="190" spans="2:4" ht="15.75" customHeight="1" x14ac:dyDescent="0.3"/>
    <row r="191" spans="2:4" ht="15.75" customHeight="1" x14ac:dyDescent="0.3"/>
    <row r="192" spans="2:4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">
    <mergeCell ref="A2:R2"/>
    <mergeCell ref="A3:B3"/>
    <mergeCell ref="A5:A6"/>
    <mergeCell ref="B5:B6"/>
    <mergeCell ref="C5:C6"/>
    <mergeCell ref="D5:D6"/>
    <mergeCell ref="E5:E6"/>
    <mergeCell ref="F5:R5"/>
  </mergeCells>
  <pageMargins left="0.7" right="0.7" top="0.75" bottom="0.75" header="0" footer="0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040"/>
  <sheetViews>
    <sheetView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N39" sqref="N39"/>
    </sheetView>
  </sheetViews>
  <sheetFormatPr defaultColWidth="14.44140625" defaultRowHeight="15" customHeight="1" x14ac:dyDescent="0.3"/>
  <cols>
    <col min="1" max="1" width="8.88671875" style="148" customWidth="1"/>
    <col min="2" max="2" width="10.6640625" style="148" customWidth="1"/>
    <col min="3" max="3" width="45.33203125" customWidth="1"/>
    <col min="4" max="4" width="9.44140625" style="148" customWidth="1"/>
    <col min="5" max="6" width="6" style="148" customWidth="1"/>
    <col min="7" max="7" width="6.77734375" style="148" customWidth="1"/>
    <col min="8" max="9" width="8.88671875" style="148" customWidth="1"/>
    <col min="10" max="10" width="11.6640625" style="148" customWidth="1"/>
    <col min="11" max="11" width="8.88671875" style="148" customWidth="1"/>
    <col min="12" max="12" width="8.88671875" customWidth="1"/>
    <col min="13" max="13" width="10.6640625" customWidth="1"/>
    <col min="14" max="18" width="8.88671875" customWidth="1"/>
  </cols>
  <sheetData>
    <row r="1" spans="1:18" ht="14.4" x14ac:dyDescent="0.3">
      <c r="B1" s="152"/>
      <c r="D1" s="152"/>
    </row>
    <row r="2" spans="1:18" ht="21" x14ac:dyDescent="0.4">
      <c r="A2" s="376" t="s">
        <v>1015</v>
      </c>
      <c r="B2" s="377"/>
      <c r="C2" s="377"/>
      <c r="D2" s="377"/>
      <c r="E2" s="377"/>
      <c r="F2" s="377"/>
    </row>
    <row r="3" spans="1:18" ht="21" x14ac:dyDescent="0.4">
      <c r="A3" s="376" t="s">
        <v>687</v>
      </c>
      <c r="B3" s="377"/>
      <c r="C3" s="41">
        <f>42810</f>
        <v>42810</v>
      </c>
      <c r="D3" s="40"/>
      <c r="F3" s="40"/>
    </row>
    <row r="4" spans="1:18" ht="57.6" x14ac:dyDescent="0.3">
      <c r="B4" s="152"/>
      <c r="D4" s="152"/>
      <c r="J4" s="167" t="s">
        <v>1145</v>
      </c>
    </row>
    <row r="5" spans="1:18" ht="14.4" x14ac:dyDescent="0.3">
      <c r="A5" s="378" t="s">
        <v>3</v>
      </c>
      <c r="B5" s="380" t="s">
        <v>688</v>
      </c>
      <c r="C5" s="378" t="s">
        <v>689</v>
      </c>
      <c r="D5" s="380" t="s">
        <v>690</v>
      </c>
      <c r="E5" s="388" t="s">
        <v>1016</v>
      </c>
      <c r="F5" s="389"/>
      <c r="G5" s="390"/>
      <c r="H5" s="214"/>
      <c r="I5" s="214"/>
      <c r="J5" s="215"/>
      <c r="K5" s="214"/>
    </row>
    <row r="6" spans="1:18" ht="14.4" x14ac:dyDescent="0.3">
      <c r="A6" s="381"/>
      <c r="B6" s="381"/>
      <c r="C6" s="379"/>
      <c r="D6" s="387"/>
      <c r="E6" s="216">
        <v>2017</v>
      </c>
      <c r="F6" s="216">
        <v>2018</v>
      </c>
      <c r="G6" s="216">
        <v>2019</v>
      </c>
      <c r="H6" s="217">
        <v>2020</v>
      </c>
      <c r="I6" s="217">
        <v>2021</v>
      </c>
      <c r="J6" s="218">
        <v>2022</v>
      </c>
      <c r="K6" s="205">
        <v>2023</v>
      </c>
    </row>
    <row r="7" spans="1:18" ht="14.4" x14ac:dyDescent="0.3">
      <c r="A7" s="120">
        <v>1</v>
      </c>
      <c r="B7" s="206" t="s">
        <v>636</v>
      </c>
      <c r="C7" s="14" t="s">
        <v>638</v>
      </c>
      <c r="D7" s="177" t="s">
        <v>706</v>
      </c>
      <c r="E7" s="219">
        <v>0</v>
      </c>
      <c r="F7" s="219">
        <v>0</v>
      </c>
      <c r="G7" s="219">
        <v>0</v>
      </c>
      <c r="H7" s="219">
        <v>0</v>
      </c>
      <c r="I7" s="219">
        <v>0</v>
      </c>
      <c r="J7" s="220">
        <v>0</v>
      </c>
      <c r="K7" s="219">
        <v>120</v>
      </c>
      <c r="L7" s="53"/>
      <c r="M7" s="53"/>
      <c r="N7" s="53"/>
      <c r="O7" s="53"/>
      <c r="P7" s="53"/>
      <c r="Q7" s="53"/>
      <c r="R7" s="53"/>
    </row>
    <row r="8" spans="1:18" ht="14.4" x14ac:dyDescent="0.3">
      <c r="A8" s="120">
        <v>2</v>
      </c>
      <c r="B8" s="206" t="s">
        <v>455</v>
      </c>
      <c r="C8" s="44" t="s">
        <v>708</v>
      </c>
      <c r="D8" s="177" t="s">
        <v>709</v>
      </c>
      <c r="E8" s="219">
        <v>0</v>
      </c>
      <c r="F8" s="219">
        <v>0</v>
      </c>
      <c r="G8" s="219">
        <v>0</v>
      </c>
      <c r="H8" s="219">
        <v>120</v>
      </c>
      <c r="I8" s="219">
        <v>120</v>
      </c>
      <c r="J8" s="219">
        <v>120</v>
      </c>
      <c r="K8" s="219">
        <v>120</v>
      </c>
      <c r="L8" s="53"/>
      <c r="M8" s="53"/>
      <c r="N8" s="53"/>
      <c r="O8" s="53"/>
      <c r="P8" s="53"/>
      <c r="Q8" s="53"/>
      <c r="R8" s="53"/>
    </row>
    <row r="9" spans="1:18" ht="14.4" x14ac:dyDescent="0.3">
      <c r="A9" s="120">
        <v>3</v>
      </c>
      <c r="B9" s="153" t="s">
        <v>103</v>
      </c>
      <c r="C9" s="44" t="s">
        <v>936</v>
      </c>
      <c r="D9" s="177" t="s">
        <v>711</v>
      </c>
      <c r="E9" s="219">
        <v>0</v>
      </c>
      <c r="F9" s="219">
        <v>0</v>
      </c>
      <c r="G9" s="219">
        <v>0</v>
      </c>
      <c r="H9" s="220">
        <v>0</v>
      </c>
      <c r="I9" s="220">
        <v>0</v>
      </c>
      <c r="J9" s="220">
        <v>0</v>
      </c>
      <c r="K9" s="219">
        <v>120</v>
      </c>
      <c r="L9" s="53"/>
      <c r="M9" s="53"/>
      <c r="N9" s="53"/>
      <c r="O9" s="53"/>
      <c r="P9" s="53"/>
      <c r="Q9" s="53"/>
      <c r="R9" s="53"/>
    </row>
    <row r="10" spans="1:18" ht="14.4" x14ac:dyDescent="0.3">
      <c r="A10" s="120">
        <v>4</v>
      </c>
      <c r="B10" s="153" t="s">
        <v>283</v>
      </c>
      <c r="C10" s="44" t="s">
        <v>712</v>
      </c>
      <c r="D10" s="177" t="s">
        <v>713</v>
      </c>
      <c r="E10" s="219">
        <v>0</v>
      </c>
      <c r="F10" s="219">
        <v>0</v>
      </c>
      <c r="G10" s="219">
        <v>0</v>
      </c>
      <c r="H10" s="219">
        <v>0</v>
      </c>
      <c r="I10" s="220">
        <v>120</v>
      </c>
      <c r="J10" s="220">
        <v>0</v>
      </c>
      <c r="K10" s="219">
        <v>120</v>
      </c>
      <c r="L10" s="53"/>
      <c r="M10" s="53"/>
      <c r="N10" s="53"/>
      <c r="O10" s="53"/>
      <c r="P10" s="53"/>
      <c r="Q10" s="53"/>
      <c r="R10" s="53"/>
    </row>
    <row r="11" spans="1:18" ht="14.4" x14ac:dyDescent="0.3">
      <c r="A11" s="120">
        <v>5</v>
      </c>
      <c r="B11" s="153" t="s">
        <v>39</v>
      </c>
      <c r="C11" s="14" t="s">
        <v>715</v>
      </c>
      <c r="D11" s="177" t="s">
        <v>716</v>
      </c>
      <c r="E11" s="219">
        <v>0</v>
      </c>
      <c r="F11" s="219">
        <v>0</v>
      </c>
      <c r="G11" s="219">
        <v>0</v>
      </c>
      <c r="H11" s="219">
        <v>120</v>
      </c>
      <c r="I11" s="219">
        <v>120</v>
      </c>
      <c r="J11" s="220">
        <v>120</v>
      </c>
      <c r="K11" s="219">
        <v>120</v>
      </c>
      <c r="L11" s="53"/>
      <c r="M11" s="53"/>
      <c r="N11" s="53"/>
      <c r="O11" s="53"/>
      <c r="P11" s="53"/>
      <c r="Q11" s="53"/>
      <c r="R11" s="53"/>
    </row>
    <row r="12" spans="1:18" ht="14.4" x14ac:dyDescent="0.3">
      <c r="A12" s="120">
        <v>6</v>
      </c>
      <c r="B12" s="224" t="s">
        <v>200</v>
      </c>
      <c r="C12" s="113" t="s">
        <v>202</v>
      </c>
      <c r="D12" s="226" t="s">
        <v>718</v>
      </c>
      <c r="E12" s="219">
        <v>0</v>
      </c>
      <c r="F12" s="219">
        <v>0</v>
      </c>
      <c r="G12" s="219">
        <v>120</v>
      </c>
      <c r="H12" s="219">
        <v>0</v>
      </c>
      <c r="I12" s="219">
        <v>0</v>
      </c>
      <c r="J12" s="220">
        <v>0</v>
      </c>
      <c r="K12" s="219">
        <v>120</v>
      </c>
      <c r="L12" s="53"/>
      <c r="M12" s="53"/>
      <c r="N12" s="53"/>
      <c r="O12" s="53"/>
      <c r="P12" s="53"/>
      <c r="Q12" s="53"/>
      <c r="R12" s="53"/>
    </row>
    <row r="13" spans="1:18" ht="14.4" x14ac:dyDescent="0.3">
      <c r="A13" s="120">
        <v>7</v>
      </c>
      <c r="B13" s="153" t="s">
        <v>402</v>
      </c>
      <c r="C13" s="44" t="s">
        <v>720</v>
      </c>
      <c r="D13" s="177" t="s">
        <v>963</v>
      </c>
      <c r="E13" s="219">
        <v>0</v>
      </c>
      <c r="F13" s="219">
        <v>0</v>
      </c>
      <c r="G13" s="219">
        <v>0</v>
      </c>
      <c r="H13" s="219">
        <v>120</v>
      </c>
      <c r="I13" s="219">
        <v>0</v>
      </c>
      <c r="J13" s="220">
        <v>0</v>
      </c>
      <c r="K13" s="219">
        <v>120</v>
      </c>
      <c r="L13" s="53"/>
      <c r="M13" s="53"/>
      <c r="N13" s="53"/>
      <c r="O13" s="53"/>
      <c r="P13" s="53"/>
      <c r="Q13" s="53"/>
      <c r="R13" s="53"/>
    </row>
    <row r="14" spans="1:18" ht="14.4" x14ac:dyDescent="0.3">
      <c r="A14" s="120">
        <v>8</v>
      </c>
      <c r="B14" s="153" t="s">
        <v>54</v>
      </c>
      <c r="C14" s="14" t="s">
        <v>1017</v>
      </c>
      <c r="D14" s="177" t="s">
        <v>722</v>
      </c>
      <c r="E14" s="219">
        <v>0</v>
      </c>
      <c r="F14" s="219">
        <v>0</v>
      </c>
      <c r="G14" s="219">
        <v>0</v>
      </c>
      <c r="H14" s="219">
        <v>120</v>
      </c>
      <c r="I14" s="219">
        <v>0</v>
      </c>
      <c r="J14" s="220">
        <v>0</v>
      </c>
      <c r="K14" s="222">
        <v>0</v>
      </c>
      <c r="L14" s="53"/>
      <c r="M14" s="53"/>
      <c r="N14" s="53"/>
      <c r="O14" s="53"/>
      <c r="P14" s="53"/>
      <c r="Q14" s="53"/>
      <c r="R14" s="53"/>
    </row>
    <row r="15" spans="1:18" ht="14.4" x14ac:dyDescent="0.3">
      <c r="A15" s="120">
        <v>9</v>
      </c>
      <c r="B15" s="153" t="s">
        <v>423</v>
      </c>
      <c r="C15" s="44" t="s">
        <v>425</v>
      </c>
      <c r="D15" s="177" t="s">
        <v>723</v>
      </c>
      <c r="E15" s="219">
        <v>0</v>
      </c>
      <c r="F15" s="219">
        <v>0</v>
      </c>
      <c r="G15" s="219">
        <v>120</v>
      </c>
      <c r="H15" s="219">
        <v>120</v>
      </c>
      <c r="I15" s="219">
        <v>0</v>
      </c>
      <c r="J15" s="220">
        <v>120</v>
      </c>
      <c r="K15" s="219">
        <v>120</v>
      </c>
      <c r="L15" s="53"/>
      <c r="M15" s="53"/>
      <c r="N15" s="53"/>
      <c r="O15" s="53"/>
      <c r="P15" s="53"/>
      <c r="Q15" s="53"/>
      <c r="R15" s="53"/>
    </row>
    <row r="16" spans="1:18" ht="14.4" x14ac:dyDescent="0.3">
      <c r="A16" s="120">
        <v>10</v>
      </c>
      <c r="B16" s="153" t="s">
        <v>430</v>
      </c>
      <c r="C16" s="14" t="s">
        <v>1018</v>
      </c>
      <c r="D16" s="177" t="s">
        <v>724</v>
      </c>
      <c r="E16" s="219">
        <v>0</v>
      </c>
      <c r="F16" s="219">
        <v>0</v>
      </c>
      <c r="G16" s="219">
        <v>120</v>
      </c>
      <c r="H16" s="219">
        <v>120</v>
      </c>
      <c r="I16" s="219">
        <v>0</v>
      </c>
      <c r="J16" s="220">
        <v>120</v>
      </c>
      <c r="K16" s="219">
        <v>120</v>
      </c>
      <c r="L16" s="53"/>
      <c r="M16" s="53"/>
      <c r="N16" s="53"/>
      <c r="O16" s="53"/>
      <c r="P16" s="53"/>
      <c r="Q16" s="53"/>
      <c r="R16" s="53"/>
    </row>
    <row r="17" spans="1:18" ht="14.4" x14ac:dyDescent="0.3">
      <c r="A17" s="120">
        <v>11</v>
      </c>
      <c r="B17" s="153" t="s">
        <v>72</v>
      </c>
      <c r="C17" s="14" t="s">
        <v>74</v>
      </c>
      <c r="D17" s="177" t="s">
        <v>725</v>
      </c>
      <c r="E17" s="219">
        <v>0</v>
      </c>
      <c r="F17" s="219">
        <v>120</v>
      </c>
      <c r="G17" s="219">
        <v>120</v>
      </c>
      <c r="H17" s="219">
        <v>120</v>
      </c>
      <c r="I17" s="219">
        <v>120</v>
      </c>
      <c r="J17" s="220">
        <v>120</v>
      </c>
      <c r="K17" s="219">
        <v>120</v>
      </c>
      <c r="L17" s="53"/>
      <c r="M17" s="53"/>
      <c r="N17" s="53"/>
      <c r="O17" s="53"/>
      <c r="P17" s="53"/>
      <c r="Q17" s="53"/>
      <c r="R17" s="53"/>
    </row>
    <row r="18" spans="1:18" ht="14.4" x14ac:dyDescent="0.3">
      <c r="A18" s="120">
        <v>12</v>
      </c>
      <c r="B18" s="153" t="s">
        <v>335</v>
      </c>
      <c r="C18" s="14" t="s">
        <v>337</v>
      </c>
      <c r="D18" s="177" t="s">
        <v>726</v>
      </c>
      <c r="E18" s="219">
        <v>0</v>
      </c>
      <c r="F18" s="219">
        <v>70</v>
      </c>
      <c r="G18" s="219">
        <v>120</v>
      </c>
      <c r="H18" s="219">
        <v>120</v>
      </c>
      <c r="I18" s="219">
        <v>120</v>
      </c>
      <c r="J18" s="220">
        <v>120</v>
      </c>
      <c r="K18" s="219">
        <v>120</v>
      </c>
      <c r="L18" s="53"/>
      <c r="M18" s="53"/>
      <c r="N18" s="53"/>
      <c r="O18" s="53"/>
      <c r="P18" s="53"/>
      <c r="Q18" s="53"/>
      <c r="R18" s="53"/>
    </row>
    <row r="19" spans="1:18" ht="14.4" x14ac:dyDescent="0.3">
      <c r="A19" s="120">
        <v>13</v>
      </c>
      <c r="B19" s="224" t="s">
        <v>519</v>
      </c>
      <c r="C19" s="84" t="s">
        <v>521</v>
      </c>
      <c r="D19" s="226" t="s">
        <v>727</v>
      </c>
      <c r="E19" s="219">
        <v>0</v>
      </c>
      <c r="F19" s="219">
        <v>0</v>
      </c>
      <c r="G19" s="219">
        <v>0</v>
      </c>
      <c r="H19" s="219">
        <v>120</v>
      </c>
      <c r="I19" s="219">
        <v>0</v>
      </c>
      <c r="J19" s="220">
        <v>0</v>
      </c>
      <c r="K19" s="219">
        <v>120</v>
      </c>
      <c r="L19" s="53"/>
      <c r="M19" s="53"/>
      <c r="N19" s="53"/>
      <c r="O19" s="53"/>
      <c r="P19" s="53"/>
      <c r="Q19" s="53"/>
      <c r="R19" s="53"/>
    </row>
    <row r="20" spans="1:18" ht="14.4" x14ac:dyDescent="0.3">
      <c r="A20" s="120">
        <v>14</v>
      </c>
      <c r="B20" s="224" t="s">
        <v>372</v>
      </c>
      <c r="C20" s="114" t="s">
        <v>374</v>
      </c>
      <c r="D20" s="226" t="s">
        <v>729</v>
      </c>
      <c r="E20" s="219">
        <v>0</v>
      </c>
      <c r="F20" s="219">
        <v>0</v>
      </c>
      <c r="G20" s="219">
        <v>0</v>
      </c>
      <c r="H20" s="219">
        <v>0</v>
      </c>
      <c r="I20" s="219">
        <v>0</v>
      </c>
      <c r="J20" s="220">
        <v>0</v>
      </c>
      <c r="K20" s="222">
        <v>0</v>
      </c>
      <c r="L20" s="53"/>
      <c r="M20" s="53"/>
      <c r="N20" s="53"/>
      <c r="O20" s="53"/>
      <c r="P20" s="53"/>
      <c r="Q20" s="53"/>
      <c r="R20" s="53"/>
    </row>
    <row r="21" spans="1:18" ht="14.4" x14ac:dyDescent="0.3">
      <c r="A21" s="120">
        <v>15</v>
      </c>
      <c r="B21" s="224" t="s">
        <v>79</v>
      </c>
      <c r="C21" s="84" t="s">
        <v>1019</v>
      </c>
      <c r="D21" s="226" t="s">
        <v>730</v>
      </c>
      <c r="E21" s="219">
        <v>0</v>
      </c>
      <c r="F21" s="219">
        <v>0</v>
      </c>
      <c r="G21" s="219">
        <v>0</v>
      </c>
      <c r="H21" s="219">
        <v>10</v>
      </c>
      <c r="I21" s="219">
        <v>0</v>
      </c>
      <c r="J21" s="220">
        <v>0</v>
      </c>
      <c r="K21" s="222">
        <v>0</v>
      </c>
      <c r="L21" s="53"/>
      <c r="M21" s="53"/>
      <c r="N21" s="53"/>
      <c r="O21" s="53"/>
      <c r="P21" s="53"/>
      <c r="Q21" s="53"/>
      <c r="R21" s="53"/>
    </row>
    <row r="22" spans="1:18" ht="14.4" x14ac:dyDescent="0.3">
      <c r="A22" s="120">
        <v>16</v>
      </c>
      <c r="B22" s="153" t="s">
        <v>232</v>
      </c>
      <c r="C22" s="14" t="s">
        <v>234</v>
      </c>
      <c r="D22" s="177" t="s">
        <v>731</v>
      </c>
      <c r="E22" s="219">
        <v>0</v>
      </c>
      <c r="F22" s="219">
        <v>120</v>
      </c>
      <c r="G22" s="219">
        <v>120</v>
      </c>
      <c r="H22" s="219">
        <v>120</v>
      </c>
      <c r="I22" s="219">
        <v>120</v>
      </c>
      <c r="J22" s="220">
        <v>120</v>
      </c>
      <c r="K22" s="219">
        <v>120</v>
      </c>
      <c r="L22" s="53"/>
      <c r="M22" s="53"/>
      <c r="N22" s="53"/>
      <c r="O22" s="53"/>
      <c r="P22" s="53"/>
      <c r="Q22" s="53"/>
      <c r="R22" s="53"/>
    </row>
    <row r="23" spans="1:18" ht="14.4" x14ac:dyDescent="0.3">
      <c r="A23" s="120">
        <v>17</v>
      </c>
      <c r="B23" s="153" t="s">
        <v>503</v>
      </c>
      <c r="C23" s="14" t="s">
        <v>1020</v>
      </c>
      <c r="D23" s="177" t="s">
        <v>732</v>
      </c>
      <c r="E23" s="219">
        <v>0</v>
      </c>
      <c r="F23" s="219">
        <v>120</v>
      </c>
      <c r="G23" s="219">
        <v>120</v>
      </c>
      <c r="H23" s="219">
        <v>120</v>
      </c>
      <c r="I23" s="220">
        <v>120</v>
      </c>
      <c r="J23" s="220">
        <v>120</v>
      </c>
      <c r="K23" s="219">
        <v>120</v>
      </c>
      <c r="L23" s="53"/>
      <c r="M23" s="53"/>
      <c r="N23" s="53"/>
      <c r="O23" s="53"/>
      <c r="P23" s="53"/>
      <c r="Q23" s="53"/>
      <c r="R23" s="53"/>
    </row>
    <row r="24" spans="1:18" ht="14.4" x14ac:dyDescent="0.3">
      <c r="A24" s="120">
        <v>18</v>
      </c>
      <c r="B24" s="153" t="s">
        <v>556</v>
      </c>
      <c r="C24" s="115" t="s">
        <v>558</v>
      </c>
      <c r="D24" s="177" t="s">
        <v>734</v>
      </c>
      <c r="E24" s="219">
        <v>0</v>
      </c>
      <c r="F24" s="219">
        <v>0</v>
      </c>
      <c r="G24" s="219">
        <v>0</v>
      </c>
      <c r="H24" s="219">
        <v>0</v>
      </c>
      <c r="I24" s="219">
        <v>0</v>
      </c>
      <c r="J24" s="220">
        <v>0</v>
      </c>
      <c r="K24" s="219">
        <v>120</v>
      </c>
      <c r="L24" s="53"/>
      <c r="M24" s="53"/>
      <c r="N24" s="53"/>
      <c r="O24" s="53"/>
      <c r="P24" s="53"/>
      <c r="Q24" s="53"/>
      <c r="R24" s="53"/>
    </row>
    <row r="25" spans="1:18" ht="14.4" x14ac:dyDescent="0.3">
      <c r="A25" s="120">
        <v>19</v>
      </c>
      <c r="B25" s="153" t="s">
        <v>595</v>
      </c>
      <c r="C25" s="44" t="s">
        <v>735</v>
      </c>
      <c r="D25" s="177" t="s">
        <v>736</v>
      </c>
      <c r="E25" s="219">
        <v>0</v>
      </c>
      <c r="F25" s="219">
        <v>0</v>
      </c>
      <c r="G25" s="219">
        <v>0</v>
      </c>
      <c r="H25" s="219">
        <v>120</v>
      </c>
      <c r="I25" s="220">
        <v>120</v>
      </c>
      <c r="J25" s="220">
        <v>0</v>
      </c>
      <c r="K25" s="219">
        <v>120</v>
      </c>
      <c r="L25" s="53"/>
      <c r="M25" s="53"/>
      <c r="N25" s="53"/>
      <c r="O25" s="53"/>
      <c r="P25" s="53"/>
      <c r="Q25" s="53"/>
      <c r="R25" s="53"/>
    </row>
    <row r="26" spans="1:18" ht="14.4" x14ac:dyDescent="0.3">
      <c r="A26" s="120">
        <v>20</v>
      </c>
      <c r="B26" s="153" t="s">
        <v>524</v>
      </c>
      <c r="C26" s="14" t="s">
        <v>526</v>
      </c>
      <c r="D26" s="177" t="s">
        <v>737</v>
      </c>
      <c r="E26" s="219">
        <v>0</v>
      </c>
      <c r="F26" s="219">
        <v>0</v>
      </c>
      <c r="G26" s="219">
        <v>0</v>
      </c>
      <c r="H26" s="219">
        <v>120</v>
      </c>
      <c r="I26" s="219">
        <v>0</v>
      </c>
      <c r="J26" s="220">
        <v>0</v>
      </c>
      <c r="K26" s="219">
        <v>120</v>
      </c>
      <c r="L26" s="53"/>
      <c r="M26" s="53"/>
      <c r="N26" s="53"/>
      <c r="O26" s="53"/>
      <c r="P26" s="53"/>
      <c r="Q26" s="53"/>
      <c r="R26" s="53"/>
    </row>
    <row r="27" spans="1:18" ht="14.4" x14ac:dyDescent="0.3">
      <c r="A27" s="120">
        <v>21</v>
      </c>
      <c r="B27" s="153" t="s">
        <v>532</v>
      </c>
      <c r="C27" s="14" t="s">
        <v>534</v>
      </c>
      <c r="D27" s="177" t="s">
        <v>738</v>
      </c>
      <c r="E27" s="219">
        <v>0</v>
      </c>
      <c r="F27" s="219">
        <v>0</v>
      </c>
      <c r="G27" s="219">
        <v>120</v>
      </c>
      <c r="H27" s="219">
        <v>120</v>
      </c>
      <c r="I27" s="220">
        <v>120</v>
      </c>
      <c r="J27" s="220">
        <v>120</v>
      </c>
      <c r="K27" s="219">
        <v>120</v>
      </c>
      <c r="L27" s="53"/>
      <c r="M27" s="53"/>
      <c r="N27" s="53"/>
      <c r="O27" s="53"/>
      <c r="P27" s="53"/>
      <c r="Q27" s="53"/>
      <c r="R27" s="53"/>
    </row>
    <row r="28" spans="1:18" ht="14.4" x14ac:dyDescent="0.3">
      <c r="A28" s="225">
        <v>22</v>
      </c>
      <c r="B28" s="153" t="s">
        <v>653</v>
      </c>
      <c r="C28" s="116" t="s">
        <v>1021</v>
      </c>
      <c r="D28" s="177" t="s">
        <v>739</v>
      </c>
      <c r="E28" s="219">
        <v>0</v>
      </c>
      <c r="F28" s="219">
        <v>0</v>
      </c>
      <c r="G28" s="219">
        <v>0</v>
      </c>
      <c r="H28" s="219">
        <v>120</v>
      </c>
      <c r="I28" s="219">
        <v>0</v>
      </c>
      <c r="J28" s="220">
        <v>120</v>
      </c>
      <c r="K28" s="219">
        <v>120</v>
      </c>
      <c r="L28" s="53"/>
      <c r="M28" s="53"/>
      <c r="N28" s="53"/>
      <c r="O28" s="53"/>
      <c r="P28" s="53"/>
      <c r="Q28" s="53"/>
      <c r="R28" s="53"/>
    </row>
    <row r="29" spans="1:18" ht="14.4" x14ac:dyDescent="0.3">
      <c r="A29" s="120">
        <v>23</v>
      </c>
      <c r="B29" s="153" t="s">
        <v>678</v>
      </c>
      <c r="C29" s="14" t="s">
        <v>681</v>
      </c>
      <c r="D29" s="177" t="s">
        <v>740</v>
      </c>
      <c r="E29" s="219">
        <v>0</v>
      </c>
      <c r="F29" s="219">
        <v>0</v>
      </c>
      <c r="G29" s="219">
        <v>0</v>
      </c>
      <c r="H29" s="219">
        <v>0</v>
      </c>
      <c r="I29" s="219">
        <v>0</v>
      </c>
      <c r="J29" s="220">
        <v>0</v>
      </c>
      <c r="K29" s="219">
        <v>120</v>
      </c>
      <c r="L29" s="53"/>
      <c r="M29" s="53"/>
      <c r="N29" s="53"/>
      <c r="O29" s="53"/>
      <c r="P29" s="53"/>
      <c r="Q29" s="53"/>
      <c r="R29" s="53"/>
    </row>
    <row r="30" spans="1:18" ht="14.4" x14ac:dyDescent="0.3">
      <c r="A30" s="120">
        <v>24</v>
      </c>
      <c r="B30" s="224" t="s">
        <v>356</v>
      </c>
      <c r="C30" s="84" t="s">
        <v>986</v>
      </c>
      <c r="D30" s="226" t="s">
        <v>742</v>
      </c>
      <c r="E30" s="219">
        <v>0</v>
      </c>
      <c r="F30" s="219">
        <v>120</v>
      </c>
      <c r="G30" s="219">
        <v>120</v>
      </c>
      <c r="H30" s="219">
        <v>120</v>
      </c>
      <c r="I30" s="219">
        <v>0</v>
      </c>
      <c r="J30" s="220">
        <v>0</v>
      </c>
      <c r="K30" s="222">
        <v>0</v>
      </c>
      <c r="L30" s="53"/>
      <c r="M30" s="53"/>
      <c r="N30" s="53"/>
      <c r="O30" s="53"/>
      <c r="P30" s="53"/>
      <c r="Q30" s="53"/>
      <c r="R30" s="53"/>
    </row>
    <row r="31" spans="1:18" ht="14.4" x14ac:dyDescent="0.3">
      <c r="A31" s="120">
        <v>25</v>
      </c>
      <c r="B31" s="153" t="s">
        <v>462</v>
      </c>
      <c r="C31" s="44" t="s">
        <v>743</v>
      </c>
      <c r="D31" s="177" t="s">
        <v>744</v>
      </c>
      <c r="E31" s="219">
        <v>0</v>
      </c>
      <c r="F31" s="219">
        <v>0</v>
      </c>
      <c r="G31" s="219">
        <v>0</v>
      </c>
      <c r="H31" s="219">
        <v>120</v>
      </c>
      <c r="I31" s="219">
        <v>0</v>
      </c>
      <c r="J31" s="220">
        <v>0</v>
      </c>
      <c r="K31" s="222">
        <v>0</v>
      </c>
      <c r="L31" s="53"/>
      <c r="M31" s="53"/>
      <c r="N31" s="53"/>
      <c r="O31" s="53"/>
      <c r="P31" s="53"/>
      <c r="Q31" s="53"/>
      <c r="R31" s="53"/>
    </row>
    <row r="32" spans="1:18" ht="14.4" x14ac:dyDescent="0.3">
      <c r="A32" s="120">
        <v>26</v>
      </c>
      <c r="B32" s="153" t="s">
        <v>224</v>
      </c>
      <c r="C32" s="44" t="s">
        <v>745</v>
      </c>
      <c r="D32" s="177" t="s">
        <v>746</v>
      </c>
      <c r="E32" s="219">
        <v>0</v>
      </c>
      <c r="F32" s="219">
        <v>120</v>
      </c>
      <c r="G32" s="219">
        <v>120</v>
      </c>
      <c r="H32" s="219">
        <v>120</v>
      </c>
      <c r="I32" s="220">
        <v>120</v>
      </c>
      <c r="J32" s="220">
        <v>120</v>
      </c>
      <c r="K32" s="219">
        <v>120</v>
      </c>
      <c r="L32" s="53"/>
      <c r="M32" s="53"/>
      <c r="N32" s="53"/>
      <c r="O32" s="53"/>
      <c r="P32" s="53"/>
      <c r="Q32" s="53"/>
      <c r="R32" s="53"/>
    </row>
    <row r="33" spans="1:18" ht="14.4" x14ac:dyDescent="0.3">
      <c r="A33" s="120">
        <v>27</v>
      </c>
      <c r="B33" s="224" t="s">
        <v>328</v>
      </c>
      <c r="C33" s="84" t="s">
        <v>329</v>
      </c>
      <c r="D33" s="226" t="s">
        <v>747</v>
      </c>
      <c r="E33" s="219">
        <v>0</v>
      </c>
      <c r="F33" s="219">
        <v>0</v>
      </c>
      <c r="G33" s="219">
        <v>0</v>
      </c>
      <c r="H33" s="219">
        <v>0</v>
      </c>
      <c r="I33" s="219">
        <v>0</v>
      </c>
      <c r="J33" s="220">
        <v>0</v>
      </c>
      <c r="K33" s="222">
        <v>0</v>
      </c>
      <c r="L33" s="53"/>
      <c r="M33" s="53"/>
      <c r="N33" s="53"/>
      <c r="O33" s="53"/>
      <c r="P33" s="53"/>
      <c r="Q33" s="53"/>
      <c r="R33" s="53"/>
    </row>
    <row r="34" spans="1:18" ht="14.4" x14ac:dyDescent="0.3">
      <c r="A34" s="120">
        <v>28</v>
      </c>
      <c r="B34" s="224" t="s">
        <v>172</v>
      </c>
      <c r="C34" s="84" t="s">
        <v>174</v>
      </c>
      <c r="D34" s="226" t="s">
        <v>748</v>
      </c>
      <c r="E34" s="219">
        <v>0</v>
      </c>
      <c r="F34" s="219">
        <v>0</v>
      </c>
      <c r="G34" s="219">
        <v>0</v>
      </c>
      <c r="H34" s="219">
        <v>0</v>
      </c>
      <c r="I34" s="219">
        <v>0</v>
      </c>
      <c r="J34" s="220">
        <v>0</v>
      </c>
      <c r="K34" s="222">
        <v>0</v>
      </c>
      <c r="L34" s="53"/>
      <c r="M34" s="53"/>
      <c r="N34" s="53"/>
      <c r="O34" s="53"/>
      <c r="P34" s="53"/>
      <c r="Q34" s="53"/>
      <c r="R34" s="53"/>
    </row>
    <row r="35" spans="1:18" ht="14.4" x14ac:dyDescent="0.3">
      <c r="A35" s="120">
        <v>29</v>
      </c>
      <c r="B35" s="153" t="s">
        <v>348</v>
      </c>
      <c r="C35" s="14" t="s">
        <v>749</v>
      </c>
      <c r="D35" s="177" t="s">
        <v>750</v>
      </c>
      <c r="E35" s="219">
        <v>0</v>
      </c>
      <c r="F35" s="219">
        <v>0</v>
      </c>
      <c r="G35" s="219">
        <v>0</v>
      </c>
      <c r="H35" s="219">
        <v>0</v>
      </c>
      <c r="I35" s="220">
        <v>120</v>
      </c>
      <c r="J35" s="220">
        <v>120</v>
      </c>
      <c r="K35" s="219">
        <v>120</v>
      </c>
      <c r="L35" s="53"/>
      <c r="M35" s="53"/>
      <c r="N35" s="53"/>
      <c r="O35" s="53"/>
      <c r="P35" s="53"/>
      <c r="Q35" s="53"/>
      <c r="R35" s="53"/>
    </row>
    <row r="36" spans="1:18" ht="14.4" x14ac:dyDescent="0.3">
      <c r="A36" s="120">
        <v>30</v>
      </c>
      <c r="B36" s="153" t="s">
        <v>85</v>
      </c>
      <c r="C36" s="44" t="s">
        <v>751</v>
      </c>
      <c r="D36" s="177" t="s">
        <v>752</v>
      </c>
      <c r="E36" s="219">
        <v>0</v>
      </c>
      <c r="F36" s="219">
        <v>0</v>
      </c>
      <c r="G36" s="219">
        <v>0</v>
      </c>
      <c r="H36" s="219">
        <v>120</v>
      </c>
      <c r="I36" s="219">
        <v>0</v>
      </c>
      <c r="J36" s="220">
        <v>0</v>
      </c>
      <c r="K36" s="219">
        <v>120</v>
      </c>
      <c r="L36" s="53"/>
      <c r="M36" s="53"/>
      <c r="N36" s="53"/>
      <c r="O36" s="53"/>
      <c r="P36" s="53"/>
      <c r="Q36" s="53"/>
      <c r="R36" s="53"/>
    </row>
    <row r="37" spans="1:18" ht="14.4" x14ac:dyDescent="0.3">
      <c r="A37" s="120">
        <v>31</v>
      </c>
      <c r="B37" s="153" t="s">
        <v>577</v>
      </c>
      <c r="C37" s="14" t="s">
        <v>579</v>
      </c>
      <c r="D37" s="177" t="s">
        <v>753</v>
      </c>
      <c r="E37" s="219">
        <v>0</v>
      </c>
      <c r="F37" s="219">
        <v>0</v>
      </c>
      <c r="G37" s="219">
        <v>0</v>
      </c>
      <c r="H37" s="219">
        <v>120</v>
      </c>
      <c r="I37" s="219">
        <v>0</v>
      </c>
      <c r="J37" s="220">
        <v>120</v>
      </c>
      <c r="K37" s="219">
        <v>120</v>
      </c>
      <c r="L37" s="53"/>
      <c r="M37" s="53"/>
      <c r="N37" s="53"/>
      <c r="O37" s="53"/>
      <c r="P37" s="53"/>
      <c r="Q37" s="53"/>
      <c r="R37" s="53"/>
    </row>
    <row r="38" spans="1:18" ht="14.4" x14ac:dyDescent="0.3">
      <c r="A38" s="120">
        <v>32</v>
      </c>
      <c r="B38" s="153" t="s">
        <v>31</v>
      </c>
      <c r="C38" s="62" t="s">
        <v>754</v>
      </c>
      <c r="D38" s="177" t="s">
        <v>755</v>
      </c>
      <c r="E38" s="219">
        <v>0</v>
      </c>
      <c r="F38" s="219">
        <v>0</v>
      </c>
      <c r="G38" s="219">
        <v>0</v>
      </c>
      <c r="H38" s="219">
        <v>0</v>
      </c>
      <c r="I38" s="219">
        <v>0</v>
      </c>
      <c r="J38" s="220">
        <v>0</v>
      </c>
      <c r="K38" s="222">
        <v>0</v>
      </c>
      <c r="L38" s="53"/>
      <c r="M38" s="53"/>
      <c r="N38" s="53"/>
      <c r="O38" s="53"/>
      <c r="P38" s="53"/>
      <c r="Q38" s="53"/>
      <c r="R38" s="53"/>
    </row>
    <row r="39" spans="1:18" ht="14.4" x14ac:dyDescent="0.3">
      <c r="A39" s="120">
        <v>33</v>
      </c>
      <c r="B39" s="153" t="s">
        <v>117</v>
      </c>
      <c r="C39" s="44" t="s">
        <v>119</v>
      </c>
      <c r="D39" s="177" t="s">
        <v>756</v>
      </c>
      <c r="E39" s="219">
        <v>0</v>
      </c>
      <c r="F39" s="219">
        <v>120</v>
      </c>
      <c r="G39" s="219">
        <v>120</v>
      </c>
      <c r="H39" s="219">
        <v>120</v>
      </c>
      <c r="I39" s="219">
        <v>0</v>
      </c>
      <c r="J39" s="220">
        <v>0</v>
      </c>
      <c r="K39" s="219">
        <v>120</v>
      </c>
      <c r="L39" s="53"/>
      <c r="M39" s="53"/>
      <c r="N39" s="53"/>
      <c r="O39" s="53"/>
      <c r="P39" s="53"/>
      <c r="Q39" s="53"/>
      <c r="R39" s="53"/>
    </row>
    <row r="40" spans="1:18" ht="15.75" customHeight="1" x14ac:dyDescent="0.3">
      <c r="A40" s="120">
        <v>34</v>
      </c>
      <c r="B40" s="153" t="s">
        <v>444</v>
      </c>
      <c r="C40" s="44" t="s">
        <v>446</v>
      </c>
      <c r="D40" s="177" t="s">
        <v>757</v>
      </c>
      <c r="E40" s="219">
        <v>0</v>
      </c>
      <c r="F40" s="219">
        <v>0</v>
      </c>
      <c r="G40" s="219">
        <v>0</v>
      </c>
      <c r="H40" s="219">
        <v>0</v>
      </c>
      <c r="I40" s="219">
        <v>0</v>
      </c>
      <c r="J40" s="219">
        <v>0</v>
      </c>
      <c r="K40" s="223">
        <v>0</v>
      </c>
      <c r="L40" s="53"/>
      <c r="M40" s="53"/>
      <c r="N40" s="53"/>
      <c r="O40" s="53"/>
      <c r="P40" s="53"/>
      <c r="Q40" s="53"/>
      <c r="R40" s="53"/>
    </row>
    <row r="41" spans="1:18" ht="15.75" customHeight="1" x14ac:dyDescent="0.3">
      <c r="A41" s="120">
        <v>35</v>
      </c>
      <c r="B41" s="153" t="s">
        <v>265</v>
      </c>
      <c r="C41" s="14" t="s">
        <v>267</v>
      </c>
      <c r="D41" s="177" t="s">
        <v>758</v>
      </c>
      <c r="E41" s="219">
        <v>0</v>
      </c>
      <c r="F41" s="219">
        <v>120</v>
      </c>
      <c r="G41" s="219">
        <v>0</v>
      </c>
      <c r="H41" s="219">
        <v>0</v>
      </c>
      <c r="I41" s="219">
        <v>0</v>
      </c>
      <c r="J41" s="220">
        <v>0</v>
      </c>
      <c r="K41" s="219">
        <v>120</v>
      </c>
      <c r="L41" s="53"/>
      <c r="M41" s="53"/>
      <c r="N41" s="53"/>
      <c r="O41" s="53"/>
      <c r="P41" s="53"/>
      <c r="Q41" s="53"/>
      <c r="R41" s="53"/>
    </row>
    <row r="42" spans="1:18" ht="15.75" customHeight="1" x14ac:dyDescent="0.3">
      <c r="A42" s="120">
        <v>36</v>
      </c>
      <c r="B42" s="153" t="s">
        <v>63</v>
      </c>
      <c r="C42" s="14" t="s">
        <v>1022</v>
      </c>
      <c r="D42" s="177" t="s">
        <v>759</v>
      </c>
      <c r="E42" s="219">
        <v>0</v>
      </c>
      <c r="F42" s="219">
        <v>120</v>
      </c>
      <c r="G42" s="219">
        <v>120</v>
      </c>
      <c r="H42" s="219">
        <v>120</v>
      </c>
      <c r="I42" s="219">
        <v>120</v>
      </c>
      <c r="J42" s="220">
        <v>120</v>
      </c>
      <c r="K42" s="219">
        <v>120</v>
      </c>
      <c r="L42" s="53"/>
      <c r="M42" s="53"/>
      <c r="N42" s="53"/>
      <c r="O42" s="53"/>
      <c r="P42" s="53"/>
      <c r="Q42" s="53"/>
      <c r="R42" s="53"/>
    </row>
    <row r="43" spans="1:18" ht="15.75" customHeight="1" x14ac:dyDescent="0.3">
      <c r="A43" s="120">
        <v>37</v>
      </c>
      <c r="B43" s="153" t="s">
        <v>47</v>
      </c>
      <c r="C43" s="14" t="s">
        <v>49</v>
      </c>
      <c r="D43" s="177" t="s">
        <v>761</v>
      </c>
      <c r="E43" s="219">
        <v>0</v>
      </c>
      <c r="F43" s="219">
        <v>120</v>
      </c>
      <c r="G43" s="219">
        <v>0</v>
      </c>
      <c r="H43" s="219">
        <v>0</v>
      </c>
      <c r="I43" s="220">
        <v>0</v>
      </c>
      <c r="J43" s="220">
        <v>0</v>
      </c>
      <c r="K43" s="219">
        <v>120</v>
      </c>
      <c r="L43" s="53"/>
      <c r="M43" s="53"/>
      <c r="N43" s="53"/>
      <c r="O43" s="53"/>
      <c r="P43" s="53"/>
      <c r="Q43" s="53"/>
      <c r="R43" s="53"/>
    </row>
    <row r="44" spans="1:18" ht="15.75" customHeight="1" x14ac:dyDescent="0.3">
      <c r="A44" s="120">
        <v>38</v>
      </c>
      <c r="B44" s="153" t="s">
        <v>380</v>
      </c>
      <c r="C44" s="14" t="s">
        <v>382</v>
      </c>
      <c r="D44" s="177" t="s">
        <v>762</v>
      </c>
      <c r="E44" s="219">
        <v>0</v>
      </c>
      <c r="F44" s="219">
        <v>0</v>
      </c>
      <c r="G44" s="219">
        <v>120</v>
      </c>
      <c r="H44" s="219">
        <v>120</v>
      </c>
      <c r="I44" s="219">
        <v>0</v>
      </c>
      <c r="J44" s="220">
        <v>120</v>
      </c>
      <c r="K44" s="219">
        <v>120</v>
      </c>
      <c r="L44" s="53"/>
      <c r="M44" s="53"/>
      <c r="N44" s="53"/>
      <c r="O44" s="53"/>
      <c r="P44" s="53"/>
      <c r="Q44" s="53"/>
      <c r="R44" s="53"/>
    </row>
    <row r="45" spans="1:18" ht="15.75" customHeight="1" x14ac:dyDescent="0.3">
      <c r="A45" s="120">
        <v>39</v>
      </c>
      <c r="B45" s="153" t="s">
        <v>511</v>
      </c>
      <c r="C45" s="14" t="s">
        <v>513</v>
      </c>
      <c r="D45" s="177" t="s">
        <v>763</v>
      </c>
      <c r="E45" s="219">
        <v>0</v>
      </c>
      <c r="F45" s="219">
        <v>0</v>
      </c>
      <c r="G45" s="219">
        <v>0</v>
      </c>
      <c r="H45" s="219">
        <v>0</v>
      </c>
      <c r="I45" s="219">
        <v>0</v>
      </c>
      <c r="J45" s="220">
        <v>120</v>
      </c>
      <c r="K45" s="219">
        <v>120</v>
      </c>
      <c r="L45" s="53"/>
      <c r="M45" s="53"/>
      <c r="N45" s="53"/>
      <c r="O45" s="53"/>
      <c r="P45" s="53"/>
      <c r="Q45" s="53"/>
      <c r="R45" s="53"/>
    </row>
    <row r="46" spans="1:18" ht="15.75" customHeight="1" x14ac:dyDescent="0.3">
      <c r="A46" s="120">
        <v>40</v>
      </c>
      <c r="B46" s="153" t="s">
        <v>157</v>
      </c>
      <c r="C46" s="14" t="s">
        <v>159</v>
      </c>
      <c r="D46" s="177" t="s">
        <v>764</v>
      </c>
      <c r="E46" s="219">
        <v>0</v>
      </c>
      <c r="F46" s="220">
        <v>0</v>
      </c>
      <c r="G46" s="219">
        <v>90</v>
      </c>
      <c r="H46" s="219">
        <v>0</v>
      </c>
      <c r="I46" s="219">
        <v>0</v>
      </c>
      <c r="J46" s="220">
        <v>0</v>
      </c>
      <c r="K46" s="219">
        <v>120</v>
      </c>
      <c r="L46" s="53"/>
      <c r="M46" s="53"/>
      <c r="N46" s="53"/>
      <c r="O46" s="53"/>
      <c r="P46" s="53"/>
      <c r="Q46" s="53"/>
      <c r="R46" s="53"/>
    </row>
    <row r="47" spans="1:18" ht="15.75" customHeight="1" x14ac:dyDescent="0.3">
      <c r="A47" s="120">
        <v>41</v>
      </c>
      <c r="B47" s="153" t="s">
        <v>590</v>
      </c>
      <c r="C47" s="44" t="s">
        <v>765</v>
      </c>
      <c r="D47" s="177" t="s">
        <v>766</v>
      </c>
      <c r="E47" s="219">
        <v>0</v>
      </c>
      <c r="F47" s="219">
        <v>0</v>
      </c>
      <c r="G47" s="219">
        <v>120</v>
      </c>
      <c r="H47" s="219">
        <v>120</v>
      </c>
      <c r="I47" s="219">
        <v>0</v>
      </c>
      <c r="J47" s="220">
        <v>120</v>
      </c>
      <c r="K47" s="219">
        <v>120</v>
      </c>
      <c r="L47" s="53"/>
      <c r="M47" s="53"/>
      <c r="N47" s="53"/>
      <c r="O47" s="53"/>
      <c r="P47" s="53"/>
      <c r="Q47" s="53"/>
      <c r="R47" s="53"/>
    </row>
    <row r="48" spans="1:18" ht="15.75" customHeight="1" x14ac:dyDescent="0.3">
      <c r="A48" s="120">
        <v>42</v>
      </c>
      <c r="B48" s="153" t="s">
        <v>614</v>
      </c>
      <c r="C48" s="117" t="s">
        <v>616</v>
      </c>
      <c r="D48" s="177" t="s">
        <v>768</v>
      </c>
      <c r="E48" s="219">
        <v>0</v>
      </c>
      <c r="F48" s="219">
        <v>0</v>
      </c>
      <c r="G48" s="219">
        <v>120</v>
      </c>
      <c r="H48" s="219">
        <v>0</v>
      </c>
      <c r="I48" s="219">
        <v>120</v>
      </c>
      <c r="J48" s="220">
        <v>0</v>
      </c>
      <c r="K48" s="219">
        <v>120</v>
      </c>
      <c r="L48" s="53"/>
      <c r="M48" s="53"/>
      <c r="N48" s="53"/>
      <c r="O48" s="53"/>
      <c r="P48" s="53"/>
      <c r="Q48" s="53"/>
      <c r="R48" s="53"/>
    </row>
    <row r="49" spans="1:18" ht="15.75" customHeight="1" x14ac:dyDescent="0.3">
      <c r="A49" s="120">
        <v>43</v>
      </c>
      <c r="B49" s="153" t="s">
        <v>22</v>
      </c>
      <c r="C49" s="44" t="s">
        <v>1023</v>
      </c>
      <c r="D49" s="177" t="s">
        <v>770</v>
      </c>
      <c r="E49" s="219">
        <v>0</v>
      </c>
      <c r="F49" s="219">
        <v>0</v>
      </c>
      <c r="G49" s="220">
        <v>0</v>
      </c>
      <c r="H49" s="220">
        <v>0</v>
      </c>
      <c r="I49" s="220">
        <v>0</v>
      </c>
      <c r="J49" s="220">
        <v>120</v>
      </c>
      <c r="K49" s="219">
        <v>120</v>
      </c>
      <c r="L49" s="53"/>
      <c r="M49" s="53"/>
      <c r="N49" s="53"/>
      <c r="O49" s="53"/>
      <c r="P49" s="53"/>
      <c r="Q49" s="53"/>
      <c r="R49" s="53"/>
    </row>
    <row r="50" spans="1:18" ht="15.75" customHeight="1" x14ac:dyDescent="0.3">
      <c r="A50" s="120">
        <v>44</v>
      </c>
      <c r="B50" s="153" t="s">
        <v>110</v>
      </c>
      <c r="C50" s="44" t="s">
        <v>112</v>
      </c>
      <c r="D50" s="177" t="s">
        <v>771</v>
      </c>
      <c r="E50" s="219">
        <v>0</v>
      </c>
      <c r="F50" s="219">
        <v>120</v>
      </c>
      <c r="G50" s="219">
        <v>120</v>
      </c>
      <c r="H50" s="219">
        <v>120</v>
      </c>
      <c r="I50" s="219">
        <v>0</v>
      </c>
      <c r="J50" s="220">
        <v>120</v>
      </c>
      <c r="K50" s="219">
        <v>120</v>
      </c>
      <c r="L50" s="53"/>
      <c r="M50" s="53"/>
      <c r="N50" s="53"/>
      <c r="O50" s="53"/>
      <c r="P50" s="53"/>
      <c r="Q50" s="53"/>
      <c r="R50" s="53"/>
    </row>
    <row r="51" spans="1:18" ht="15.75" customHeight="1" x14ac:dyDescent="0.3">
      <c r="A51" s="120">
        <v>45</v>
      </c>
      <c r="B51" s="153" t="s">
        <v>134</v>
      </c>
      <c r="C51" s="3" t="s">
        <v>136</v>
      </c>
      <c r="D51" s="177" t="s">
        <v>772</v>
      </c>
      <c r="E51" s="219">
        <v>0</v>
      </c>
      <c r="F51" s="219">
        <v>120</v>
      </c>
      <c r="G51" s="219">
        <v>120</v>
      </c>
      <c r="H51" s="219">
        <v>120</v>
      </c>
      <c r="I51" s="219">
        <v>120</v>
      </c>
      <c r="J51" s="220">
        <v>120</v>
      </c>
      <c r="K51" s="219">
        <v>120</v>
      </c>
      <c r="L51" s="53"/>
      <c r="M51" s="53"/>
      <c r="N51" s="53"/>
      <c r="O51" s="53"/>
      <c r="P51" s="53"/>
      <c r="Q51" s="53"/>
      <c r="R51" s="53"/>
    </row>
    <row r="52" spans="1:18" ht="15.75" customHeight="1" x14ac:dyDescent="0.3">
      <c r="A52" s="120">
        <v>46</v>
      </c>
      <c r="B52" s="224" t="s">
        <v>192</v>
      </c>
      <c r="C52" s="84" t="s">
        <v>773</v>
      </c>
      <c r="D52" s="226" t="s">
        <v>774</v>
      </c>
      <c r="E52" s="220">
        <v>0</v>
      </c>
      <c r="F52" s="220">
        <v>0</v>
      </c>
      <c r="G52" s="220">
        <v>0</v>
      </c>
      <c r="H52" s="220">
        <v>0</v>
      </c>
      <c r="I52" s="220">
        <v>0</v>
      </c>
      <c r="J52" s="220">
        <v>0</v>
      </c>
      <c r="K52" s="219">
        <v>120</v>
      </c>
      <c r="L52" s="53"/>
      <c r="M52" s="53"/>
      <c r="N52" s="53"/>
      <c r="O52" s="53"/>
      <c r="P52" s="53"/>
      <c r="Q52" s="53"/>
      <c r="R52" s="53"/>
    </row>
    <row r="53" spans="1:18" ht="15.75" customHeight="1" x14ac:dyDescent="0.3">
      <c r="A53" s="120">
        <v>47</v>
      </c>
      <c r="B53" s="153" t="s">
        <v>321</v>
      </c>
      <c r="C53" s="3" t="s">
        <v>323</v>
      </c>
      <c r="D53" s="177" t="s">
        <v>775</v>
      </c>
      <c r="E53" s="219">
        <v>0</v>
      </c>
      <c r="F53" s="219">
        <v>0</v>
      </c>
      <c r="G53" s="219">
        <v>120</v>
      </c>
      <c r="H53" s="219">
        <v>120</v>
      </c>
      <c r="I53" s="219">
        <v>120</v>
      </c>
      <c r="J53" s="220">
        <v>120</v>
      </c>
      <c r="K53" s="219">
        <v>120</v>
      </c>
      <c r="L53" s="53"/>
      <c r="M53" s="53"/>
      <c r="N53" s="53"/>
      <c r="O53" s="53"/>
      <c r="P53" s="53"/>
      <c r="Q53" s="53"/>
      <c r="R53" s="53"/>
    </row>
    <row r="54" spans="1:18" ht="15.75" customHeight="1" x14ac:dyDescent="0.3">
      <c r="A54" s="119">
        <v>48</v>
      </c>
      <c r="B54" s="224" t="s">
        <v>450</v>
      </c>
      <c r="C54" s="114" t="s">
        <v>452</v>
      </c>
      <c r="D54" s="226" t="s">
        <v>776</v>
      </c>
      <c r="E54" s="220">
        <v>0</v>
      </c>
      <c r="F54" s="219">
        <v>0</v>
      </c>
      <c r="G54" s="219">
        <v>0</v>
      </c>
      <c r="H54" s="219">
        <v>0</v>
      </c>
      <c r="I54" s="219">
        <v>0</v>
      </c>
      <c r="J54" s="220">
        <v>0</v>
      </c>
      <c r="K54" s="222">
        <v>0</v>
      </c>
      <c r="L54" s="53"/>
      <c r="M54" s="53"/>
      <c r="N54" s="53"/>
      <c r="O54" s="53"/>
      <c r="P54" s="53"/>
      <c r="Q54" s="53"/>
      <c r="R54" s="53"/>
    </row>
    <row r="55" spans="1:18" ht="15.75" customHeight="1" x14ac:dyDescent="0.3">
      <c r="A55" s="120">
        <v>49</v>
      </c>
      <c r="B55" s="153" t="s">
        <v>669</v>
      </c>
      <c r="C55" s="14" t="s">
        <v>1024</v>
      </c>
      <c r="D55" s="177" t="s">
        <v>777</v>
      </c>
      <c r="E55" s="219">
        <v>0</v>
      </c>
      <c r="F55" s="219">
        <v>120</v>
      </c>
      <c r="G55" s="219">
        <v>0</v>
      </c>
      <c r="H55" s="219">
        <v>120</v>
      </c>
      <c r="I55" s="219">
        <v>120</v>
      </c>
      <c r="J55" s="220">
        <v>120</v>
      </c>
      <c r="K55" s="219">
        <v>120</v>
      </c>
      <c r="L55" s="53"/>
      <c r="M55" s="53"/>
      <c r="N55" s="53"/>
      <c r="O55" s="53"/>
      <c r="P55" s="53"/>
      <c r="Q55" s="53"/>
      <c r="R55" s="53"/>
    </row>
    <row r="56" spans="1:18" ht="15.75" customHeight="1" x14ac:dyDescent="0.3">
      <c r="A56" s="120">
        <v>50</v>
      </c>
      <c r="B56" s="153" t="s">
        <v>257</v>
      </c>
      <c r="C56" s="3" t="s">
        <v>259</v>
      </c>
      <c r="D56" s="177" t="s">
        <v>778</v>
      </c>
      <c r="E56" s="219">
        <v>0</v>
      </c>
      <c r="F56" s="219">
        <v>0</v>
      </c>
      <c r="G56" s="219">
        <v>120</v>
      </c>
      <c r="H56" s="219">
        <v>120</v>
      </c>
      <c r="I56" s="219">
        <v>120</v>
      </c>
      <c r="J56" s="220">
        <v>120</v>
      </c>
      <c r="K56" s="219">
        <v>120</v>
      </c>
      <c r="L56" s="53"/>
      <c r="M56" s="53"/>
      <c r="N56" s="53"/>
      <c r="O56" s="53"/>
      <c r="P56" s="53"/>
      <c r="Q56" s="53"/>
      <c r="R56" s="53"/>
    </row>
    <row r="57" spans="1:18" ht="15.75" customHeight="1" x14ac:dyDescent="0.3">
      <c r="A57" s="119">
        <v>51</v>
      </c>
      <c r="B57" s="224" t="s">
        <v>364</v>
      </c>
      <c r="C57" s="84" t="s">
        <v>366</v>
      </c>
      <c r="D57" s="226" t="s">
        <v>779</v>
      </c>
      <c r="E57" s="220">
        <v>0</v>
      </c>
      <c r="F57" s="220">
        <v>0</v>
      </c>
      <c r="G57" s="220">
        <v>120</v>
      </c>
      <c r="H57" s="219">
        <v>120</v>
      </c>
      <c r="I57" s="220">
        <v>0</v>
      </c>
      <c r="J57" s="220">
        <v>0</v>
      </c>
      <c r="K57" s="219">
        <v>120</v>
      </c>
      <c r="L57" s="53"/>
      <c r="M57" s="53"/>
      <c r="N57" s="53"/>
      <c r="O57" s="53"/>
      <c r="P57" s="53"/>
      <c r="Q57" s="53"/>
      <c r="R57" s="53"/>
    </row>
    <row r="58" spans="1:18" ht="15.75" customHeight="1" x14ac:dyDescent="0.3">
      <c r="A58" s="120">
        <v>52</v>
      </c>
      <c r="B58" s="224" t="s">
        <v>489</v>
      </c>
      <c r="C58" s="114" t="s">
        <v>491</v>
      </c>
      <c r="D58" s="226" t="s">
        <v>780</v>
      </c>
      <c r="E58" s="220">
        <v>0</v>
      </c>
      <c r="F58" s="220">
        <v>0</v>
      </c>
      <c r="G58" s="220">
        <v>0</v>
      </c>
      <c r="H58" s="220">
        <v>0</v>
      </c>
      <c r="I58" s="220">
        <v>0</v>
      </c>
      <c r="J58" s="220">
        <v>0</v>
      </c>
      <c r="K58" s="219">
        <v>120</v>
      </c>
      <c r="L58" s="53"/>
      <c r="M58" s="53"/>
      <c r="N58" s="53"/>
      <c r="O58" s="53"/>
      <c r="P58" s="53"/>
      <c r="Q58" s="53"/>
      <c r="R58" s="53"/>
    </row>
    <row r="59" spans="1:18" ht="15.75" customHeight="1" x14ac:dyDescent="0.3">
      <c r="A59" s="119">
        <v>53</v>
      </c>
      <c r="B59" s="224" t="s">
        <v>126</v>
      </c>
      <c r="C59" s="114" t="s">
        <v>128</v>
      </c>
      <c r="D59" s="226" t="s">
        <v>781</v>
      </c>
      <c r="E59" s="220">
        <v>0</v>
      </c>
      <c r="F59" s="220">
        <v>0</v>
      </c>
      <c r="G59" s="220">
        <v>0</v>
      </c>
      <c r="H59" s="220">
        <v>0</v>
      </c>
      <c r="I59" s="220">
        <v>0</v>
      </c>
      <c r="J59" s="220">
        <v>0</v>
      </c>
      <c r="K59" s="220">
        <v>120</v>
      </c>
      <c r="L59" s="118"/>
      <c r="M59" s="118"/>
      <c r="N59" s="118"/>
      <c r="O59" s="118"/>
      <c r="P59" s="118"/>
      <c r="Q59" s="118"/>
      <c r="R59" s="118"/>
    </row>
    <row r="60" spans="1:18" ht="15.75" customHeight="1" x14ac:dyDescent="0.3">
      <c r="A60" s="120">
        <v>54</v>
      </c>
      <c r="B60" s="224" t="s">
        <v>239</v>
      </c>
      <c r="C60" s="84" t="s">
        <v>957</v>
      </c>
      <c r="D60" s="226" t="s">
        <v>783</v>
      </c>
      <c r="E60" s="220">
        <v>0</v>
      </c>
      <c r="F60" s="220">
        <v>0</v>
      </c>
      <c r="G60" s="220">
        <v>0</v>
      </c>
      <c r="H60" s="220">
        <v>0</v>
      </c>
      <c r="I60" s="220">
        <v>0</v>
      </c>
      <c r="J60" s="220">
        <v>0</v>
      </c>
      <c r="K60" s="219">
        <v>120</v>
      </c>
      <c r="L60" s="53"/>
      <c r="M60" s="53"/>
      <c r="N60" s="53"/>
      <c r="O60" s="53"/>
      <c r="P60" s="53"/>
      <c r="Q60" s="53"/>
      <c r="R60" s="53"/>
    </row>
    <row r="61" spans="1:18" ht="15.75" customHeight="1" x14ac:dyDescent="0.3">
      <c r="A61" s="120">
        <v>55</v>
      </c>
      <c r="B61" s="153" t="s">
        <v>249</v>
      </c>
      <c r="C61" s="14" t="s">
        <v>251</v>
      </c>
      <c r="D61" s="177" t="s">
        <v>785</v>
      </c>
      <c r="E61" s="219">
        <v>0</v>
      </c>
      <c r="F61" s="219">
        <v>0</v>
      </c>
      <c r="G61" s="219">
        <v>120</v>
      </c>
      <c r="H61" s="219">
        <v>120</v>
      </c>
      <c r="I61" s="220">
        <v>120</v>
      </c>
      <c r="J61" s="220">
        <v>120</v>
      </c>
      <c r="K61" s="219">
        <v>120</v>
      </c>
      <c r="L61" s="53"/>
      <c r="M61" s="53"/>
      <c r="N61" s="53"/>
      <c r="O61" s="53"/>
      <c r="P61" s="53"/>
      <c r="Q61" s="53"/>
      <c r="R61" s="53"/>
    </row>
    <row r="62" spans="1:18" ht="15.75" customHeight="1" x14ac:dyDescent="0.3">
      <c r="A62" s="120">
        <v>56</v>
      </c>
      <c r="B62" s="153" t="s">
        <v>395</v>
      </c>
      <c r="C62" s="14" t="s">
        <v>397</v>
      </c>
      <c r="D62" s="177" t="s">
        <v>786</v>
      </c>
      <c r="E62" s="219">
        <v>0</v>
      </c>
      <c r="F62" s="219">
        <v>120</v>
      </c>
      <c r="G62" s="219">
        <v>120</v>
      </c>
      <c r="H62" s="219">
        <v>120</v>
      </c>
      <c r="I62" s="220">
        <v>120</v>
      </c>
      <c r="J62" s="220">
        <v>120</v>
      </c>
      <c r="K62" s="219">
        <v>120</v>
      </c>
      <c r="L62" s="53"/>
      <c r="M62" s="53"/>
      <c r="N62" s="53"/>
      <c r="O62" s="53"/>
      <c r="P62" s="53"/>
      <c r="Q62" s="53"/>
      <c r="R62" s="53"/>
    </row>
    <row r="63" spans="1:18" ht="15.75" customHeight="1" x14ac:dyDescent="0.3">
      <c r="A63" s="120">
        <v>57</v>
      </c>
      <c r="B63" s="153" t="s">
        <v>150</v>
      </c>
      <c r="C63" s="14" t="s">
        <v>152</v>
      </c>
      <c r="D63" s="177" t="s">
        <v>789</v>
      </c>
      <c r="E63" s="219">
        <v>0</v>
      </c>
      <c r="F63" s="219">
        <v>60</v>
      </c>
      <c r="G63" s="219">
        <v>120</v>
      </c>
      <c r="H63" s="219">
        <v>120</v>
      </c>
      <c r="I63" s="220">
        <v>120</v>
      </c>
      <c r="J63" s="220">
        <v>120</v>
      </c>
      <c r="K63" s="222">
        <v>0</v>
      </c>
      <c r="L63" s="53"/>
      <c r="M63" s="53"/>
      <c r="N63" s="53"/>
      <c r="O63" s="53"/>
      <c r="P63" s="53"/>
      <c r="Q63" s="53"/>
      <c r="R63" s="53"/>
    </row>
    <row r="64" spans="1:18" ht="15.75" customHeight="1" x14ac:dyDescent="0.3">
      <c r="A64" s="120">
        <v>58</v>
      </c>
      <c r="B64" s="153" t="s">
        <v>438</v>
      </c>
      <c r="C64" s="3" t="s">
        <v>440</v>
      </c>
      <c r="D64" s="177" t="s">
        <v>791</v>
      </c>
      <c r="E64" s="219">
        <v>0</v>
      </c>
      <c r="F64" s="219">
        <v>120</v>
      </c>
      <c r="G64" s="219">
        <v>120</v>
      </c>
      <c r="H64" s="219">
        <v>120</v>
      </c>
      <c r="I64" s="220">
        <v>120</v>
      </c>
      <c r="J64" s="220">
        <v>120</v>
      </c>
      <c r="K64" s="219">
        <v>120</v>
      </c>
      <c r="L64" s="53"/>
      <c r="M64" s="53"/>
      <c r="N64" s="53"/>
      <c r="O64" s="53"/>
      <c r="P64" s="53"/>
      <c r="Q64" s="53"/>
      <c r="R64" s="53"/>
    </row>
    <row r="65" spans="1:18" ht="15.75" customHeight="1" x14ac:dyDescent="0.3">
      <c r="A65" s="120">
        <v>59</v>
      </c>
      <c r="B65" s="153" t="s">
        <v>307</v>
      </c>
      <c r="C65" s="3" t="s">
        <v>309</v>
      </c>
      <c r="D65" s="177" t="s">
        <v>792</v>
      </c>
      <c r="E65" s="219">
        <v>90</v>
      </c>
      <c r="F65" s="219">
        <v>120</v>
      </c>
      <c r="G65" s="219">
        <v>120</v>
      </c>
      <c r="H65" s="219">
        <v>120</v>
      </c>
      <c r="I65" s="220">
        <v>120</v>
      </c>
      <c r="J65" s="220">
        <v>120</v>
      </c>
      <c r="K65" s="219">
        <v>120</v>
      </c>
      <c r="L65" s="53"/>
      <c r="M65" s="53"/>
      <c r="N65" s="53"/>
      <c r="O65" s="53"/>
      <c r="P65" s="53"/>
      <c r="Q65" s="53"/>
      <c r="R65" s="53"/>
    </row>
    <row r="66" spans="1:18" ht="15.75" customHeight="1" x14ac:dyDescent="0.3">
      <c r="A66" s="120">
        <v>60</v>
      </c>
      <c r="B66" s="153" t="s">
        <v>217</v>
      </c>
      <c r="C66" s="3" t="s">
        <v>219</v>
      </c>
      <c r="D66" s="177" t="s">
        <v>793</v>
      </c>
      <c r="E66" s="219">
        <v>0</v>
      </c>
      <c r="F66" s="219">
        <v>120</v>
      </c>
      <c r="G66" s="219">
        <v>0</v>
      </c>
      <c r="H66" s="219">
        <v>0</v>
      </c>
      <c r="I66" s="219">
        <v>0</v>
      </c>
      <c r="J66" s="220">
        <v>120</v>
      </c>
      <c r="K66" s="219">
        <v>120</v>
      </c>
      <c r="L66" s="53"/>
      <c r="M66" s="53"/>
      <c r="N66" s="53"/>
      <c r="O66" s="53"/>
      <c r="P66" s="53"/>
      <c r="Q66" s="53"/>
      <c r="R66" s="53"/>
    </row>
    <row r="67" spans="1:18" ht="15.75" customHeight="1" x14ac:dyDescent="0.3">
      <c r="A67" s="120">
        <v>61</v>
      </c>
      <c r="B67" s="153" t="s">
        <v>301</v>
      </c>
      <c r="C67" s="44" t="s">
        <v>794</v>
      </c>
      <c r="D67" s="177" t="s">
        <v>795</v>
      </c>
      <c r="E67" s="219">
        <v>110</v>
      </c>
      <c r="F67" s="219">
        <v>120</v>
      </c>
      <c r="G67" s="219">
        <v>120</v>
      </c>
      <c r="H67" s="219">
        <v>120</v>
      </c>
      <c r="I67" s="219">
        <v>120</v>
      </c>
      <c r="J67" s="220">
        <v>120</v>
      </c>
      <c r="K67" s="219">
        <v>120</v>
      </c>
      <c r="L67" s="53"/>
      <c r="M67" s="53"/>
      <c r="N67" s="53"/>
      <c r="O67" s="53"/>
      <c r="P67" s="53"/>
      <c r="Q67" s="53"/>
      <c r="R67" s="53"/>
    </row>
    <row r="68" spans="1:18" ht="15.75" customHeight="1" x14ac:dyDescent="0.3">
      <c r="A68" s="120">
        <v>62</v>
      </c>
      <c r="B68" s="153" t="s">
        <v>342</v>
      </c>
      <c r="C68" s="3" t="s">
        <v>344</v>
      </c>
      <c r="D68" s="177" t="s">
        <v>796</v>
      </c>
      <c r="E68" s="219">
        <v>0</v>
      </c>
      <c r="F68" s="219">
        <v>0</v>
      </c>
      <c r="G68" s="219">
        <v>120</v>
      </c>
      <c r="H68" s="219">
        <v>120</v>
      </c>
      <c r="I68" s="219">
        <v>0</v>
      </c>
      <c r="J68" s="220">
        <v>120</v>
      </c>
      <c r="K68" s="219">
        <v>120</v>
      </c>
      <c r="L68" s="53"/>
      <c r="M68" s="53"/>
      <c r="N68" s="53"/>
      <c r="O68" s="53"/>
      <c r="P68" s="53"/>
      <c r="Q68" s="53"/>
      <c r="R68" s="53"/>
    </row>
    <row r="69" spans="1:18" ht="15.75" customHeight="1" x14ac:dyDescent="0.3">
      <c r="A69" s="120">
        <v>63</v>
      </c>
      <c r="B69" s="153" t="s">
        <v>289</v>
      </c>
      <c r="C69" s="3" t="s">
        <v>291</v>
      </c>
      <c r="D69" s="177" t="s">
        <v>797</v>
      </c>
      <c r="E69" s="219">
        <v>0</v>
      </c>
      <c r="F69" s="219">
        <v>0</v>
      </c>
      <c r="G69" s="219">
        <v>120</v>
      </c>
      <c r="H69" s="219">
        <v>120</v>
      </c>
      <c r="I69" s="219">
        <v>0</v>
      </c>
      <c r="J69" s="220">
        <v>120</v>
      </c>
      <c r="K69" s="219">
        <v>120</v>
      </c>
      <c r="L69" s="53"/>
      <c r="M69" s="53"/>
      <c r="N69" s="53"/>
      <c r="O69" s="53"/>
      <c r="P69" s="53"/>
      <c r="Q69" s="53"/>
      <c r="R69" s="53"/>
    </row>
    <row r="70" spans="1:18" ht="15.75" customHeight="1" x14ac:dyDescent="0.3">
      <c r="A70" s="120">
        <v>64</v>
      </c>
      <c r="B70" s="153" t="s">
        <v>608</v>
      </c>
      <c r="C70" s="44" t="s">
        <v>798</v>
      </c>
      <c r="D70" s="177" t="s">
        <v>799</v>
      </c>
      <c r="E70" s="219">
        <v>0</v>
      </c>
      <c r="F70" s="219">
        <v>120</v>
      </c>
      <c r="G70" s="219">
        <v>120</v>
      </c>
      <c r="H70" s="219">
        <v>120</v>
      </c>
      <c r="I70" s="219">
        <v>120</v>
      </c>
      <c r="J70" s="220">
        <v>120</v>
      </c>
      <c r="K70" s="219">
        <v>120</v>
      </c>
      <c r="L70" s="53"/>
      <c r="M70" s="53"/>
      <c r="N70" s="53"/>
      <c r="O70" s="53"/>
      <c r="P70" s="53"/>
      <c r="Q70" s="53"/>
      <c r="R70" s="53"/>
    </row>
    <row r="71" spans="1:18" ht="15.75" customHeight="1" x14ac:dyDescent="0.3">
      <c r="A71" s="120">
        <v>65</v>
      </c>
      <c r="B71" s="153" t="s">
        <v>548</v>
      </c>
      <c r="C71" s="14" t="s">
        <v>550</v>
      </c>
      <c r="D71" s="177" t="s">
        <v>800</v>
      </c>
      <c r="E71" s="219">
        <v>0</v>
      </c>
      <c r="F71" s="219">
        <v>0</v>
      </c>
      <c r="G71" s="219">
        <v>0</v>
      </c>
      <c r="H71" s="219">
        <v>0</v>
      </c>
      <c r="I71" s="219">
        <v>0</v>
      </c>
      <c r="J71" s="220">
        <v>120</v>
      </c>
      <c r="K71" s="219">
        <v>120</v>
      </c>
      <c r="L71" s="53"/>
      <c r="M71" s="53"/>
      <c r="N71" s="53"/>
      <c r="O71" s="53"/>
      <c r="P71" s="53"/>
      <c r="Q71" s="53"/>
      <c r="R71" s="53"/>
    </row>
    <row r="72" spans="1:18" ht="15.75" customHeight="1" x14ac:dyDescent="0.3">
      <c r="A72" s="120">
        <v>66</v>
      </c>
      <c r="B72" s="153" t="s">
        <v>482</v>
      </c>
      <c r="C72" s="44" t="s">
        <v>801</v>
      </c>
      <c r="D72" s="177" t="s">
        <v>802</v>
      </c>
      <c r="E72" s="219">
        <v>0</v>
      </c>
      <c r="F72" s="219">
        <v>120</v>
      </c>
      <c r="G72" s="219">
        <v>120</v>
      </c>
      <c r="H72" s="219">
        <v>120</v>
      </c>
      <c r="I72" s="219">
        <v>0</v>
      </c>
      <c r="J72" s="220">
        <v>120</v>
      </c>
      <c r="K72" s="219">
        <v>120</v>
      </c>
      <c r="L72" s="53"/>
      <c r="M72" s="53"/>
      <c r="N72" s="53"/>
      <c r="O72" s="53"/>
      <c r="P72" s="53"/>
      <c r="Q72" s="53"/>
      <c r="R72" s="53"/>
    </row>
    <row r="73" spans="1:18" ht="15.75" customHeight="1" x14ac:dyDescent="0.3">
      <c r="A73" s="120">
        <v>67</v>
      </c>
      <c r="B73" s="153" t="s">
        <v>185</v>
      </c>
      <c r="C73" s="113" t="s">
        <v>1025</v>
      </c>
      <c r="D73" s="177" t="s">
        <v>804</v>
      </c>
      <c r="E73" s="219">
        <v>0</v>
      </c>
      <c r="F73" s="219">
        <v>0</v>
      </c>
      <c r="G73" s="219">
        <v>120</v>
      </c>
      <c r="H73" s="219">
        <v>120</v>
      </c>
      <c r="I73" s="219">
        <v>0</v>
      </c>
      <c r="J73" s="220">
        <v>0</v>
      </c>
      <c r="K73" s="222">
        <v>0</v>
      </c>
      <c r="L73" s="53"/>
      <c r="M73" s="53"/>
      <c r="N73" s="53"/>
      <c r="O73" s="53"/>
      <c r="P73" s="53"/>
      <c r="Q73" s="53"/>
      <c r="R73" s="53"/>
    </row>
    <row r="74" spans="1:18" ht="15.75" customHeight="1" x14ac:dyDescent="0.3">
      <c r="A74" s="120">
        <v>68</v>
      </c>
      <c r="B74" s="153" t="s">
        <v>276</v>
      </c>
      <c r="C74" s="44" t="s">
        <v>1000</v>
      </c>
      <c r="D74" s="177" t="s">
        <v>806</v>
      </c>
      <c r="E74" s="219">
        <v>0</v>
      </c>
      <c r="F74" s="219">
        <v>0</v>
      </c>
      <c r="G74" s="219">
        <v>0</v>
      </c>
      <c r="H74" s="219">
        <v>120</v>
      </c>
      <c r="I74" s="219">
        <v>0</v>
      </c>
      <c r="J74" s="220">
        <v>120</v>
      </c>
      <c r="K74" s="219">
        <v>120</v>
      </c>
      <c r="L74" s="53"/>
      <c r="M74" s="53"/>
      <c r="N74" s="53"/>
      <c r="O74" s="53"/>
      <c r="P74" s="53"/>
      <c r="Q74" s="53"/>
      <c r="R74" s="53"/>
    </row>
    <row r="75" spans="1:18" ht="15.75" customHeight="1" x14ac:dyDescent="0.3">
      <c r="A75" s="120">
        <v>69</v>
      </c>
      <c r="B75" s="153" t="s">
        <v>564</v>
      </c>
      <c r="C75" s="44" t="s">
        <v>807</v>
      </c>
      <c r="D75" s="177" t="s">
        <v>808</v>
      </c>
      <c r="E75" s="219">
        <v>0</v>
      </c>
      <c r="F75" s="219">
        <v>120</v>
      </c>
      <c r="G75" s="219">
        <v>120</v>
      </c>
      <c r="H75" s="219">
        <v>120</v>
      </c>
      <c r="I75" s="219">
        <v>120</v>
      </c>
      <c r="J75" s="220">
        <v>120</v>
      </c>
      <c r="K75" s="219">
        <v>120</v>
      </c>
      <c r="L75" s="53"/>
      <c r="M75" s="53"/>
      <c r="N75" s="53"/>
      <c r="O75" s="53"/>
      <c r="P75" s="53"/>
      <c r="Q75" s="53"/>
      <c r="R75" s="53"/>
    </row>
    <row r="76" spans="1:18" ht="15.75" customHeight="1" x14ac:dyDescent="0.3">
      <c r="A76" s="120">
        <v>70</v>
      </c>
      <c r="B76" s="153" t="s">
        <v>629</v>
      </c>
      <c r="C76" s="3" t="s">
        <v>631</v>
      </c>
      <c r="D76" s="177" t="s">
        <v>809</v>
      </c>
      <c r="E76" s="219">
        <v>20</v>
      </c>
      <c r="F76" s="219">
        <v>120</v>
      </c>
      <c r="G76" s="219">
        <v>120</v>
      </c>
      <c r="H76" s="219">
        <v>120</v>
      </c>
      <c r="I76" s="219">
        <v>120</v>
      </c>
      <c r="J76" s="220">
        <v>120</v>
      </c>
      <c r="K76" s="219">
        <v>120</v>
      </c>
      <c r="L76" s="53"/>
      <c r="M76" s="53"/>
      <c r="N76" s="53"/>
      <c r="O76" s="53"/>
      <c r="P76" s="53"/>
      <c r="Q76" s="53"/>
      <c r="R76" s="53"/>
    </row>
    <row r="77" spans="1:18" ht="15.75" customHeight="1" x14ac:dyDescent="0.3">
      <c r="A77" s="120">
        <v>71</v>
      </c>
      <c r="B77" s="153" t="s">
        <v>810</v>
      </c>
      <c r="C77" s="44" t="s">
        <v>1026</v>
      </c>
      <c r="D77" s="177" t="s">
        <v>812</v>
      </c>
      <c r="E77" s="219">
        <v>0</v>
      </c>
      <c r="F77" s="219">
        <v>120</v>
      </c>
      <c r="G77" s="219">
        <v>120</v>
      </c>
      <c r="H77" s="219">
        <v>120</v>
      </c>
      <c r="I77" s="219">
        <v>120</v>
      </c>
      <c r="J77" s="220">
        <v>120</v>
      </c>
      <c r="K77" s="219">
        <v>120</v>
      </c>
      <c r="L77" s="53"/>
      <c r="M77" s="53"/>
      <c r="N77" s="53"/>
      <c r="O77" s="53"/>
      <c r="P77" s="53"/>
      <c r="Q77" s="53"/>
      <c r="R77" s="53"/>
    </row>
    <row r="78" spans="1:18" ht="15.75" customHeight="1" x14ac:dyDescent="0.3">
      <c r="A78" s="120">
        <v>72</v>
      </c>
      <c r="B78" s="153" t="s">
        <v>813</v>
      </c>
      <c r="C78" s="44" t="s">
        <v>814</v>
      </c>
      <c r="D78" s="177" t="s">
        <v>815</v>
      </c>
      <c r="E78" s="219">
        <v>0</v>
      </c>
      <c r="F78" s="219">
        <v>0</v>
      </c>
      <c r="G78" s="219">
        <v>0</v>
      </c>
      <c r="H78" s="219">
        <v>0</v>
      </c>
      <c r="I78" s="219">
        <v>0</v>
      </c>
      <c r="J78" s="220">
        <v>120</v>
      </c>
      <c r="K78" s="219">
        <v>120</v>
      </c>
      <c r="L78" s="53"/>
      <c r="M78" s="53"/>
      <c r="N78" s="53"/>
      <c r="O78" s="53"/>
      <c r="P78" s="53"/>
      <c r="Q78" s="53"/>
      <c r="R78" s="53"/>
    </row>
    <row r="79" spans="1:18" ht="15.75" customHeight="1" x14ac:dyDescent="0.3">
      <c r="A79" s="120">
        <v>73</v>
      </c>
      <c r="B79" s="153" t="s">
        <v>816</v>
      </c>
      <c r="C79" s="44" t="s">
        <v>817</v>
      </c>
      <c r="D79" s="177" t="s">
        <v>818</v>
      </c>
      <c r="E79" s="219">
        <v>0</v>
      </c>
      <c r="F79" s="219">
        <v>0</v>
      </c>
      <c r="G79" s="219">
        <v>0</v>
      </c>
      <c r="H79" s="219">
        <v>120</v>
      </c>
      <c r="I79" s="219">
        <v>0</v>
      </c>
      <c r="J79" s="220">
        <v>0</v>
      </c>
      <c r="K79" s="219">
        <v>120</v>
      </c>
      <c r="L79" s="53"/>
      <c r="M79" s="53"/>
      <c r="N79" s="53"/>
      <c r="O79" s="53"/>
      <c r="P79" s="53"/>
      <c r="Q79" s="53"/>
      <c r="R79" s="53"/>
    </row>
    <row r="80" spans="1:18" ht="15.75" customHeight="1" x14ac:dyDescent="0.3">
      <c r="A80" s="120">
        <v>74</v>
      </c>
      <c r="B80" s="153" t="s">
        <v>819</v>
      </c>
      <c r="C80" s="44" t="s">
        <v>820</v>
      </c>
      <c r="D80" s="177" t="s">
        <v>821</v>
      </c>
      <c r="E80" s="219">
        <v>110</v>
      </c>
      <c r="F80" s="219">
        <v>120</v>
      </c>
      <c r="G80" s="219">
        <v>120</v>
      </c>
      <c r="H80" s="219">
        <v>120</v>
      </c>
      <c r="I80" s="220">
        <v>120</v>
      </c>
      <c r="J80" s="220">
        <v>120</v>
      </c>
      <c r="K80" s="219">
        <v>120</v>
      </c>
      <c r="L80" s="53"/>
      <c r="M80" s="53"/>
      <c r="N80" s="53"/>
      <c r="O80" s="53"/>
      <c r="P80" s="53"/>
      <c r="Q80" s="53"/>
      <c r="R80" s="53"/>
    </row>
    <row r="81" spans="1:18" ht="15.75" customHeight="1" x14ac:dyDescent="0.3">
      <c r="A81" s="120">
        <v>75</v>
      </c>
      <c r="B81" s="153" t="s">
        <v>822</v>
      </c>
      <c r="C81" s="44" t="s">
        <v>823</v>
      </c>
      <c r="D81" s="177" t="s">
        <v>824</v>
      </c>
      <c r="E81" s="219">
        <v>0</v>
      </c>
      <c r="F81" s="219">
        <v>120</v>
      </c>
      <c r="G81" s="219">
        <v>120</v>
      </c>
      <c r="H81" s="219">
        <v>120</v>
      </c>
      <c r="I81" s="220">
        <v>120</v>
      </c>
      <c r="J81" s="220">
        <v>20</v>
      </c>
      <c r="K81" s="219">
        <v>120</v>
      </c>
      <c r="L81" s="53"/>
      <c r="M81" s="53"/>
      <c r="N81" s="53"/>
      <c r="O81" s="53"/>
      <c r="P81" s="53"/>
      <c r="Q81" s="53"/>
      <c r="R81" s="53"/>
    </row>
    <row r="82" spans="1:18" ht="15.75" customHeight="1" x14ac:dyDescent="0.3">
      <c r="A82" s="120">
        <v>76</v>
      </c>
      <c r="B82" s="153" t="s">
        <v>825</v>
      </c>
      <c r="C82" s="44" t="s">
        <v>826</v>
      </c>
      <c r="D82" s="177" t="s">
        <v>827</v>
      </c>
      <c r="E82" s="219">
        <v>0</v>
      </c>
      <c r="F82" s="221">
        <v>0</v>
      </c>
      <c r="G82" s="219">
        <v>120</v>
      </c>
      <c r="H82" s="219">
        <v>120</v>
      </c>
      <c r="I82" s="220">
        <v>120</v>
      </c>
      <c r="J82" s="220">
        <v>120</v>
      </c>
      <c r="K82" s="219">
        <v>120</v>
      </c>
      <c r="L82" s="53"/>
      <c r="M82" s="53"/>
      <c r="N82" s="53"/>
      <c r="O82" s="53"/>
      <c r="P82" s="53"/>
      <c r="Q82" s="53"/>
      <c r="R82" s="53"/>
    </row>
    <row r="83" spans="1:18" ht="15.75" customHeight="1" x14ac:dyDescent="0.3">
      <c r="A83" s="120">
        <v>77</v>
      </c>
      <c r="B83" s="153" t="s">
        <v>416</v>
      </c>
      <c r="C83" s="14" t="s">
        <v>418</v>
      </c>
      <c r="D83" s="177" t="s">
        <v>828</v>
      </c>
      <c r="E83" s="219">
        <v>0</v>
      </c>
      <c r="F83" s="219">
        <v>30</v>
      </c>
      <c r="G83" s="219">
        <v>120</v>
      </c>
      <c r="H83" s="219">
        <v>120</v>
      </c>
      <c r="I83" s="220">
        <v>120</v>
      </c>
      <c r="J83" s="220">
        <v>120</v>
      </c>
      <c r="K83" s="219">
        <v>120</v>
      </c>
      <c r="L83" s="53"/>
      <c r="M83" s="53"/>
      <c r="N83" s="53"/>
      <c r="O83" s="53"/>
      <c r="P83" s="53"/>
      <c r="Q83" s="53"/>
      <c r="R83" s="53"/>
    </row>
    <row r="84" spans="1:18" ht="15.75" customHeight="1" x14ac:dyDescent="0.3">
      <c r="A84" s="120">
        <v>78</v>
      </c>
      <c r="B84" s="153" t="s">
        <v>829</v>
      </c>
      <c r="C84" s="44" t="s">
        <v>830</v>
      </c>
      <c r="D84" s="177" t="s">
        <v>831</v>
      </c>
      <c r="E84" s="219">
        <v>110</v>
      </c>
      <c r="F84" s="219">
        <v>120</v>
      </c>
      <c r="G84" s="219">
        <v>120</v>
      </c>
      <c r="H84" s="219">
        <v>120</v>
      </c>
      <c r="I84" s="220">
        <v>120</v>
      </c>
      <c r="J84" s="220">
        <v>120</v>
      </c>
      <c r="K84" s="219">
        <v>120</v>
      </c>
      <c r="L84" s="53"/>
      <c r="M84" s="53"/>
      <c r="N84" s="53"/>
      <c r="O84" s="53"/>
      <c r="P84" s="53"/>
      <c r="Q84" s="53"/>
      <c r="R84" s="53"/>
    </row>
    <row r="85" spans="1:18" ht="15.75" customHeight="1" x14ac:dyDescent="0.3">
      <c r="A85" s="120">
        <v>79</v>
      </c>
      <c r="B85" s="153" t="s">
        <v>832</v>
      </c>
      <c r="C85" s="3" t="s">
        <v>584</v>
      </c>
      <c r="D85" s="177" t="s">
        <v>721</v>
      </c>
      <c r="E85" s="219">
        <v>20</v>
      </c>
      <c r="F85" s="219">
        <v>120</v>
      </c>
      <c r="G85" s="219">
        <v>120</v>
      </c>
      <c r="H85" s="219">
        <v>120</v>
      </c>
      <c r="I85" s="220">
        <v>120</v>
      </c>
      <c r="J85" s="220">
        <v>120</v>
      </c>
      <c r="K85" s="219">
        <v>120</v>
      </c>
      <c r="L85" s="53"/>
      <c r="M85" s="53"/>
      <c r="N85" s="53"/>
      <c r="O85" s="53"/>
      <c r="P85" s="53"/>
      <c r="Q85" s="53"/>
      <c r="R85" s="53"/>
    </row>
    <row r="86" spans="1:18" ht="15.75" customHeight="1" x14ac:dyDescent="0.3">
      <c r="A86" s="120">
        <v>80</v>
      </c>
      <c r="B86" s="153" t="s">
        <v>833</v>
      </c>
      <c r="C86" s="14" t="s">
        <v>296</v>
      </c>
      <c r="D86" s="177" t="s">
        <v>834</v>
      </c>
      <c r="E86" s="219">
        <v>0</v>
      </c>
      <c r="F86" s="219">
        <v>0</v>
      </c>
      <c r="G86" s="219">
        <v>120</v>
      </c>
      <c r="H86" s="219">
        <v>120</v>
      </c>
      <c r="I86" s="220">
        <v>120</v>
      </c>
      <c r="J86" s="220">
        <v>120</v>
      </c>
      <c r="K86" s="219">
        <v>120</v>
      </c>
      <c r="L86" s="53"/>
      <c r="M86" s="53"/>
      <c r="N86" s="53"/>
      <c r="O86" s="53"/>
      <c r="P86" s="53"/>
      <c r="Q86" s="53"/>
      <c r="R86" s="53"/>
    </row>
    <row r="87" spans="1:18" ht="15.75" customHeight="1" x14ac:dyDescent="0.3">
      <c r="A87" s="120">
        <v>81</v>
      </c>
      <c r="B87" s="153" t="s">
        <v>836</v>
      </c>
      <c r="C87" s="44" t="s">
        <v>919</v>
      </c>
      <c r="D87" s="177" t="s">
        <v>920</v>
      </c>
      <c r="E87" s="219" t="s">
        <v>1027</v>
      </c>
      <c r="F87" s="219">
        <v>0</v>
      </c>
      <c r="G87" s="219">
        <v>120</v>
      </c>
      <c r="H87" s="219">
        <v>120</v>
      </c>
      <c r="I87" s="220">
        <v>120</v>
      </c>
      <c r="J87" s="220">
        <v>120</v>
      </c>
      <c r="K87" s="219">
        <v>120</v>
      </c>
      <c r="L87" s="53"/>
      <c r="M87" s="53"/>
      <c r="N87" s="53"/>
      <c r="O87" s="53"/>
      <c r="P87" s="53"/>
      <c r="Q87" s="53"/>
      <c r="R87" s="53"/>
    </row>
    <row r="88" spans="1:18" ht="15.75" customHeight="1" x14ac:dyDescent="0.3">
      <c r="A88" s="120">
        <v>82</v>
      </c>
      <c r="B88" s="153" t="s">
        <v>837</v>
      </c>
      <c r="C88" s="44" t="s">
        <v>921</v>
      </c>
      <c r="D88" s="177" t="s">
        <v>922</v>
      </c>
      <c r="E88" s="220" t="s">
        <v>282</v>
      </c>
      <c r="F88" s="220" t="s">
        <v>282</v>
      </c>
      <c r="G88" s="219">
        <v>0</v>
      </c>
      <c r="H88" s="219">
        <v>120</v>
      </c>
      <c r="I88" s="220">
        <v>120</v>
      </c>
      <c r="J88" s="220">
        <v>120</v>
      </c>
      <c r="K88" s="219">
        <v>120</v>
      </c>
      <c r="L88" s="53"/>
      <c r="M88" s="53"/>
      <c r="N88" s="53"/>
      <c r="O88" s="53"/>
      <c r="P88" s="53"/>
      <c r="Q88" s="53"/>
      <c r="R88" s="53"/>
    </row>
    <row r="89" spans="1:18" ht="15.75" customHeight="1" x14ac:dyDescent="0.3">
      <c r="A89" s="120">
        <v>83</v>
      </c>
      <c r="B89" s="224" t="s">
        <v>142</v>
      </c>
      <c r="C89" s="114" t="s">
        <v>144</v>
      </c>
      <c r="D89" s="226" t="s">
        <v>838</v>
      </c>
      <c r="E89" s="219">
        <v>0</v>
      </c>
      <c r="F89" s="219">
        <v>0</v>
      </c>
      <c r="G89" s="219">
        <v>0</v>
      </c>
      <c r="H89" s="219">
        <v>0</v>
      </c>
      <c r="I89" s="219">
        <v>0</v>
      </c>
      <c r="J89" s="220">
        <v>0</v>
      </c>
      <c r="K89" s="222">
        <v>0</v>
      </c>
      <c r="L89" s="53"/>
      <c r="M89" s="53"/>
      <c r="N89" s="53"/>
      <c r="O89" s="53"/>
      <c r="P89" s="53"/>
      <c r="Q89" s="53"/>
      <c r="R89" s="53"/>
    </row>
    <row r="90" spans="1:18" ht="15.75" customHeight="1" x14ac:dyDescent="0.3">
      <c r="A90" s="120">
        <v>84</v>
      </c>
      <c r="B90" s="153" t="s">
        <v>839</v>
      </c>
      <c r="C90" s="3" t="s">
        <v>572</v>
      </c>
      <c r="D90" s="227" t="s">
        <v>923</v>
      </c>
      <c r="E90" s="219" t="s">
        <v>1027</v>
      </c>
      <c r="F90" s="219">
        <v>120</v>
      </c>
      <c r="G90" s="219">
        <v>120</v>
      </c>
      <c r="H90" s="219">
        <v>120</v>
      </c>
      <c r="I90" s="219">
        <v>120</v>
      </c>
      <c r="J90" s="220">
        <v>120</v>
      </c>
      <c r="K90" s="219">
        <v>120</v>
      </c>
      <c r="L90" s="53"/>
      <c r="M90" s="53"/>
      <c r="N90" s="53"/>
      <c r="O90" s="53"/>
      <c r="P90" s="53"/>
      <c r="Q90" s="53"/>
      <c r="R90" s="53"/>
    </row>
    <row r="91" spans="1:18" ht="15.75" customHeight="1" x14ac:dyDescent="0.3">
      <c r="A91" s="120"/>
      <c r="B91" s="153" t="s">
        <v>840</v>
      </c>
      <c r="C91" s="207" t="s">
        <v>1178</v>
      </c>
      <c r="D91" s="208" t="s">
        <v>793</v>
      </c>
      <c r="E91" s="219"/>
      <c r="F91" s="219"/>
      <c r="G91" s="219"/>
      <c r="H91" s="219"/>
      <c r="I91" s="219"/>
      <c r="J91" s="220"/>
      <c r="K91" s="222">
        <v>0</v>
      </c>
      <c r="L91" s="20" t="s">
        <v>1189</v>
      </c>
      <c r="M91" s="53"/>
      <c r="N91" s="53"/>
      <c r="O91" s="53"/>
      <c r="P91" s="53"/>
      <c r="Q91" s="53"/>
      <c r="R91" s="53"/>
    </row>
    <row r="92" spans="1:18" ht="15.75" customHeight="1" x14ac:dyDescent="0.3">
      <c r="A92" s="120">
        <v>85</v>
      </c>
      <c r="B92" s="153" t="s">
        <v>841</v>
      </c>
      <c r="C92" s="3" t="s">
        <v>212</v>
      </c>
      <c r="D92" s="177" t="s">
        <v>926</v>
      </c>
      <c r="E92" s="219" t="s">
        <v>1027</v>
      </c>
      <c r="F92" s="219">
        <v>20</v>
      </c>
      <c r="G92" s="219">
        <v>120</v>
      </c>
      <c r="H92" s="219">
        <v>120</v>
      </c>
      <c r="I92" s="219">
        <v>120</v>
      </c>
      <c r="J92" s="220">
        <v>120</v>
      </c>
      <c r="K92" s="219">
        <v>120</v>
      </c>
      <c r="L92" s="53"/>
      <c r="M92" s="53"/>
      <c r="N92" s="53"/>
      <c r="O92" s="53"/>
      <c r="P92" s="53"/>
      <c r="Q92" s="53"/>
      <c r="R92" s="53"/>
    </row>
    <row r="93" spans="1:18" ht="15.75" customHeight="1" x14ac:dyDescent="0.3">
      <c r="A93" s="120"/>
      <c r="B93" s="153" t="s">
        <v>842</v>
      </c>
      <c r="C93" s="207" t="s">
        <v>1180</v>
      </c>
      <c r="D93" s="208" t="s">
        <v>1181</v>
      </c>
      <c r="E93" s="219"/>
      <c r="F93" s="219"/>
      <c r="G93" s="219"/>
      <c r="H93" s="219"/>
      <c r="I93" s="219"/>
      <c r="J93" s="220"/>
      <c r="K93" s="222">
        <v>110</v>
      </c>
      <c r="L93" s="20" t="s">
        <v>1189</v>
      </c>
      <c r="M93" s="53"/>
      <c r="N93" s="53"/>
      <c r="O93" s="53"/>
      <c r="P93" s="53"/>
      <c r="Q93" s="53"/>
      <c r="R93" s="53"/>
    </row>
    <row r="94" spans="1:18" ht="15.75" customHeight="1" x14ac:dyDescent="0.3">
      <c r="A94" s="120">
        <v>86</v>
      </c>
      <c r="B94" s="153" t="s">
        <v>644</v>
      </c>
      <c r="C94" s="14" t="s">
        <v>647</v>
      </c>
      <c r="D94" s="177" t="s">
        <v>843</v>
      </c>
      <c r="E94" s="219">
        <v>0</v>
      </c>
      <c r="F94" s="219">
        <v>0</v>
      </c>
      <c r="G94" s="219">
        <v>0</v>
      </c>
      <c r="H94" s="219">
        <v>120</v>
      </c>
      <c r="I94" s="219">
        <v>120</v>
      </c>
      <c r="J94" s="220">
        <v>120</v>
      </c>
      <c r="K94" s="219">
        <v>120</v>
      </c>
      <c r="L94" s="53"/>
      <c r="M94" s="53"/>
      <c r="N94" s="53"/>
      <c r="O94" s="53"/>
      <c r="P94" s="53"/>
      <c r="Q94" s="53"/>
      <c r="R94" s="53"/>
    </row>
    <row r="95" spans="1:18" ht="15.75" customHeight="1" x14ac:dyDescent="0.3">
      <c r="A95" s="120"/>
      <c r="B95" s="153" t="s">
        <v>844</v>
      </c>
      <c r="C95" s="207" t="s">
        <v>1188</v>
      </c>
      <c r="D95" s="208" t="s">
        <v>1014</v>
      </c>
      <c r="E95" s="219"/>
      <c r="F95" s="219"/>
      <c r="G95" s="219"/>
      <c r="H95" s="219"/>
      <c r="I95" s="219"/>
      <c r="J95" s="220"/>
      <c r="K95" s="222">
        <v>0</v>
      </c>
      <c r="L95" s="20" t="s">
        <v>1189</v>
      </c>
      <c r="M95" s="53"/>
      <c r="N95" s="53"/>
      <c r="O95" s="53"/>
      <c r="P95" s="53"/>
      <c r="Q95" s="53"/>
      <c r="R95" s="53"/>
    </row>
    <row r="96" spans="1:18" ht="15.75" customHeight="1" x14ac:dyDescent="0.3">
      <c r="A96" s="120">
        <v>87</v>
      </c>
      <c r="B96" s="153" t="s">
        <v>468</v>
      </c>
      <c r="C96" s="44" t="s">
        <v>470</v>
      </c>
      <c r="D96" s="177" t="s">
        <v>860</v>
      </c>
      <c r="E96" s="219">
        <v>0</v>
      </c>
      <c r="F96" s="219">
        <v>0</v>
      </c>
      <c r="G96" s="219">
        <v>0</v>
      </c>
      <c r="H96" s="219">
        <v>120</v>
      </c>
      <c r="I96" s="219">
        <v>0</v>
      </c>
      <c r="J96" s="220">
        <v>120</v>
      </c>
      <c r="K96" s="219">
        <v>120</v>
      </c>
      <c r="L96" s="53"/>
      <c r="M96" s="53"/>
      <c r="N96" s="53"/>
      <c r="O96" s="53"/>
      <c r="P96" s="53"/>
      <c r="Q96" s="53"/>
      <c r="R96" s="53"/>
    </row>
    <row r="97" spans="1:18" ht="15.75" customHeight="1" x14ac:dyDescent="0.3">
      <c r="A97" s="120">
        <v>88</v>
      </c>
      <c r="B97" s="153" t="s">
        <v>621</v>
      </c>
      <c r="C97" s="14" t="s">
        <v>623</v>
      </c>
      <c r="D97" s="177" t="s">
        <v>866</v>
      </c>
      <c r="E97" s="219">
        <v>0</v>
      </c>
      <c r="F97" s="219">
        <v>0</v>
      </c>
      <c r="G97" s="219">
        <v>0</v>
      </c>
      <c r="H97" s="219">
        <v>120</v>
      </c>
      <c r="I97" s="219">
        <v>0</v>
      </c>
      <c r="J97" s="220">
        <v>120</v>
      </c>
      <c r="K97" s="222">
        <v>0</v>
      </c>
      <c r="L97" s="53"/>
      <c r="M97" s="53"/>
      <c r="N97" s="53"/>
      <c r="O97" s="53"/>
      <c r="P97" s="53"/>
      <c r="Q97" s="53"/>
      <c r="R97" s="53"/>
    </row>
    <row r="98" spans="1:18" ht="15.75" customHeight="1" x14ac:dyDescent="0.3">
      <c r="A98" s="120">
        <v>89</v>
      </c>
      <c r="B98" s="153" t="s">
        <v>208</v>
      </c>
      <c r="C98" s="44" t="s">
        <v>1006</v>
      </c>
      <c r="D98" s="177" t="s">
        <v>1007</v>
      </c>
      <c r="E98" s="219" t="s">
        <v>282</v>
      </c>
      <c r="F98" s="219" t="s">
        <v>282</v>
      </c>
      <c r="G98" s="219" t="s">
        <v>282</v>
      </c>
      <c r="H98" s="219">
        <v>120</v>
      </c>
      <c r="I98" s="219">
        <v>0</v>
      </c>
      <c r="J98" s="220">
        <v>0</v>
      </c>
      <c r="K98" s="219">
        <v>120</v>
      </c>
      <c r="L98" s="53"/>
      <c r="M98" s="53"/>
      <c r="N98" s="53"/>
      <c r="O98" s="53"/>
      <c r="P98" s="53"/>
      <c r="Q98" s="53"/>
      <c r="R98" s="53"/>
    </row>
    <row r="99" spans="1:18" ht="15.75" customHeight="1" x14ac:dyDescent="0.3">
      <c r="A99" s="120">
        <v>90</v>
      </c>
      <c r="B99" s="224" t="s">
        <v>246</v>
      </c>
      <c r="C99" s="84" t="s">
        <v>1028</v>
      </c>
      <c r="D99" s="226" t="s">
        <v>1029</v>
      </c>
      <c r="E99" s="219" t="s">
        <v>282</v>
      </c>
      <c r="F99" s="219" t="s">
        <v>282</v>
      </c>
      <c r="G99" s="219" t="s">
        <v>282</v>
      </c>
      <c r="H99" s="219" t="s">
        <v>282</v>
      </c>
      <c r="I99" s="219" t="s">
        <v>282</v>
      </c>
      <c r="J99" s="220">
        <v>0</v>
      </c>
      <c r="K99" s="219">
        <v>120</v>
      </c>
      <c r="L99" s="53"/>
      <c r="M99" s="53"/>
      <c r="N99" s="53"/>
      <c r="O99" s="53"/>
      <c r="P99" s="53"/>
      <c r="Q99" s="53"/>
      <c r="R99" s="53"/>
    </row>
    <row r="100" spans="1:18" ht="15.75" customHeight="1" x14ac:dyDescent="0.3">
      <c r="A100" s="120">
        <v>91</v>
      </c>
      <c r="B100" s="153" t="s">
        <v>540</v>
      </c>
      <c r="C100" s="44" t="s">
        <v>874</v>
      </c>
      <c r="D100" s="177" t="s">
        <v>875</v>
      </c>
      <c r="E100" s="219">
        <v>0</v>
      </c>
      <c r="F100" s="219">
        <v>0</v>
      </c>
      <c r="G100" s="219">
        <v>0</v>
      </c>
      <c r="H100" s="219">
        <v>120</v>
      </c>
      <c r="I100" s="219">
        <v>120</v>
      </c>
      <c r="J100" s="220">
        <v>120</v>
      </c>
      <c r="K100" s="219">
        <v>120</v>
      </c>
      <c r="L100" s="53"/>
      <c r="M100" s="53"/>
      <c r="N100" s="53"/>
      <c r="O100" s="53"/>
      <c r="P100" s="53"/>
      <c r="Q100" s="53"/>
      <c r="R100" s="53"/>
    </row>
    <row r="101" spans="1:18" ht="15.75" customHeight="1" x14ac:dyDescent="0.3">
      <c r="A101" s="120">
        <v>92</v>
      </c>
      <c r="B101" s="224" t="s">
        <v>165</v>
      </c>
      <c r="C101" s="114" t="s">
        <v>167</v>
      </c>
      <c r="D101" s="226" t="s">
        <v>877</v>
      </c>
      <c r="E101" s="219">
        <v>0</v>
      </c>
      <c r="F101" s="219">
        <v>0</v>
      </c>
      <c r="G101" s="219">
        <v>0</v>
      </c>
      <c r="H101" s="219">
        <v>120</v>
      </c>
      <c r="I101" s="219">
        <v>0</v>
      </c>
      <c r="J101" s="220">
        <v>0</v>
      </c>
      <c r="K101" s="222">
        <v>0</v>
      </c>
      <c r="L101" s="53"/>
      <c r="M101" s="53"/>
      <c r="N101" s="53"/>
      <c r="O101" s="53"/>
      <c r="P101" s="53"/>
      <c r="Q101" s="53"/>
      <c r="R101" s="53"/>
    </row>
    <row r="102" spans="1:18" ht="15.75" customHeight="1" x14ac:dyDescent="0.3">
      <c r="A102" s="120">
        <v>93</v>
      </c>
      <c r="B102" s="153" t="s">
        <v>476</v>
      </c>
      <c r="C102" s="14" t="s">
        <v>1030</v>
      </c>
      <c r="D102" s="177" t="s">
        <v>879</v>
      </c>
      <c r="E102" s="219">
        <v>0</v>
      </c>
      <c r="F102" s="219">
        <v>0</v>
      </c>
      <c r="G102" s="219">
        <v>0</v>
      </c>
      <c r="H102" s="219">
        <v>120</v>
      </c>
      <c r="I102" s="219">
        <v>0</v>
      </c>
      <c r="J102" s="220">
        <v>120</v>
      </c>
      <c r="K102" s="219">
        <v>120</v>
      </c>
      <c r="L102" s="53"/>
      <c r="M102" s="53"/>
      <c r="N102" s="53"/>
      <c r="O102" s="53"/>
      <c r="P102" s="53"/>
      <c r="Q102" s="53"/>
      <c r="R102" s="53"/>
    </row>
    <row r="103" spans="1:18" ht="15.75" customHeight="1" x14ac:dyDescent="0.3">
      <c r="A103" s="120">
        <v>94</v>
      </c>
      <c r="B103" s="153" t="s">
        <v>387</v>
      </c>
      <c r="C103" s="14" t="s">
        <v>880</v>
      </c>
      <c r="D103" s="177" t="s">
        <v>881</v>
      </c>
      <c r="E103" s="219">
        <v>0</v>
      </c>
      <c r="F103" s="219">
        <v>0</v>
      </c>
      <c r="G103" s="219">
        <v>120</v>
      </c>
      <c r="H103" s="219">
        <v>120</v>
      </c>
      <c r="I103" s="219">
        <v>120</v>
      </c>
      <c r="J103" s="220">
        <v>120</v>
      </c>
      <c r="K103" s="219">
        <v>120</v>
      </c>
      <c r="L103" s="53"/>
      <c r="M103" s="53"/>
      <c r="N103" s="53"/>
      <c r="O103" s="53"/>
      <c r="P103" s="53"/>
      <c r="Q103" s="53"/>
      <c r="R103" s="53"/>
    </row>
    <row r="104" spans="1:18" ht="15.75" customHeight="1" x14ac:dyDescent="0.3">
      <c r="A104" s="120">
        <v>95</v>
      </c>
      <c r="B104" s="153" t="s">
        <v>662</v>
      </c>
      <c r="C104" s="14" t="s">
        <v>665</v>
      </c>
      <c r="D104" s="177" t="s">
        <v>882</v>
      </c>
      <c r="E104" s="220">
        <v>90</v>
      </c>
      <c r="F104" s="221" t="s">
        <v>282</v>
      </c>
      <c r="G104" s="221" t="s">
        <v>282</v>
      </c>
      <c r="H104" s="219">
        <v>120</v>
      </c>
      <c r="I104" s="219">
        <v>120</v>
      </c>
      <c r="J104" s="220">
        <v>120</v>
      </c>
      <c r="K104" s="219">
        <v>120</v>
      </c>
      <c r="L104" s="229" t="s">
        <v>1146</v>
      </c>
      <c r="M104" s="53"/>
      <c r="N104" s="53"/>
      <c r="O104" s="53"/>
      <c r="P104" s="53"/>
      <c r="Q104" s="53"/>
      <c r="R104" s="53"/>
    </row>
    <row r="105" spans="1:18" ht="15.75" customHeight="1" x14ac:dyDescent="0.3">
      <c r="A105" s="120">
        <v>96</v>
      </c>
      <c r="B105" s="224" t="s">
        <v>496</v>
      </c>
      <c r="C105" s="113" t="s">
        <v>498</v>
      </c>
      <c r="D105" s="228" t="s">
        <v>1009</v>
      </c>
      <c r="E105" s="219">
        <v>0</v>
      </c>
      <c r="F105" s="219">
        <v>0</v>
      </c>
      <c r="G105" s="219">
        <v>0</v>
      </c>
      <c r="H105" s="219">
        <v>0</v>
      </c>
      <c r="I105" s="219">
        <v>0</v>
      </c>
      <c r="J105" s="220">
        <v>0</v>
      </c>
      <c r="K105" s="219">
        <v>120</v>
      </c>
      <c r="L105" s="53"/>
      <c r="M105" s="53"/>
      <c r="N105" s="53"/>
      <c r="O105" s="53"/>
      <c r="P105" s="53"/>
      <c r="Q105" s="53"/>
      <c r="R105" s="53"/>
    </row>
    <row r="106" spans="1:18" ht="15.75" customHeight="1" x14ac:dyDescent="0.3">
      <c r="A106" s="120">
        <v>97</v>
      </c>
      <c r="B106" s="153" t="s">
        <v>13</v>
      </c>
      <c r="C106" s="44" t="s">
        <v>886</v>
      </c>
      <c r="D106" s="177" t="s">
        <v>887</v>
      </c>
      <c r="E106" s="219">
        <v>0</v>
      </c>
      <c r="F106" s="219">
        <v>120</v>
      </c>
      <c r="G106" s="219">
        <v>120</v>
      </c>
      <c r="H106" s="219">
        <v>120</v>
      </c>
      <c r="I106" s="219">
        <v>120</v>
      </c>
      <c r="J106" s="220">
        <v>120</v>
      </c>
      <c r="K106" s="219">
        <v>120</v>
      </c>
      <c r="L106" s="53"/>
      <c r="M106" s="53"/>
      <c r="N106" s="53"/>
      <c r="O106" s="53"/>
      <c r="P106" s="53"/>
      <c r="Q106" s="53"/>
      <c r="R106" s="53"/>
    </row>
    <row r="107" spans="1:18" ht="15.75" customHeight="1" x14ac:dyDescent="0.3">
      <c r="A107" s="120">
        <v>98</v>
      </c>
      <c r="B107" s="153" t="s">
        <v>93</v>
      </c>
      <c r="C107" s="44" t="s">
        <v>95</v>
      </c>
      <c r="D107" s="177"/>
      <c r="E107" s="219">
        <v>0</v>
      </c>
      <c r="F107" s="219">
        <v>0</v>
      </c>
      <c r="G107" s="219">
        <v>0</v>
      </c>
      <c r="H107" s="219">
        <v>0</v>
      </c>
      <c r="I107" s="220">
        <v>0</v>
      </c>
      <c r="J107" s="220">
        <v>0</v>
      </c>
      <c r="K107" s="219">
        <v>120</v>
      </c>
      <c r="L107" s="53"/>
      <c r="M107" s="53"/>
      <c r="N107" s="53"/>
      <c r="O107" s="53"/>
      <c r="P107" s="53"/>
      <c r="Q107" s="53"/>
      <c r="R107" s="53"/>
    </row>
    <row r="108" spans="1:18" ht="15.75" customHeight="1" x14ac:dyDescent="0.3">
      <c r="A108" s="120">
        <v>99</v>
      </c>
      <c r="B108" s="153" t="s">
        <v>409</v>
      </c>
      <c r="C108" s="3" t="s">
        <v>412</v>
      </c>
      <c r="D108" s="177" t="s">
        <v>888</v>
      </c>
      <c r="E108" s="219">
        <v>110</v>
      </c>
      <c r="F108" s="219">
        <v>120</v>
      </c>
      <c r="G108" s="219">
        <v>120</v>
      </c>
      <c r="H108" s="219">
        <v>120</v>
      </c>
      <c r="I108" s="219">
        <v>120</v>
      </c>
      <c r="J108" s="220">
        <v>120</v>
      </c>
      <c r="K108" s="219">
        <v>120</v>
      </c>
      <c r="L108" s="53"/>
      <c r="M108" s="53"/>
      <c r="N108" s="53"/>
      <c r="O108" s="53"/>
      <c r="P108" s="53"/>
      <c r="Q108" s="53"/>
      <c r="R108" s="53"/>
    </row>
    <row r="109" spans="1:18" ht="15.75" customHeight="1" x14ac:dyDescent="0.3">
      <c r="A109" s="120">
        <v>100</v>
      </c>
      <c r="B109" s="153" t="s">
        <v>602</v>
      </c>
      <c r="C109" s="3" t="s">
        <v>933</v>
      </c>
      <c r="D109" s="177" t="s">
        <v>736</v>
      </c>
      <c r="E109" s="219">
        <v>110</v>
      </c>
      <c r="F109" s="219">
        <v>120</v>
      </c>
      <c r="G109" s="219">
        <v>120</v>
      </c>
      <c r="H109" s="219">
        <v>120</v>
      </c>
      <c r="I109" s="219">
        <v>120</v>
      </c>
      <c r="J109" s="220">
        <v>120</v>
      </c>
      <c r="K109" s="219">
        <v>120</v>
      </c>
      <c r="L109" s="53"/>
      <c r="M109" s="53"/>
      <c r="N109" s="53"/>
      <c r="O109" s="53"/>
      <c r="P109" s="53"/>
      <c r="Q109" s="53"/>
      <c r="R109" s="53"/>
    </row>
    <row r="110" spans="1:18" ht="15.75" customHeight="1" x14ac:dyDescent="0.3">
      <c r="A110" s="120">
        <v>101</v>
      </c>
      <c r="B110" s="153" t="s">
        <v>890</v>
      </c>
      <c r="C110" s="3" t="s">
        <v>1031</v>
      </c>
      <c r="D110" s="177" t="s">
        <v>892</v>
      </c>
      <c r="E110" s="219">
        <v>110</v>
      </c>
      <c r="F110" s="219">
        <v>120</v>
      </c>
      <c r="G110" s="219">
        <v>120</v>
      </c>
      <c r="H110" s="219">
        <v>120</v>
      </c>
      <c r="I110" s="219">
        <v>0</v>
      </c>
      <c r="J110" s="220">
        <v>120</v>
      </c>
      <c r="K110" s="219"/>
      <c r="L110" s="53"/>
      <c r="M110" s="53"/>
      <c r="N110" s="53"/>
      <c r="O110" s="53"/>
      <c r="P110" s="53"/>
      <c r="Q110" s="53"/>
      <c r="R110" s="53"/>
    </row>
    <row r="111" spans="1:18" ht="15.75" customHeight="1" x14ac:dyDescent="0.3">
      <c r="A111" s="120">
        <v>102</v>
      </c>
      <c r="B111" s="153" t="s">
        <v>893</v>
      </c>
      <c r="C111" s="3" t="s">
        <v>894</v>
      </c>
      <c r="D111" s="177" t="s">
        <v>895</v>
      </c>
      <c r="E111" s="219">
        <v>0</v>
      </c>
      <c r="F111" s="219">
        <v>120</v>
      </c>
      <c r="G111" s="219">
        <v>120</v>
      </c>
      <c r="H111" s="219">
        <v>120</v>
      </c>
      <c r="I111" s="219">
        <v>120</v>
      </c>
      <c r="J111" s="220">
        <v>120</v>
      </c>
      <c r="K111" s="219"/>
      <c r="L111" s="53"/>
      <c r="M111" s="53"/>
      <c r="N111" s="53"/>
      <c r="O111" s="53"/>
      <c r="P111" s="53"/>
      <c r="Q111" s="53"/>
      <c r="R111" s="53"/>
    </row>
    <row r="112" spans="1:18" ht="15.75" customHeight="1" x14ac:dyDescent="0.3">
      <c r="A112" s="120">
        <v>103</v>
      </c>
      <c r="B112" s="224" t="s">
        <v>1012</v>
      </c>
      <c r="C112" s="114" t="s">
        <v>1013</v>
      </c>
      <c r="D112" s="226" t="s">
        <v>1014</v>
      </c>
      <c r="E112" s="219" t="s">
        <v>282</v>
      </c>
      <c r="F112" s="219" t="s">
        <v>282</v>
      </c>
      <c r="G112" s="219" t="s">
        <v>282</v>
      </c>
      <c r="H112" s="219" t="s">
        <v>282</v>
      </c>
      <c r="I112" s="219">
        <v>0</v>
      </c>
      <c r="J112" s="220" t="s">
        <v>282</v>
      </c>
      <c r="K112" s="219"/>
      <c r="L112" s="229" t="s">
        <v>1032</v>
      </c>
      <c r="M112" s="53"/>
      <c r="N112" s="53"/>
      <c r="O112" s="53"/>
      <c r="P112" s="53"/>
      <c r="Q112" s="53"/>
      <c r="R112" s="53"/>
    </row>
    <row r="113" spans="1:18" ht="15.75" customHeight="1" x14ac:dyDescent="0.3">
      <c r="A113" s="149"/>
      <c r="B113" s="152"/>
      <c r="C113" s="12"/>
      <c r="D113" s="152"/>
      <c r="E113" s="149"/>
      <c r="F113" s="149"/>
      <c r="G113" s="149"/>
      <c r="H113" s="149"/>
      <c r="I113" s="149"/>
      <c r="J113" s="149"/>
      <c r="K113" s="149"/>
      <c r="L113" s="53"/>
      <c r="M113" s="53"/>
      <c r="N113" s="53"/>
      <c r="O113" s="53"/>
      <c r="P113" s="53"/>
      <c r="Q113" s="53"/>
      <c r="R113" s="53"/>
    </row>
    <row r="114" spans="1:18" ht="15.75" customHeight="1" x14ac:dyDescent="0.3">
      <c r="B114" s="152"/>
      <c r="D114" s="152" t="s">
        <v>896</v>
      </c>
      <c r="E114" s="151">
        <f>SUM(E7:E112)</f>
        <v>880</v>
      </c>
      <c r="F114" s="151">
        <f t="shared" ref="F114:J114" si="0">SUM(F7:F112)</f>
        <v>4020</v>
      </c>
      <c r="G114" s="151">
        <f t="shared" si="0"/>
        <v>6090</v>
      </c>
      <c r="H114" s="151">
        <f t="shared" si="0"/>
        <v>8530</v>
      </c>
      <c r="I114" s="151">
        <f t="shared" si="0"/>
        <v>5520</v>
      </c>
      <c r="J114" s="151">
        <f t="shared" si="0"/>
        <v>7460</v>
      </c>
      <c r="K114" s="148">
        <f>SUM(K7:K112)</f>
        <v>10310</v>
      </c>
      <c r="M114" s="230">
        <f>SUM(E114:K114)</f>
        <v>42810</v>
      </c>
    </row>
    <row r="115" spans="1:18" ht="15.75" customHeight="1" x14ac:dyDescent="0.3">
      <c r="B115" s="152"/>
      <c r="D115" s="152"/>
    </row>
    <row r="116" spans="1:18" ht="15.75" customHeight="1" x14ac:dyDescent="0.3">
      <c r="B116" s="152"/>
      <c r="D116" s="152"/>
    </row>
    <row r="117" spans="1:18" ht="15.75" customHeight="1" x14ac:dyDescent="0.3">
      <c r="B117" s="152"/>
      <c r="D117" s="152"/>
    </row>
    <row r="118" spans="1:18" ht="15.75" customHeight="1" x14ac:dyDescent="0.3">
      <c r="B118" s="152"/>
      <c r="D118" s="152"/>
    </row>
    <row r="119" spans="1:18" ht="15.75" customHeight="1" x14ac:dyDescent="0.3">
      <c r="B119" s="152"/>
      <c r="D119" s="152"/>
    </row>
    <row r="120" spans="1:18" ht="15.75" customHeight="1" x14ac:dyDescent="0.3">
      <c r="B120" s="152"/>
      <c r="D120" s="152"/>
    </row>
    <row r="121" spans="1:18" ht="15.75" customHeight="1" x14ac:dyDescent="0.3">
      <c r="B121" s="152"/>
      <c r="D121" s="152"/>
    </row>
    <row r="122" spans="1:18" ht="15.75" customHeight="1" x14ac:dyDescent="0.3">
      <c r="B122" s="152"/>
      <c r="D122" s="152"/>
    </row>
    <row r="123" spans="1:18" ht="15.75" customHeight="1" x14ac:dyDescent="0.3">
      <c r="B123" s="152"/>
      <c r="D123" s="152"/>
    </row>
    <row r="124" spans="1:18" ht="15.75" customHeight="1" x14ac:dyDescent="0.3">
      <c r="B124" s="152"/>
      <c r="D124" s="152"/>
    </row>
    <row r="125" spans="1:18" ht="15.75" customHeight="1" x14ac:dyDescent="0.3">
      <c r="B125" s="152"/>
      <c r="D125" s="152"/>
    </row>
    <row r="126" spans="1:18" ht="15.75" customHeight="1" x14ac:dyDescent="0.3">
      <c r="B126" s="152"/>
      <c r="D126" s="152"/>
    </row>
    <row r="127" spans="1:18" ht="15.75" customHeight="1" x14ac:dyDescent="0.3">
      <c r="B127" s="152"/>
      <c r="D127" s="152"/>
    </row>
    <row r="128" spans="1:18" ht="15.75" customHeight="1" x14ac:dyDescent="0.3">
      <c r="B128" s="152"/>
      <c r="D128" s="152"/>
    </row>
    <row r="129" spans="2:4" ht="15.75" customHeight="1" x14ac:dyDescent="0.3">
      <c r="B129" s="152"/>
      <c r="D129" s="152"/>
    </row>
    <row r="130" spans="2:4" ht="15.75" customHeight="1" x14ac:dyDescent="0.3">
      <c r="B130" s="152"/>
      <c r="D130" s="152"/>
    </row>
    <row r="131" spans="2:4" ht="15.75" customHeight="1" x14ac:dyDescent="0.3">
      <c r="B131" s="152"/>
      <c r="D131" s="152"/>
    </row>
    <row r="132" spans="2:4" ht="15.75" customHeight="1" x14ac:dyDescent="0.3">
      <c r="B132" s="152"/>
      <c r="D132" s="152"/>
    </row>
    <row r="133" spans="2:4" ht="15.75" customHeight="1" x14ac:dyDescent="0.3">
      <c r="B133" s="152"/>
      <c r="D133" s="152"/>
    </row>
    <row r="134" spans="2:4" ht="15.75" customHeight="1" x14ac:dyDescent="0.3">
      <c r="B134" s="152"/>
      <c r="D134" s="152"/>
    </row>
    <row r="135" spans="2:4" ht="15.75" customHeight="1" x14ac:dyDescent="0.3">
      <c r="B135" s="152"/>
      <c r="D135" s="152"/>
    </row>
    <row r="136" spans="2:4" ht="15.75" customHeight="1" x14ac:dyDescent="0.3">
      <c r="B136" s="152"/>
      <c r="D136" s="152"/>
    </row>
    <row r="137" spans="2:4" ht="15.75" customHeight="1" x14ac:dyDescent="0.3">
      <c r="B137" s="152"/>
      <c r="D137" s="152"/>
    </row>
    <row r="138" spans="2:4" ht="15.75" customHeight="1" x14ac:dyDescent="0.3">
      <c r="B138" s="152"/>
      <c r="D138" s="152"/>
    </row>
    <row r="139" spans="2:4" ht="15.75" customHeight="1" x14ac:dyDescent="0.3">
      <c r="B139" s="152"/>
      <c r="D139" s="152"/>
    </row>
    <row r="140" spans="2:4" ht="15.75" customHeight="1" x14ac:dyDescent="0.3">
      <c r="B140" s="152"/>
      <c r="D140" s="152"/>
    </row>
    <row r="141" spans="2:4" ht="15.75" customHeight="1" x14ac:dyDescent="0.3">
      <c r="B141" s="152"/>
      <c r="D141" s="152"/>
    </row>
    <row r="142" spans="2:4" ht="15.75" customHeight="1" x14ac:dyDescent="0.3">
      <c r="B142" s="152"/>
      <c r="D142" s="152"/>
    </row>
    <row r="143" spans="2:4" ht="15.75" customHeight="1" x14ac:dyDescent="0.3">
      <c r="B143" s="152"/>
      <c r="D143" s="152"/>
    </row>
    <row r="144" spans="2:4" ht="15.75" customHeight="1" x14ac:dyDescent="0.3">
      <c r="B144" s="152"/>
      <c r="D144" s="152"/>
    </row>
    <row r="145" spans="2:4" ht="15.75" customHeight="1" x14ac:dyDescent="0.3">
      <c r="B145" s="152"/>
      <c r="D145" s="152"/>
    </row>
    <row r="146" spans="2:4" ht="15.75" customHeight="1" x14ac:dyDescent="0.3">
      <c r="B146" s="152"/>
      <c r="D146" s="152"/>
    </row>
    <row r="147" spans="2:4" ht="15.75" customHeight="1" x14ac:dyDescent="0.3">
      <c r="B147" s="152"/>
      <c r="D147" s="152"/>
    </row>
    <row r="148" spans="2:4" ht="15.75" customHeight="1" x14ac:dyDescent="0.3">
      <c r="B148" s="152"/>
      <c r="D148" s="152"/>
    </row>
    <row r="149" spans="2:4" ht="15.75" customHeight="1" x14ac:dyDescent="0.3">
      <c r="B149" s="152"/>
      <c r="D149" s="152"/>
    </row>
    <row r="150" spans="2:4" ht="15.75" customHeight="1" x14ac:dyDescent="0.3">
      <c r="B150" s="152"/>
      <c r="D150" s="152"/>
    </row>
    <row r="151" spans="2:4" ht="15.75" customHeight="1" x14ac:dyDescent="0.3">
      <c r="B151" s="152"/>
      <c r="D151" s="152"/>
    </row>
    <row r="152" spans="2:4" ht="15.75" customHeight="1" x14ac:dyDescent="0.3">
      <c r="B152" s="152"/>
      <c r="D152" s="152"/>
    </row>
    <row r="153" spans="2:4" ht="15.75" customHeight="1" x14ac:dyDescent="0.3">
      <c r="B153" s="152"/>
      <c r="D153" s="152"/>
    </row>
    <row r="154" spans="2:4" ht="15.75" customHeight="1" x14ac:dyDescent="0.3">
      <c r="B154" s="152"/>
      <c r="D154" s="152"/>
    </row>
    <row r="155" spans="2:4" ht="15.75" customHeight="1" x14ac:dyDescent="0.3">
      <c r="B155" s="152"/>
      <c r="D155" s="152"/>
    </row>
    <row r="156" spans="2:4" ht="15.75" customHeight="1" x14ac:dyDescent="0.3">
      <c r="B156" s="152"/>
      <c r="D156" s="152"/>
    </row>
    <row r="157" spans="2:4" ht="15.75" customHeight="1" x14ac:dyDescent="0.3">
      <c r="B157" s="152"/>
      <c r="D157" s="152"/>
    </row>
    <row r="158" spans="2:4" ht="15.75" customHeight="1" x14ac:dyDescent="0.3">
      <c r="B158" s="152"/>
      <c r="D158" s="152"/>
    </row>
    <row r="159" spans="2:4" ht="15.75" customHeight="1" x14ac:dyDescent="0.3">
      <c r="B159" s="152"/>
      <c r="D159" s="152"/>
    </row>
    <row r="160" spans="2:4" ht="15.75" customHeight="1" x14ac:dyDescent="0.3">
      <c r="B160" s="152"/>
      <c r="D160" s="152"/>
    </row>
    <row r="161" spans="2:4" ht="15.75" customHeight="1" x14ac:dyDescent="0.3">
      <c r="B161" s="152"/>
      <c r="D161" s="152"/>
    </row>
    <row r="162" spans="2:4" ht="15.75" customHeight="1" x14ac:dyDescent="0.3">
      <c r="B162" s="152"/>
      <c r="D162" s="152"/>
    </row>
    <row r="163" spans="2:4" ht="15.75" customHeight="1" x14ac:dyDescent="0.3">
      <c r="B163" s="152"/>
      <c r="D163" s="152"/>
    </row>
    <row r="164" spans="2:4" ht="15.75" customHeight="1" x14ac:dyDescent="0.3">
      <c r="B164" s="152"/>
      <c r="D164" s="152"/>
    </row>
    <row r="165" spans="2:4" ht="15.75" customHeight="1" x14ac:dyDescent="0.3">
      <c r="B165" s="152"/>
      <c r="D165" s="152"/>
    </row>
    <row r="166" spans="2:4" ht="15.75" customHeight="1" x14ac:dyDescent="0.3">
      <c r="B166" s="152"/>
      <c r="D166" s="152"/>
    </row>
    <row r="167" spans="2:4" ht="15.75" customHeight="1" x14ac:dyDescent="0.3">
      <c r="B167" s="152"/>
      <c r="D167" s="152"/>
    </row>
    <row r="168" spans="2:4" ht="15.75" customHeight="1" x14ac:dyDescent="0.3">
      <c r="B168" s="152"/>
      <c r="D168" s="152"/>
    </row>
    <row r="169" spans="2:4" ht="15.75" customHeight="1" x14ac:dyDescent="0.3">
      <c r="B169" s="152"/>
      <c r="D169" s="152"/>
    </row>
    <row r="170" spans="2:4" ht="15.75" customHeight="1" x14ac:dyDescent="0.3">
      <c r="B170" s="152"/>
      <c r="D170" s="152"/>
    </row>
    <row r="171" spans="2:4" ht="15.75" customHeight="1" x14ac:dyDescent="0.3">
      <c r="B171" s="152"/>
      <c r="D171" s="152"/>
    </row>
    <row r="172" spans="2:4" ht="15.75" customHeight="1" x14ac:dyDescent="0.3">
      <c r="B172" s="152"/>
      <c r="D172" s="152"/>
    </row>
    <row r="173" spans="2:4" ht="15.75" customHeight="1" x14ac:dyDescent="0.3">
      <c r="B173" s="152"/>
      <c r="D173" s="152"/>
    </row>
    <row r="174" spans="2:4" ht="15.75" customHeight="1" x14ac:dyDescent="0.3">
      <c r="B174" s="152"/>
      <c r="D174" s="152"/>
    </row>
    <row r="175" spans="2:4" ht="15.75" customHeight="1" x14ac:dyDescent="0.3">
      <c r="B175" s="152"/>
      <c r="D175" s="152"/>
    </row>
    <row r="176" spans="2:4" ht="15.75" customHeight="1" x14ac:dyDescent="0.3">
      <c r="B176" s="152"/>
      <c r="D176" s="152"/>
    </row>
    <row r="177" spans="2:4" ht="15.75" customHeight="1" x14ac:dyDescent="0.3">
      <c r="B177" s="152"/>
      <c r="D177" s="152"/>
    </row>
    <row r="178" spans="2:4" ht="15.75" customHeight="1" x14ac:dyDescent="0.3">
      <c r="B178" s="152"/>
      <c r="D178" s="152"/>
    </row>
    <row r="179" spans="2:4" ht="15.75" customHeight="1" x14ac:dyDescent="0.3">
      <c r="B179" s="152"/>
      <c r="D179" s="152"/>
    </row>
    <row r="180" spans="2:4" ht="15.75" customHeight="1" x14ac:dyDescent="0.3">
      <c r="B180" s="152"/>
      <c r="D180" s="152"/>
    </row>
    <row r="181" spans="2:4" ht="15.75" customHeight="1" x14ac:dyDescent="0.3">
      <c r="B181" s="152"/>
      <c r="D181" s="152"/>
    </row>
    <row r="182" spans="2:4" ht="15.75" customHeight="1" x14ac:dyDescent="0.3">
      <c r="B182" s="152"/>
      <c r="D182" s="152"/>
    </row>
    <row r="183" spans="2:4" ht="15.75" customHeight="1" x14ac:dyDescent="0.3">
      <c r="B183" s="152"/>
      <c r="D183" s="152"/>
    </row>
    <row r="184" spans="2:4" ht="15.75" customHeight="1" x14ac:dyDescent="0.3">
      <c r="B184" s="152"/>
      <c r="D184" s="152"/>
    </row>
    <row r="185" spans="2:4" ht="15.75" customHeight="1" x14ac:dyDescent="0.3">
      <c r="B185" s="152"/>
      <c r="D185" s="152"/>
    </row>
    <row r="186" spans="2:4" ht="15.75" customHeight="1" x14ac:dyDescent="0.3">
      <c r="B186" s="152"/>
      <c r="D186" s="152"/>
    </row>
    <row r="187" spans="2:4" ht="15.75" customHeight="1" x14ac:dyDescent="0.3">
      <c r="B187" s="152"/>
      <c r="D187" s="152"/>
    </row>
    <row r="188" spans="2:4" ht="15.75" customHeight="1" x14ac:dyDescent="0.3">
      <c r="B188" s="152"/>
      <c r="D188" s="152"/>
    </row>
    <row r="189" spans="2:4" ht="15.75" customHeight="1" x14ac:dyDescent="0.3">
      <c r="B189" s="152"/>
      <c r="D189" s="152"/>
    </row>
    <row r="190" spans="2:4" ht="15.75" customHeight="1" x14ac:dyDescent="0.3">
      <c r="B190" s="152"/>
      <c r="D190" s="152"/>
    </row>
    <row r="191" spans="2:4" ht="15.75" customHeight="1" x14ac:dyDescent="0.3">
      <c r="B191" s="152"/>
      <c r="D191" s="152"/>
    </row>
    <row r="192" spans="2:4" ht="15.75" customHeight="1" x14ac:dyDescent="0.3">
      <c r="B192" s="152"/>
      <c r="D192" s="152"/>
    </row>
    <row r="193" spans="2:4" ht="15.75" customHeight="1" x14ac:dyDescent="0.3">
      <c r="B193" s="152"/>
      <c r="D193" s="152"/>
    </row>
    <row r="194" spans="2:4" ht="15.75" customHeight="1" x14ac:dyDescent="0.3">
      <c r="B194" s="152"/>
      <c r="D194" s="152"/>
    </row>
    <row r="195" spans="2:4" ht="15.75" customHeight="1" x14ac:dyDescent="0.3">
      <c r="B195" s="152"/>
      <c r="D195" s="152"/>
    </row>
    <row r="196" spans="2:4" ht="15.75" customHeight="1" x14ac:dyDescent="0.3">
      <c r="B196" s="152"/>
      <c r="D196" s="152"/>
    </row>
    <row r="197" spans="2:4" ht="15.75" customHeight="1" x14ac:dyDescent="0.3">
      <c r="B197" s="152"/>
      <c r="D197" s="152"/>
    </row>
    <row r="198" spans="2:4" ht="15.75" customHeight="1" x14ac:dyDescent="0.3">
      <c r="B198" s="152"/>
      <c r="D198" s="152"/>
    </row>
    <row r="199" spans="2:4" ht="15.75" customHeight="1" x14ac:dyDescent="0.3">
      <c r="B199" s="152"/>
      <c r="D199" s="152"/>
    </row>
    <row r="200" spans="2:4" ht="15.75" customHeight="1" x14ac:dyDescent="0.3">
      <c r="B200" s="152"/>
      <c r="D200" s="152"/>
    </row>
    <row r="201" spans="2:4" ht="15.75" customHeight="1" x14ac:dyDescent="0.3">
      <c r="B201" s="152"/>
      <c r="D201" s="152"/>
    </row>
    <row r="202" spans="2:4" ht="15.75" customHeight="1" x14ac:dyDescent="0.3">
      <c r="B202" s="152"/>
      <c r="D202" s="152"/>
    </row>
    <row r="203" spans="2:4" ht="15.75" customHeight="1" x14ac:dyDescent="0.3">
      <c r="B203" s="152"/>
      <c r="D203" s="152"/>
    </row>
    <row r="204" spans="2:4" ht="15.75" customHeight="1" x14ac:dyDescent="0.3">
      <c r="B204" s="152"/>
      <c r="D204" s="152"/>
    </row>
    <row r="205" spans="2:4" ht="15.75" customHeight="1" x14ac:dyDescent="0.3">
      <c r="B205" s="152"/>
      <c r="D205" s="152"/>
    </row>
    <row r="206" spans="2:4" ht="15.75" customHeight="1" x14ac:dyDescent="0.3">
      <c r="B206" s="152"/>
      <c r="D206" s="152"/>
    </row>
    <row r="207" spans="2:4" ht="15.75" customHeight="1" x14ac:dyDescent="0.3">
      <c r="B207" s="152"/>
      <c r="D207" s="152"/>
    </row>
    <row r="208" spans="2:4" ht="15.75" customHeight="1" x14ac:dyDescent="0.3">
      <c r="B208" s="152"/>
      <c r="D208" s="152"/>
    </row>
    <row r="209" spans="2:4" ht="15.75" customHeight="1" x14ac:dyDescent="0.3">
      <c r="B209" s="152"/>
      <c r="D209" s="152"/>
    </row>
    <row r="210" spans="2:4" ht="15.75" customHeight="1" x14ac:dyDescent="0.3">
      <c r="B210" s="152"/>
      <c r="D210" s="152"/>
    </row>
    <row r="211" spans="2:4" ht="15.75" customHeight="1" x14ac:dyDescent="0.3">
      <c r="B211" s="152"/>
      <c r="D211" s="152"/>
    </row>
    <row r="212" spans="2:4" ht="15.75" customHeight="1" x14ac:dyDescent="0.3">
      <c r="B212" s="152"/>
      <c r="D212" s="152"/>
    </row>
    <row r="213" spans="2:4" ht="15.75" customHeight="1" x14ac:dyDescent="0.3">
      <c r="B213" s="152"/>
      <c r="D213" s="152"/>
    </row>
    <row r="214" spans="2:4" ht="15.75" customHeight="1" x14ac:dyDescent="0.3">
      <c r="B214" s="152"/>
      <c r="D214" s="152"/>
    </row>
    <row r="215" spans="2:4" ht="15.75" customHeight="1" x14ac:dyDescent="0.3">
      <c r="B215" s="152"/>
      <c r="D215" s="152"/>
    </row>
    <row r="216" spans="2:4" ht="15.75" customHeight="1" x14ac:dyDescent="0.3">
      <c r="B216" s="152"/>
      <c r="D216" s="152"/>
    </row>
    <row r="217" spans="2:4" ht="15.75" customHeight="1" x14ac:dyDescent="0.3">
      <c r="B217" s="152"/>
      <c r="D217" s="152"/>
    </row>
    <row r="218" spans="2:4" ht="15.75" customHeight="1" x14ac:dyDescent="0.3">
      <c r="B218" s="152"/>
      <c r="D218" s="152"/>
    </row>
    <row r="219" spans="2:4" ht="15.75" customHeight="1" x14ac:dyDescent="0.3">
      <c r="B219" s="152"/>
      <c r="D219" s="152"/>
    </row>
    <row r="220" spans="2:4" ht="15.75" customHeight="1" x14ac:dyDescent="0.3">
      <c r="B220" s="152"/>
      <c r="D220" s="152"/>
    </row>
    <row r="221" spans="2:4" ht="15.75" customHeight="1" x14ac:dyDescent="0.3">
      <c r="B221" s="152"/>
      <c r="D221" s="152"/>
    </row>
    <row r="222" spans="2:4" ht="15.75" customHeight="1" x14ac:dyDescent="0.3">
      <c r="B222" s="152"/>
      <c r="D222" s="152"/>
    </row>
    <row r="223" spans="2:4" ht="15.75" customHeight="1" x14ac:dyDescent="0.3">
      <c r="B223" s="152"/>
      <c r="D223" s="152"/>
    </row>
    <row r="224" spans="2:4" ht="15.75" customHeight="1" x14ac:dyDescent="0.3">
      <c r="B224" s="152"/>
      <c r="D224" s="152"/>
    </row>
    <row r="225" spans="2:4" ht="15.75" customHeight="1" x14ac:dyDescent="0.3">
      <c r="B225" s="152"/>
      <c r="D225" s="152"/>
    </row>
    <row r="226" spans="2:4" ht="15.75" customHeight="1" x14ac:dyDescent="0.3">
      <c r="B226" s="152"/>
      <c r="D226" s="152"/>
    </row>
    <row r="227" spans="2:4" ht="15.75" customHeight="1" x14ac:dyDescent="0.3">
      <c r="B227" s="152"/>
      <c r="D227" s="152"/>
    </row>
    <row r="228" spans="2:4" ht="15.75" customHeight="1" x14ac:dyDescent="0.3">
      <c r="B228" s="152"/>
      <c r="D228" s="152"/>
    </row>
    <row r="229" spans="2:4" ht="15.75" customHeight="1" x14ac:dyDescent="0.3">
      <c r="B229" s="152"/>
      <c r="D229" s="152"/>
    </row>
    <row r="230" spans="2:4" ht="15.75" customHeight="1" x14ac:dyDescent="0.3">
      <c r="B230" s="152"/>
      <c r="D230" s="152"/>
    </row>
    <row r="231" spans="2:4" ht="15.75" customHeight="1" x14ac:dyDescent="0.3">
      <c r="B231" s="152"/>
      <c r="D231" s="152"/>
    </row>
    <row r="232" spans="2:4" ht="15.75" customHeight="1" x14ac:dyDescent="0.3">
      <c r="B232" s="152"/>
      <c r="D232" s="152"/>
    </row>
    <row r="233" spans="2:4" ht="15.75" customHeight="1" x14ac:dyDescent="0.3">
      <c r="B233" s="152"/>
      <c r="D233" s="152"/>
    </row>
    <row r="234" spans="2:4" ht="15.75" customHeight="1" x14ac:dyDescent="0.3">
      <c r="B234" s="152"/>
      <c r="D234" s="152"/>
    </row>
    <row r="235" spans="2:4" ht="15.75" customHeight="1" x14ac:dyDescent="0.3">
      <c r="B235" s="152"/>
      <c r="D235" s="152"/>
    </row>
    <row r="236" spans="2:4" ht="15.75" customHeight="1" x14ac:dyDescent="0.3">
      <c r="B236" s="152"/>
      <c r="D236" s="152"/>
    </row>
    <row r="237" spans="2:4" ht="15.75" customHeight="1" x14ac:dyDescent="0.3">
      <c r="B237" s="152"/>
      <c r="D237" s="152"/>
    </row>
    <row r="238" spans="2:4" ht="15.75" customHeight="1" x14ac:dyDescent="0.3">
      <c r="B238" s="152"/>
      <c r="D238" s="152"/>
    </row>
    <row r="239" spans="2:4" ht="15.75" customHeight="1" x14ac:dyDescent="0.3">
      <c r="B239" s="152"/>
      <c r="D239" s="152"/>
    </row>
    <row r="240" spans="2:4" ht="15.75" customHeight="1" x14ac:dyDescent="0.3">
      <c r="B240" s="152"/>
      <c r="D240" s="152"/>
    </row>
    <row r="241" spans="2:4" ht="15.75" customHeight="1" x14ac:dyDescent="0.3">
      <c r="B241" s="152"/>
      <c r="D241" s="152"/>
    </row>
    <row r="242" spans="2:4" ht="15.75" customHeight="1" x14ac:dyDescent="0.3">
      <c r="B242" s="152"/>
      <c r="D242" s="152"/>
    </row>
    <row r="243" spans="2:4" ht="15.75" customHeight="1" x14ac:dyDescent="0.3">
      <c r="B243" s="152"/>
      <c r="D243" s="152"/>
    </row>
    <row r="244" spans="2:4" ht="15.75" customHeight="1" x14ac:dyDescent="0.3">
      <c r="B244" s="152"/>
      <c r="D244" s="152"/>
    </row>
    <row r="245" spans="2:4" ht="15.75" customHeight="1" x14ac:dyDescent="0.3">
      <c r="B245" s="152"/>
      <c r="D245" s="152"/>
    </row>
    <row r="246" spans="2:4" ht="15.75" customHeight="1" x14ac:dyDescent="0.3">
      <c r="B246" s="152"/>
      <c r="D246" s="152"/>
    </row>
    <row r="247" spans="2:4" ht="15.75" customHeight="1" x14ac:dyDescent="0.3">
      <c r="B247" s="152"/>
      <c r="D247" s="152"/>
    </row>
    <row r="248" spans="2:4" ht="15.75" customHeight="1" x14ac:dyDescent="0.3">
      <c r="B248" s="152"/>
      <c r="D248" s="152"/>
    </row>
    <row r="249" spans="2:4" ht="15.75" customHeight="1" x14ac:dyDescent="0.3">
      <c r="B249" s="152"/>
      <c r="D249" s="152"/>
    </row>
    <row r="250" spans="2:4" ht="15.75" customHeight="1" x14ac:dyDescent="0.3">
      <c r="B250" s="152"/>
      <c r="D250" s="152"/>
    </row>
    <row r="251" spans="2:4" ht="15.75" customHeight="1" x14ac:dyDescent="0.3">
      <c r="B251" s="152"/>
      <c r="D251" s="152"/>
    </row>
    <row r="252" spans="2:4" ht="15.75" customHeight="1" x14ac:dyDescent="0.3">
      <c r="B252" s="152"/>
      <c r="D252" s="152"/>
    </row>
    <row r="253" spans="2:4" ht="15.75" customHeight="1" x14ac:dyDescent="0.3">
      <c r="B253" s="152"/>
      <c r="D253" s="152"/>
    </row>
    <row r="254" spans="2:4" ht="15.75" customHeight="1" x14ac:dyDescent="0.3">
      <c r="B254" s="152"/>
      <c r="D254" s="152"/>
    </row>
    <row r="255" spans="2:4" ht="15.75" customHeight="1" x14ac:dyDescent="0.3">
      <c r="B255" s="152"/>
      <c r="D255" s="152"/>
    </row>
    <row r="256" spans="2:4" ht="15.75" customHeight="1" x14ac:dyDescent="0.3">
      <c r="B256" s="152"/>
      <c r="D256" s="152"/>
    </row>
    <row r="257" spans="2:4" ht="15.75" customHeight="1" x14ac:dyDescent="0.3">
      <c r="B257" s="152"/>
      <c r="D257" s="152"/>
    </row>
    <row r="258" spans="2:4" ht="15.75" customHeight="1" x14ac:dyDescent="0.3">
      <c r="B258" s="152"/>
      <c r="D258" s="152"/>
    </row>
    <row r="259" spans="2:4" ht="15.75" customHeight="1" x14ac:dyDescent="0.3">
      <c r="B259" s="152"/>
      <c r="D259" s="152"/>
    </row>
    <row r="260" spans="2:4" ht="15.75" customHeight="1" x14ac:dyDescent="0.3">
      <c r="B260" s="152"/>
      <c r="D260" s="152"/>
    </row>
    <row r="261" spans="2:4" ht="15.75" customHeight="1" x14ac:dyDescent="0.3">
      <c r="B261" s="152"/>
      <c r="D261" s="152"/>
    </row>
    <row r="262" spans="2:4" ht="15.75" customHeight="1" x14ac:dyDescent="0.3">
      <c r="B262" s="152"/>
      <c r="D262" s="152"/>
    </row>
    <row r="263" spans="2:4" ht="15.75" customHeight="1" x14ac:dyDescent="0.3">
      <c r="B263" s="152"/>
      <c r="D263" s="152"/>
    </row>
    <row r="264" spans="2:4" ht="15.75" customHeight="1" x14ac:dyDescent="0.3">
      <c r="B264" s="152"/>
      <c r="D264" s="152"/>
    </row>
    <row r="265" spans="2:4" ht="15.75" customHeight="1" x14ac:dyDescent="0.3">
      <c r="B265" s="152"/>
      <c r="D265" s="152"/>
    </row>
    <row r="266" spans="2:4" ht="15.75" customHeight="1" x14ac:dyDescent="0.3">
      <c r="B266" s="152"/>
      <c r="D266" s="152"/>
    </row>
    <row r="267" spans="2:4" ht="15.75" customHeight="1" x14ac:dyDescent="0.3">
      <c r="B267" s="152"/>
      <c r="D267" s="152"/>
    </row>
    <row r="268" spans="2:4" ht="15.75" customHeight="1" x14ac:dyDescent="0.3">
      <c r="B268" s="152"/>
      <c r="D268" s="152"/>
    </row>
    <row r="269" spans="2:4" ht="15.75" customHeight="1" x14ac:dyDescent="0.3">
      <c r="B269" s="152"/>
      <c r="D269" s="152"/>
    </row>
    <row r="270" spans="2:4" ht="15.75" customHeight="1" x14ac:dyDescent="0.3">
      <c r="B270" s="152"/>
      <c r="D270" s="152"/>
    </row>
    <row r="271" spans="2:4" ht="15.75" customHeight="1" x14ac:dyDescent="0.3">
      <c r="B271" s="152"/>
      <c r="D271" s="152"/>
    </row>
    <row r="272" spans="2:4" ht="15.75" customHeight="1" x14ac:dyDescent="0.3">
      <c r="B272" s="152"/>
      <c r="D272" s="152"/>
    </row>
    <row r="273" spans="2:4" ht="15.75" customHeight="1" x14ac:dyDescent="0.3">
      <c r="B273" s="152"/>
      <c r="D273" s="152"/>
    </row>
    <row r="274" spans="2:4" ht="15.75" customHeight="1" x14ac:dyDescent="0.3">
      <c r="B274" s="152"/>
      <c r="D274" s="152"/>
    </row>
    <row r="275" spans="2:4" ht="15.75" customHeight="1" x14ac:dyDescent="0.3">
      <c r="B275" s="152"/>
      <c r="D275" s="152"/>
    </row>
    <row r="276" spans="2:4" ht="15.75" customHeight="1" x14ac:dyDescent="0.3">
      <c r="B276" s="152"/>
      <c r="D276" s="152"/>
    </row>
    <row r="277" spans="2:4" ht="15.75" customHeight="1" x14ac:dyDescent="0.3">
      <c r="B277" s="152"/>
      <c r="D277" s="152"/>
    </row>
    <row r="278" spans="2:4" ht="15.75" customHeight="1" x14ac:dyDescent="0.3">
      <c r="B278" s="152"/>
      <c r="D278" s="152"/>
    </row>
    <row r="279" spans="2:4" ht="15.75" customHeight="1" x14ac:dyDescent="0.3">
      <c r="B279" s="152"/>
      <c r="D279" s="152"/>
    </row>
    <row r="280" spans="2:4" ht="15.75" customHeight="1" x14ac:dyDescent="0.3">
      <c r="B280" s="152"/>
      <c r="D280" s="152"/>
    </row>
    <row r="281" spans="2:4" ht="15.75" customHeight="1" x14ac:dyDescent="0.3">
      <c r="B281" s="152"/>
      <c r="D281" s="152"/>
    </row>
    <row r="282" spans="2:4" ht="15.75" customHeight="1" x14ac:dyDescent="0.3">
      <c r="B282" s="152"/>
      <c r="D282" s="152"/>
    </row>
    <row r="283" spans="2:4" ht="15.75" customHeight="1" x14ac:dyDescent="0.3">
      <c r="B283" s="152"/>
      <c r="D283" s="152"/>
    </row>
    <row r="284" spans="2:4" ht="15.75" customHeight="1" x14ac:dyDescent="0.3">
      <c r="B284" s="152"/>
      <c r="D284" s="152"/>
    </row>
    <row r="285" spans="2:4" ht="15.75" customHeight="1" x14ac:dyDescent="0.3">
      <c r="B285" s="152"/>
      <c r="D285" s="152"/>
    </row>
    <row r="286" spans="2:4" ht="15.75" customHeight="1" x14ac:dyDescent="0.3">
      <c r="B286" s="152"/>
      <c r="D286" s="152"/>
    </row>
    <row r="287" spans="2:4" ht="15.75" customHeight="1" x14ac:dyDescent="0.3">
      <c r="B287" s="152"/>
      <c r="D287" s="152"/>
    </row>
    <row r="288" spans="2:4" ht="15.75" customHeight="1" x14ac:dyDescent="0.3">
      <c r="B288" s="152"/>
      <c r="D288" s="152"/>
    </row>
    <row r="289" spans="2:4" ht="15.75" customHeight="1" x14ac:dyDescent="0.3">
      <c r="B289" s="152"/>
      <c r="D289" s="152"/>
    </row>
    <row r="290" spans="2:4" ht="15.75" customHeight="1" x14ac:dyDescent="0.3">
      <c r="B290" s="152"/>
      <c r="D290" s="152"/>
    </row>
    <row r="291" spans="2:4" ht="15.75" customHeight="1" x14ac:dyDescent="0.3">
      <c r="B291" s="152"/>
      <c r="D291" s="152"/>
    </row>
    <row r="292" spans="2:4" ht="15.75" customHeight="1" x14ac:dyDescent="0.3">
      <c r="B292" s="152"/>
      <c r="D292" s="152"/>
    </row>
    <row r="293" spans="2:4" ht="15.75" customHeight="1" x14ac:dyDescent="0.3">
      <c r="B293" s="152"/>
      <c r="D293" s="152"/>
    </row>
    <row r="294" spans="2:4" ht="15.75" customHeight="1" x14ac:dyDescent="0.3">
      <c r="B294" s="152"/>
      <c r="D294" s="152"/>
    </row>
    <row r="295" spans="2:4" ht="15.75" customHeight="1" x14ac:dyDescent="0.3">
      <c r="B295" s="152"/>
      <c r="D295" s="152"/>
    </row>
    <row r="296" spans="2:4" ht="15.75" customHeight="1" x14ac:dyDescent="0.3">
      <c r="B296" s="152"/>
      <c r="D296" s="152"/>
    </row>
    <row r="297" spans="2:4" ht="15.75" customHeight="1" x14ac:dyDescent="0.3">
      <c r="B297" s="152"/>
      <c r="D297" s="152"/>
    </row>
    <row r="298" spans="2:4" ht="15.75" customHeight="1" x14ac:dyDescent="0.3">
      <c r="B298" s="152"/>
      <c r="D298" s="152"/>
    </row>
    <row r="299" spans="2:4" ht="15.75" customHeight="1" x14ac:dyDescent="0.3">
      <c r="B299" s="152"/>
      <c r="D299" s="152"/>
    </row>
    <row r="300" spans="2:4" ht="15.75" customHeight="1" x14ac:dyDescent="0.3">
      <c r="B300" s="152"/>
      <c r="D300" s="152"/>
    </row>
    <row r="301" spans="2:4" ht="15.75" customHeight="1" x14ac:dyDescent="0.3">
      <c r="B301" s="152"/>
      <c r="D301" s="152"/>
    </row>
    <row r="302" spans="2:4" ht="15.75" customHeight="1" x14ac:dyDescent="0.3">
      <c r="B302" s="152"/>
      <c r="D302" s="152"/>
    </row>
    <row r="303" spans="2:4" ht="15.75" customHeight="1" x14ac:dyDescent="0.3">
      <c r="B303" s="152"/>
      <c r="D303" s="152"/>
    </row>
    <row r="304" spans="2:4" ht="15.75" customHeight="1" x14ac:dyDescent="0.3">
      <c r="B304" s="152"/>
      <c r="D304" s="152"/>
    </row>
    <row r="305" spans="2:4" ht="15.75" customHeight="1" x14ac:dyDescent="0.3">
      <c r="B305" s="152"/>
      <c r="D305" s="152"/>
    </row>
    <row r="306" spans="2:4" ht="15.75" customHeight="1" x14ac:dyDescent="0.3">
      <c r="B306" s="152"/>
      <c r="D306" s="152"/>
    </row>
    <row r="307" spans="2:4" ht="15.75" customHeight="1" x14ac:dyDescent="0.3">
      <c r="B307" s="152"/>
      <c r="D307" s="152"/>
    </row>
    <row r="308" spans="2:4" ht="15.75" customHeight="1" x14ac:dyDescent="0.3">
      <c r="B308" s="152"/>
      <c r="D308" s="152"/>
    </row>
    <row r="309" spans="2:4" ht="15.75" customHeight="1" x14ac:dyDescent="0.3">
      <c r="B309" s="152"/>
      <c r="D309" s="152"/>
    </row>
    <row r="310" spans="2:4" ht="15.75" customHeight="1" x14ac:dyDescent="0.3">
      <c r="B310" s="152"/>
      <c r="D310" s="152"/>
    </row>
    <row r="311" spans="2:4" ht="15.75" customHeight="1" x14ac:dyDescent="0.3">
      <c r="B311" s="152"/>
      <c r="D311" s="152"/>
    </row>
    <row r="312" spans="2:4" ht="15.75" customHeight="1" x14ac:dyDescent="0.3">
      <c r="B312" s="152"/>
      <c r="D312" s="152"/>
    </row>
    <row r="313" spans="2:4" ht="15.75" customHeight="1" x14ac:dyDescent="0.3">
      <c r="B313" s="152"/>
      <c r="D313" s="152"/>
    </row>
    <row r="314" spans="2:4" ht="15.75" customHeight="1" x14ac:dyDescent="0.3">
      <c r="B314" s="152"/>
      <c r="D314" s="152"/>
    </row>
    <row r="315" spans="2:4" ht="15.75" customHeight="1" x14ac:dyDescent="0.3">
      <c r="B315" s="152"/>
      <c r="D315" s="152"/>
    </row>
    <row r="316" spans="2:4" ht="15.75" customHeight="1" x14ac:dyDescent="0.3">
      <c r="B316" s="152"/>
      <c r="D316" s="152"/>
    </row>
    <row r="317" spans="2:4" ht="15.75" customHeight="1" x14ac:dyDescent="0.3">
      <c r="B317" s="152"/>
      <c r="D317" s="152"/>
    </row>
    <row r="318" spans="2:4" ht="15.75" customHeight="1" x14ac:dyDescent="0.3">
      <c r="B318" s="152"/>
      <c r="D318" s="152"/>
    </row>
    <row r="319" spans="2:4" ht="15.75" customHeight="1" x14ac:dyDescent="0.3">
      <c r="B319" s="152"/>
      <c r="D319" s="152"/>
    </row>
    <row r="320" spans="2:4" ht="15.75" customHeight="1" x14ac:dyDescent="0.3">
      <c r="B320" s="152"/>
      <c r="D320" s="152"/>
    </row>
    <row r="321" spans="2:4" ht="15.75" customHeight="1" x14ac:dyDescent="0.3">
      <c r="B321" s="152"/>
      <c r="D321" s="152"/>
    </row>
    <row r="322" spans="2:4" ht="15.75" customHeight="1" x14ac:dyDescent="0.3">
      <c r="B322" s="152"/>
      <c r="D322" s="152"/>
    </row>
    <row r="323" spans="2:4" ht="15.75" customHeight="1" x14ac:dyDescent="0.3">
      <c r="B323" s="152"/>
      <c r="D323" s="152"/>
    </row>
    <row r="324" spans="2:4" ht="15.75" customHeight="1" x14ac:dyDescent="0.3">
      <c r="B324" s="152"/>
      <c r="D324" s="152"/>
    </row>
    <row r="325" spans="2:4" ht="15.75" customHeight="1" x14ac:dyDescent="0.3">
      <c r="B325" s="152"/>
      <c r="D325" s="152"/>
    </row>
    <row r="326" spans="2:4" ht="15.75" customHeight="1" x14ac:dyDescent="0.3">
      <c r="B326" s="152"/>
      <c r="D326" s="152"/>
    </row>
    <row r="327" spans="2:4" ht="15.75" customHeight="1" x14ac:dyDescent="0.3">
      <c r="B327" s="152"/>
      <c r="D327" s="152"/>
    </row>
    <row r="328" spans="2:4" ht="15.75" customHeight="1" x14ac:dyDescent="0.3">
      <c r="B328" s="152"/>
      <c r="D328" s="152"/>
    </row>
    <row r="329" spans="2:4" ht="15.75" customHeight="1" x14ac:dyDescent="0.3">
      <c r="B329" s="152"/>
      <c r="D329" s="152"/>
    </row>
    <row r="330" spans="2:4" ht="15.75" customHeight="1" x14ac:dyDescent="0.3">
      <c r="B330" s="152"/>
      <c r="D330" s="152"/>
    </row>
    <row r="331" spans="2:4" ht="15.75" customHeight="1" x14ac:dyDescent="0.3">
      <c r="B331" s="152"/>
      <c r="D331" s="152"/>
    </row>
    <row r="332" spans="2:4" ht="15.75" customHeight="1" x14ac:dyDescent="0.3">
      <c r="B332" s="152"/>
      <c r="D332" s="152"/>
    </row>
    <row r="333" spans="2:4" ht="15.75" customHeight="1" x14ac:dyDescent="0.3">
      <c r="B333" s="152"/>
      <c r="D333" s="152"/>
    </row>
    <row r="334" spans="2:4" ht="15.75" customHeight="1" x14ac:dyDescent="0.3">
      <c r="B334" s="152"/>
      <c r="D334" s="152"/>
    </row>
    <row r="335" spans="2:4" ht="15.75" customHeight="1" x14ac:dyDescent="0.3">
      <c r="B335" s="152"/>
      <c r="D335" s="152"/>
    </row>
    <row r="336" spans="2:4" ht="15.75" customHeight="1" x14ac:dyDescent="0.3">
      <c r="B336" s="152"/>
      <c r="D336" s="152"/>
    </row>
    <row r="337" spans="2:4" ht="15.75" customHeight="1" x14ac:dyDescent="0.3">
      <c r="B337" s="152"/>
      <c r="D337" s="152"/>
    </row>
    <row r="338" spans="2:4" ht="15.75" customHeight="1" x14ac:dyDescent="0.3">
      <c r="B338" s="152"/>
      <c r="D338" s="152"/>
    </row>
    <row r="339" spans="2:4" ht="15.75" customHeight="1" x14ac:dyDescent="0.3">
      <c r="B339" s="152"/>
      <c r="D339" s="152"/>
    </row>
    <row r="340" spans="2:4" ht="15.75" customHeight="1" x14ac:dyDescent="0.3">
      <c r="B340" s="152"/>
      <c r="D340" s="152"/>
    </row>
    <row r="341" spans="2:4" ht="15.75" customHeight="1" x14ac:dyDescent="0.3">
      <c r="B341" s="152"/>
      <c r="D341" s="152"/>
    </row>
    <row r="342" spans="2:4" ht="15.75" customHeight="1" x14ac:dyDescent="0.3">
      <c r="B342" s="152"/>
      <c r="D342" s="152"/>
    </row>
    <row r="343" spans="2:4" ht="15.75" customHeight="1" x14ac:dyDescent="0.3">
      <c r="B343" s="152"/>
      <c r="D343" s="152"/>
    </row>
    <row r="344" spans="2:4" ht="15.75" customHeight="1" x14ac:dyDescent="0.3">
      <c r="B344" s="152"/>
      <c r="D344" s="152"/>
    </row>
    <row r="345" spans="2:4" ht="15.75" customHeight="1" x14ac:dyDescent="0.3">
      <c r="B345" s="152"/>
      <c r="D345" s="152"/>
    </row>
    <row r="346" spans="2:4" ht="15.75" customHeight="1" x14ac:dyDescent="0.3">
      <c r="B346" s="152"/>
      <c r="D346" s="152"/>
    </row>
    <row r="347" spans="2:4" ht="15.75" customHeight="1" x14ac:dyDescent="0.3">
      <c r="B347" s="152"/>
      <c r="D347" s="152"/>
    </row>
    <row r="348" spans="2:4" ht="15.75" customHeight="1" x14ac:dyDescent="0.3">
      <c r="B348" s="152"/>
      <c r="D348" s="152"/>
    </row>
    <row r="349" spans="2:4" ht="15.75" customHeight="1" x14ac:dyDescent="0.3">
      <c r="B349" s="152"/>
      <c r="D349" s="152"/>
    </row>
    <row r="350" spans="2:4" ht="15.75" customHeight="1" x14ac:dyDescent="0.3">
      <c r="B350" s="152"/>
      <c r="D350" s="152"/>
    </row>
    <row r="351" spans="2:4" ht="15.75" customHeight="1" x14ac:dyDescent="0.3">
      <c r="B351" s="152"/>
      <c r="D351" s="152"/>
    </row>
    <row r="352" spans="2:4" ht="15.75" customHeight="1" x14ac:dyDescent="0.3">
      <c r="B352" s="152"/>
      <c r="D352" s="152"/>
    </row>
    <row r="353" spans="2:4" ht="15.75" customHeight="1" x14ac:dyDescent="0.3">
      <c r="B353" s="152"/>
      <c r="D353" s="152"/>
    </row>
    <row r="354" spans="2:4" ht="15.75" customHeight="1" x14ac:dyDescent="0.3">
      <c r="B354" s="152"/>
      <c r="D354" s="152"/>
    </row>
    <row r="355" spans="2:4" ht="15.75" customHeight="1" x14ac:dyDescent="0.3">
      <c r="B355" s="152"/>
      <c r="D355" s="152"/>
    </row>
    <row r="356" spans="2:4" ht="15.75" customHeight="1" x14ac:dyDescent="0.3">
      <c r="B356" s="152"/>
      <c r="D356" s="152"/>
    </row>
    <row r="357" spans="2:4" ht="15.75" customHeight="1" x14ac:dyDescent="0.3">
      <c r="B357" s="152"/>
      <c r="D357" s="152"/>
    </row>
    <row r="358" spans="2:4" ht="15.75" customHeight="1" x14ac:dyDescent="0.3">
      <c r="B358" s="152"/>
      <c r="D358" s="152"/>
    </row>
    <row r="359" spans="2:4" ht="15.75" customHeight="1" x14ac:dyDescent="0.3">
      <c r="B359" s="152"/>
      <c r="D359" s="152"/>
    </row>
    <row r="360" spans="2:4" ht="15.75" customHeight="1" x14ac:dyDescent="0.3">
      <c r="B360" s="152"/>
      <c r="D360" s="152"/>
    </row>
    <row r="361" spans="2:4" ht="15.75" customHeight="1" x14ac:dyDescent="0.3">
      <c r="B361" s="152"/>
      <c r="D361" s="152"/>
    </row>
    <row r="362" spans="2:4" ht="15.75" customHeight="1" x14ac:dyDescent="0.3">
      <c r="B362" s="152"/>
      <c r="D362" s="152"/>
    </row>
    <row r="363" spans="2:4" ht="15.75" customHeight="1" x14ac:dyDescent="0.3">
      <c r="B363" s="152"/>
      <c r="D363" s="152"/>
    </row>
    <row r="364" spans="2:4" ht="15.75" customHeight="1" x14ac:dyDescent="0.3">
      <c r="B364" s="152"/>
      <c r="D364" s="152"/>
    </row>
    <row r="365" spans="2:4" ht="15.75" customHeight="1" x14ac:dyDescent="0.3">
      <c r="B365" s="152"/>
      <c r="D365" s="152"/>
    </row>
    <row r="366" spans="2:4" ht="15.75" customHeight="1" x14ac:dyDescent="0.3">
      <c r="B366" s="152"/>
      <c r="D366" s="152"/>
    </row>
    <row r="367" spans="2:4" ht="15.75" customHeight="1" x14ac:dyDescent="0.3">
      <c r="B367" s="152"/>
      <c r="D367" s="152"/>
    </row>
    <row r="368" spans="2:4" ht="15.75" customHeight="1" x14ac:dyDescent="0.3">
      <c r="B368" s="152"/>
      <c r="D368" s="152"/>
    </row>
    <row r="369" spans="2:4" ht="15.75" customHeight="1" x14ac:dyDescent="0.3">
      <c r="B369" s="152"/>
      <c r="D369" s="152"/>
    </row>
    <row r="370" spans="2:4" ht="15.75" customHeight="1" x14ac:dyDescent="0.3">
      <c r="B370" s="152"/>
      <c r="D370" s="152"/>
    </row>
    <row r="371" spans="2:4" ht="15.75" customHeight="1" x14ac:dyDescent="0.3">
      <c r="B371" s="152"/>
      <c r="D371" s="152"/>
    </row>
    <row r="372" spans="2:4" ht="15.75" customHeight="1" x14ac:dyDescent="0.3">
      <c r="B372" s="152"/>
      <c r="D372" s="152"/>
    </row>
    <row r="373" spans="2:4" ht="15.75" customHeight="1" x14ac:dyDescent="0.3">
      <c r="B373" s="152"/>
      <c r="D373" s="152"/>
    </row>
    <row r="374" spans="2:4" ht="15.75" customHeight="1" x14ac:dyDescent="0.3">
      <c r="B374" s="152"/>
      <c r="D374" s="152"/>
    </row>
    <row r="375" spans="2:4" ht="15.75" customHeight="1" x14ac:dyDescent="0.3">
      <c r="B375" s="152"/>
      <c r="D375" s="152"/>
    </row>
    <row r="376" spans="2:4" ht="15.75" customHeight="1" x14ac:dyDescent="0.3">
      <c r="B376" s="152"/>
      <c r="D376" s="152"/>
    </row>
    <row r="377" spans="2:4" ht="15.75" customHeight="1" x14ac:dyDescent="0.3">
      <c r="B377" s="152"/>
      <c r="D377" s="152"/>
    </row>
    <row r="378" spans="2:4" ht="15.75" customHeight="1" x14ac:dyDescent="0.3">
      <c r="B378" s="152"/>
      <c r="D378" s="152"/>
    </row>
    <row r="379" spans="2:4" ht="15.75" customHeight="1" x14ac:dyDescent="0.3">
      <c r="B379" s="152"/>
      <c r="D379" s="152"/>
    </row>
    <row r="380" spans="2:4" ht="15.75" customHeight="1" x14ac:dyDescent="0.3">
      <c r="B380" s="152"/>
      <c r="D380" s="152"/>
    </row>
    <row r="381" spans="2:4" ht="15.75" customHeight="1" x14ac:dyDescent="0.3">
      <c r="B381" s="152"/>
      <c r="D381" s="152"/>
    </row>
    <row r="382" spans="2:4" ht="15.75" customHeight="1" x14ac:dyDescent="0.3">
      <c r="B382" s="152"/>
      <c r="D382" s="152"/>
    </row>
    <row r="383" spans="2:4" ht="15.75" customHeight="1" x14ac:dyDescent="0.3">
      <c r="B383" s="152"/>
      <c r="D383" s="152"/>
    </row>
    <row r="384" spans="2:4" ht="15.75" customHeight="1" x14ac:dyDescent="0.3">
      <c r="B384" s="152"/>
      <c r="D384" s="152"/>
    </row>
    <row r="385" spans="2:4" ht="15.75" customHeight="1" x14ac:dyDescent="0.3">
      <c r="B385" s="152"/>
      <c r="D385" s="152"/>
    </row>
    <row r="386" spans="2:4" ht="15.75" customHeight="1" x14ac:dyDescent="0.3">
      <c r="B386" s="152"/>
      <c r="D386" s="152"/>
    </row>
    <row r="387" spans="2:4" ht="15.75" customHeight="1" x14ac:dyDescent="0.3">
      <c r="B387" s="152"/>
      <c r="D387" s="152"/>
    </row>
    <row r="388" spans="2:4" ht="15.75" customHeight="1" x14ac:dyDescent="0.3">
      <c r="B388" s="152"/>
      <c r="D388" s="152"/>
    </row>
    <row r="389" spans="2:4" ht="15.75" customHeight="1" x14ac:dyDescent="0.3">
      <c r="B389" s="152"/>
      <c r="D389" s="152"/>
    </row>
    <row r="390" spans="2:4" ht="15.75" customHeight="1" x14ac:dyDescent="0.3">
      <c r="B390" s="152"/>
      <c r="D390" s="152"/>
    </row>
    <row r="391" spans="2:4" ht="15.75" customHeight="1" x14ac:dyDescent="0.3">
      <c r="B391" s="152"/>
      <c r="D391" s="152"/>
    </row>
    <row r="392" spans="2:4" ht="15.75" customHeight="1" x14ac:dyDescent="0.3">
      <c r="B392" s="152"/>
      <c r="D392" s="152"/>
    </row>
    <row r="393" spans="2:4" ht="15.75" customHeight="1" x14ac:dyDescent="0.3">
      <c r="B393" s="152"/>
      <c r="D393" s="152"/>
    </row>
    <row r="394" spans="2:4" ht="15.75" customHeight="1" x14ac:dyDescent="0.3">
      <c r="B394" s="152"/>
      <c r="D394" s="152"/>
    </row>
    <row r="395" spans="2:4" ht="15.75" customHeight="1" x14ac:dyDescent="0.3">
      <c r="B395" s="152"/>
      <c r="D395" s="152"/>
    </row>
    <row r="396" spans="2:4" ht="15.75" customHeight="1" x14ac:dyDescent="0.3">
      <c r="B396" s="152"/>
      <c r="D396" s="152"/>
    </row>
    <row r="397" spans="2:4" ht="15.75" customHeight="1" x14ac:dyDescent="0.3">
      <c r="B397" s="152"/>
      <c r="D397" s="152"/>
    </row>
    <row r="398" spans="2:4" ht="15.75" customHeight="1" x14ac:dyDescent="0.3">
      <c r="B398" s="152"/>
      <c r="D398" s="152"/>
    </row>
    <row r="399" spans="2:4" ht="15.75" customHeight="1" x14ac:dyDescent="0.3">
      <c r="B399" s="152"/>
      <c r="D399" s="152"/>
    </row>
    <row r="400" spans="2:4" ht="15.75" customHeight="1" x14ac:dyDescent="0.3">
      <c r="B400" s="152"/>
      <c r="D400" s="152"/>
    </row>
    <row r="401" spans="2:4" ht="15.75" customHeight="1" x14ac:dyDescent="0.3">
      <c r="B401" s="152"/>
      <c r="D401" s="152"/>
    </row>
    <row r="402" spans="2:4" ht="15.75" customHeight="1" x14ac:dyDescent="0.3">
      <c r="B402" s="152"/>
      <c r="D402" s="152"/>
    </row>
    <row r="403" spans="2:4" ht="15.75" customHeight="1" x14ac:dyDescent="0.3">
      <c r="B403" s="152"/>
      <c r="D403" s="152"/>
    </row>
    <row r="404" spans="2:4" ht="15.75" customHeight="1" x14ac:dyDescent="0.3">
      <c r="B404" s="152"/>
      <c r="D404" s="152"/>
    </row>
    <row r="405" spans="2:4" ht="15.75" customHeight="1" x14ac:dyDescent="0.3">
      <c r="B405" s="152"/>
      <c r="D405" s="152"/>
    </row>
    <row r="406" spans="2:4" ht="15.75" customHeight="1" x14ac:dyDescent="0.3">
      <c r="B406" s="152"/>
      <c r="D406" s="152"/>
    </row>
    <row r="407" spans="2:4" ht="15.75" customHeight="1" x14ac:dyDescent="0.3">
      <c r="B407" s="152"/>
      <c r="D407" s="152"/>
    </row>
    <row r="408" spans="2:4" ht="15.75" customHeight="1" x14ac:dyDescent="0.3">
      <c r="B408" s="152"/>
      <c r="D408" s="152"/>
    </row>
    <row r="409" spans="2:4" ht="15.75" customHeight="1" x14ac:dyDescent="0.3">
      <c r="B409" s="152"/>
      <c r="D409" s="152"/>
    </row>
    <row r="410" spans="2:4" ht="15.75" customHeight="1" x14ac:dyDescent="0.3">
      <c r="B410" s="152"/>
      <c r="D410" s="152"/>
    </row>
    <row r="411" spans="2:4" ht="15.75" customHeight="1" x14ac:dyDescent="0.3">
      <c r="B411" s="152"/>
      <c r="D411" s="152"/>
    </row>
    <row r="412" spans="2:4" ht="15.75" customHeight="1" x14ac:dyDescent="0.3">
      <c r="B412" s="152"/>
      <c r="D412" s="152"/>
    </row>
    <row r="413" spans="2:4" ht="15.75" customHeight="1" x14ac:dyDescent="0.3">
      <c r="B413" s="152"/>
      <c r="D413" s="152"/>
    </row>
    <row r="414" spans="2:4" ht="15.75" customHeight="1" x14ac:dyDescent="0.3">
      <c r="B414" s="152"/>
      <c r="D414" s="152"/>
    </row>
    <row r="415" spans="2:4" ht="15.75" customHeight="1" x14ac:dyDescent="0.3">
      <c r="B415" s="152"/>
      <c r="D415" s="152"/>
    </row>
    <row r="416" spans="2:4" ht="15.75" customHeight="1" x14ac:dyDescent="0.3">
      <c r="B416" s="152"/>
      <c r="D416" s="152"/>
    </row>
    <row r="417" spans="2:4" ht="15.75" customHeight="1" x14ac:dyDescent="0.3">
      <c r="B417" s="152"/>
      <c r="D417" s="152"/>
    </row>
    <row r="418" spans="2:4" ht="15.75" customHeight="1" x14ac:dyDescent="0.3">
      <c r="B418" s="152"/>
      <c r="D418" s="152"/>
    </row>
    <row r="419" spans="2:4" ht="15.75" customHeight="1" x14ac:dyDescent="0.3">
      <c r="B419" s="152"/>
      <c r="D419" s="152"/>
    </row>
    <row r="420" spans="2:4" ht="15.75" customHeight="1" x14ac:dyDescent="0.3">
      <c r="B420" s="152"/>
      <c r="D420" s="152"/>
    </row>
    <row r="421" spans="2:4" ht="15.75" customHeight="1" x14ac:dyDescent="0.3">
      <c r="B421" s="152"/>
      <c r="D421" s="152"/>
    </row>
    <row r="422" spans="2:4" ht="15.75" customHeight="1" x14ac:dyDescent="0.3">
      <c r="B422" s="152"/>
      <c r="D422" s="152"/>
    </row>
    <row r="423" spans="2:4" ht="15.75" customHeight="1" x14ac:dyDescent="0.3">
      <c r="B423" s="152"/>
      <c r="D423" s="152"/>
    </row>
    <row r="424" spans="2:4" ht="15.75" customHeight="1" x14ac:dyDescent="0.3">
      <c r="B424" s="152"/>
      <c r="D424" s="152"/>
    </row>
    <row r="425" spans="2:4" ht="15.75" customHeight="1" x14ac:dyDescent="0.3">
      <c r="B425" s="152"/>
      <c r="D425" s="152"/>
    </row>
    <row r="426" spans="2:4" ht="15.75" customHeight="1" x14ac:dyDescent="0.3">
      <c r="B426" s="152"/>
      <c r="D426" s="152"/>
    </row>
    <row r="427" spans="2:4" ht="15.75" customHeight="1" x14ac:dyDescent="0.3">
      <c r="B427" s="152"/>
      <c r="D427" s="152"/>
    </row>
    <row r="428" spans="2:4" ht="15.75" customHeight="1" x14ac:dyDescent="0.3">
      <c r="B428" s="152"/>
      <c r="D428" s="152"/>
    </row>
    <row r="429" spans="2:4" ht="15.75" customHeight="1" x14ac:dyDescent="0.3">
      <c r="B429" s="152"/>
      <c r="D429" s="152"/>
    </row>
    <row r="430" spans="2:4" ht="15.75" customHeight="1" x14ac:dyDescent="0.3">
      <c r="B430" s="152"/>
      <c r="D430" s="152"/>
    </row>
    <row r="431" spans="2:4" ht="15.75" customHeight="1" x14ac:dyDescent="0.3">
      <c r="B431" s="152"/>
      <c r="D431" s="152"/>
    </row>
    <row r="432" spans="2:4" ht="15.75" customHeight="1" x14ac:dyDescent="0.3">
      <c r="B432" s="152"/>
      <c r="D432" s="152"/>
    </row>
    <row r="433" spans="2:4" ht="15.75" customHeight="1" x14ac:dyDescent="0.3">
      <c r="B433" s="152"/>
      <c r="D433" s="152"/>
    </row>
    <row r="434" spans="2:4" ht="15.75" customHeight="1" x14ac:dyDescent="0.3">
      <c r="B434" s="152"/>
      <c r="D434" s="152"/>
    </row>
    <row r="435" spans="2:4" ht="15.75" customHeight="1" x14ac:dyDescent="0.3">
      <c r="B435" s="152"/>
      <c r="D435" s="152"/>
    </row>
    <row r="436" spans="2:4" ht="15.75" customHeight="1" x14ac:dyDescent="0.3">
      <c r="B436" s="152"/>
      <c r="D436" s="152"/>
    </row>
    <row r="437" spans="2:4" ht="15.75" customHeight="1" x14ac:dyDescent="0.3">
      <c r="B437" s="152"/>
      <c r="D437" s="152"/>
    </row>
    <row r="438" spans="2:4" ht="15.75" customHeight="1" x14ac:dyDescent="0.3">
      <c r="B438" s="152"/>
      <c r="D438" s="152"/>
    </row>
    <row r="439" spans="2:4" ht="15.75" customHeight="1" x14ac:dyDescent="0.3">
      <c r="B439" s="152"/>
      <c r="D439" s="152"/>
    </row>
    <row r="440" spans="2:4" ht="15.75" customHeight="1" x14ac:dyDescent="0.3">
      <c r="B440" s="152"/>
      <c r="D440" s="152"/>
    </row>
    <row r="441" spans="2:4" ht="15.75" customHeight="1" x14ac:dyDescent="0.3">
      <c r="B441" s="152"/>
      <c r="D441" s="152"/>
    </row>
    <row r="442" spans="2:4" ht="15.75" customHeight="1" x14ac:dyDescent="0.3">
      <c r="B442" s="152"/>
      <c r="D442" s="152"/>
    </row>
    <row r="443" spans="2:4" ht="15.75" customHeight="1" x14ac:dyDescent="0.3">
      <c r="B443" s="152"/>
      <c r="D443" s="152"/>
    </row>
    <row r="444" spans="2:4" ht="15.75" customHeight="1" x14ac:dyDescent="0.3">
      <c r="B444" s="152"/>
      <c r="D444" s="152"/>
    </row>
    <row r="445" spans="2:4" ht="15.75" customHeight="1" x14ac:dyDescent="0.3">
      <c r="B445" s="152"/>
      <c r="D445" s="152"/>
    </row>
    <row r="446" spans="2:4" ht="15.75" customHeight="1" x14ac:dyDescent="0.3">
      <c r="B446" s="152"/>
      <c r="D446" s="152"/>
    </row>
    <row r="447" spans="2:4" ht="15.75" customHeight="1" x14ac:dyDescent="0.3">
      <c r="B447" s="152"/>
      <c r="D447" s="152"/>
    </row>
    <row r="448" spans="2:4" ht="15.75" customHeight="1" x14ac:dyDescent="0.3">
      <c r="B448" s="152"/>
      <c r="D448" s="152"/>
    </row>
    <row r="449" spans="2:4" ht="15.75" customHeight="1" x14ac:dyDescent="0.3">
      <c r="B449" s="152"/>
      <c r="D449" s="152"/>
    </row>
    <row r="450" spans="2:4" ht="15.75" customHeight="1" x14ac:dyDescent="0.3">
      <c r="B450" s="152"/>
      <c r="D450" s="152"/>
    </row>
    <row r="451" spans="2:4" ht="15.75" customHeight="1" x14ac:dyDescent="0.3">
      <c r="B451" s="152"/>
      <c r="D451" s="152"/>
    </row>
    <row r="452" spans="2:4" ht="15.75" customHeight="1" x14ac:dyDescent="0.3">
      <c r="B452" s="152"/>
      <c r="D452" s="152"/>
    </row>
    <row r="453" spans="2:4" ht="15.75" customHeight="1" x14ac:dyDescent="0.3">
      <c r="B453" s="152"/>
      <c r="D453" s="152"/>
    </row>
    <row r="454" spans="2:4" ht="15.75" customHeight="1" x14ac:dyDescent="0.3">
      <c r="B454" s="152"/>
      <c r="D454" s="152"/>
    </row>
    <row r="455" spans="2:4" ht="15.75" customHeight="1" x14ac:dyDescent="0.3">
      <c r="B455" s="152"/>
      <c r="D455" s="152"/>
    </row>
    <row r="456" spans="2:4" ht="15.75" customHeight="1" x14ac:dyDescent="0.3">
      <c r="B456" s="152"/>
      <c r="D456" s="152"/>
    </row>
    <row r="457" spans="2:4" ht="15.75" customHeight="1" x14ac:dyDescent="0.3">
      <c r="B457" s="152"/>
      <c r="D457" s="152"/>
    </row>
    <row r="458" spans="2:4" ht="15.75" customHeight="1" x14ac:dyDescent="0.3">
      <c r="B458" s="152"/>
      <c r="D458" s="152"/>
    </row>
    <row r="459" spans="2:4" ht="15.75" customHeight="1" x14ac:dyDescent="0.3">
      <c r="B459" s="152"/>
      <c r="D459" s="152"/>
    </row>
    <row r="460" spans="2:4" ht="15.75" customHeight="1" x14ac:dyDescent="0.3">
      <c r="B460" s="152"/>
      <c r="D460" s="152"/>
    </row>
    <row r="461" spans="2:4" ht="15.75" customHeight="1" x14ac:dyDescent="0.3">
      <c r="B461" s="152"/>
      <c r="D461" s="152"/>
    </row>
    <row r="462" spans="2:4" ht="15.75" customHeight="1" x14ac:dyDescent="0.3">
      <c r="B462" s="152"/>
      <c r="D462" s="152"/>
    </row>
    <row r="463" spans="2:4" ht="15.75" customHeight="1" x14ac:dyDescent="0.3">
      <c r="B463" s="152"/>
      <c r="D463" s="152"/>
    </row>
    <row r="464" spans="2:4" ht="15.75" customHeight="1" x14ac:dyDescent="0.3">
      <c r="B464" s="152"/>
      <c r="D464" s="152"/>
    </row>
    <row r="465" spans="2:4" ht="15.75" customHeight="1" x14ac:dyDescent="0.3">
      <c r="B465" s="152"/>
      <c r="D465" s="152"/>
    </row>
    <row r="466" spans="2:4" ht="15.75" customHeight="1" x14ac:dyDescent="0.3">
      <c r="B466" s="152"/>
      <c r="D466" s="152"/>
    </row>
    <row r="467" spans="2:4" ht="15.75" customHeight="1" x14ac:dyDescent="0.3">
      <c r="B467" s="152"/>
      <c r="D467" s="152"/>
    </row>
    <row r="468" spans="2:4" ht="15.75" customHeight="1" x14ac:dyDescent="0.3">
      <c r="B468" s="152"/>
      <c r="D468" s="152"/>
    </row>
    <row r="469" spans="2:4" ht="15.75" customHeight="1" x14ac:dyDescent="0.3">
      <c r="B469" s="152"/>
      <c r="D469" s="152"/>
    </row>
    <row r="470" spans="2:4" ht="15.75" customHeight="1" x14ac:dyDescent="0.3">
      <c r="B470" s="152"/>
      <c r="D470" s="152"/>
    </row>
    <row r="471" spans="2:4" ht="15.75" customHeight="1" x14ac:dyDescent="0.3">
      <c r="B471" s="152"/>
      <c r="D471" s="152"/>
    </row>
    <row r="472" spans="2:4" ht="15.75" customHeight="1" x14ac:dyDescent="0.3">
      <c r="B472" s="152"/>
      <c r="D472" s="152"/>
    </row>
    <row r="473" spans="2:4" ht="15.75" customHeight="1" x14ac:dyDescent="0.3">
      <c r="B473" s="152"/>
      <c r="D473" s="152"/>
    </row>
    <row r="474" spans="2:4" ht="15.75" customHeight="1" x14ac:dyDescent="0.3">
      <c r="B474" s="152"/>
      <c r="D474" s="152"/>
    </row>
    <row r="475" spans="2:4" ht="15.75" customHeight="1" x14ac:dyDescent="0.3">
      <c r="B475" s="152"/>
      <c r="D475" s="152"/>
    </row>
    <row r="476" spans="2:4" ht="15.75" customHeight="1" x14ac:dyDescent="0.3">
      <c r="B476" s="152"/>
      <c r="D476" s="152"/>
    </row>
    <row r="477" spans="2:4" ht="15.75" customHeight="1" x14ac:dyDescent="0.3">
      <c r="B477" s="152"/>
      <c r="D477" s="152"/>
    </row>
    <row r="478" spans="2:4" ht="15.75" customHeight="1" x14ac:dyDescent="0.3">
      <c r="B478" s="152"/>
      <c r="D478" s="152"/>
    </row>
    <row r="479" spans="2:4" ht="15.75" customHeight="1" x14ac:dyDescent="0.3">
      <c r="B479" s="152"/>
      <c r="D479" s="152"/>
    </row>
    <row r="480" spans="2:4" ht="15.75" customHeight="1" x14ac:dyDescent="0.3">
      <c r="B480" s="152"/>
      <c r="D480" s="152"/>
    </row>
    <row r="481" spans="2:4" ht="15.75" customHeight="1" x14ac:dyDescent="0.3">
      <c r="B481" s="152"/>
      <c r="D481" s="152"/>
    </row>
    <row r="482" spans="2:4" ht="15.75" customHeight="1" x14ac:dyDescent="0.3">
      <c r="B482" s="152"/>
      <c r="D482" s="152"/>
    </row>
    <row r="483" spans="2:4" ht="15.75" customHeight="1" x14ac:dyDescent="0.3">
      <c r="B483" s="152"/>
      <c r="D483" s="152"/>
    </row>
    <row r="484" spans="2:4" ht="15.75" customHeight="1" x14ac:dyDescent="0.3">
      <c r="B484" s="152"/>
      <c r="D484" s="152"/>
    </row>
    <row r="485" spans="2:4" ht="15.75" customHeight="1" x14ac:dyDescent="0.3">
      <c r="B485" s="152"/>
      <c r="D485" s="152"/>
    </row>
    <row r="486" spans="2:4" ht="15.75" customHeight="1" x14ac:dyDescent="0.3">
      <c r="B486" s="152"/>
      <c r="D486" s="152"/>
    </row>
    <row r="487" spans="2:4" ht="15.75" customHeight="1" x14ac:dyDescent="0.3">
      <c r="B487" s="152"/>
      <c r="D487" s="152"/>
    </row>
    <row r="488" spans="2:4" ht="15.75" customHeight="1" x14ac:dyDescent="0.3">
      <c r="B488" s="152"/>
      <c r="D488" s="152"/>
    </row>
    <row r="489" spans="2:4" ht="15.75" customHeight="1" x14ac:dyDescent="0.3">
      <c r="B489" s="152"/>
      <c r="D489" s="152"/>
    </row>
    <row r="490" spans="2:4" ht="15.75" customHeight="1" x14ac:dyDescent="0.3">
      <c r="B490" s="152"/>
      <c r="D490" s="152"/>
    </row>
    <row r="491" spans="2:4" ht="15.75" customHeight="1" x14ac:dyDescent="0.3">
      <c r="B491" s="152"/>
      <c r="D491" s="152"/>
    </row>
    <row r="492" spans="2:4" ht="15.75" customHeight="1" x14ac:dyDescent="0.3">
      <c r="B492" s="152"/>
      <c r="D492" s="152"/>
    </row>
    <row r="493" spans="2:4" ht="15.75" customHeight="1" x14ac:dyDescent="0.3">
      <c r="B493" s="152"/>
      <c r="D493" s="152"/>
    </row>
    <row r="494" spans="2:4" ht="15.75" customHeight="1" x14ac:dyDescent="0.3">
      <c r="B494" s="152"/>
      <c r="D494" s="152"/>
    </row>
    <row r="495" spans="2:4" ht="15.75" customHeight="1" x14ac:dyDescent="0.3">
      <c r="B495" s="152"/>
      <c r="D495" s="152"/>
    </row>
    <row r="496" spans="2:4" ht="15.75" customHeight="1" x14ac:dyDescent="0.3">
      <c r="B496" s="152"/>
      <c r="D496" s="152"/>
    </row>
    <row r="497" spans="2:4" ht="15.75" customHeight="1" x14ac:dyDescent="0.3">
      <c r="B497" s="152"/>
      <c r="D497" s="152"/>
    </row>
    <row r="498" spans="2:4" ht="15.75" customHeight="1" x14ac:dyDescent="0.3">
      <c r="B498" s="152"/>
      <c r="D498" s="152"/>
    </row>
    <row r="499" spans="2:4" ht="15.75" customHeight="1" x14ac:dyDescent="0.3">
      <c r="B499" s="152"/>
      <c r="D499" s="152"/>
    </row>
    <row r="500" spans="2:4" ht="15.75" customHeight="1" x14ac:dyDescent="0.3">
      <c r="B500" s="152"/>
      <c r="D500" s="152"/>
    </row>
    <row r="501" spans="2:4" ht="15.75" customHeight="1" x14ac:dyDescent="0.3">
      <c r="B501" s="152"/>
      <c r="D501" s="152"/>
    </row>
    <row r="502" spans="2:4" ht="15.75" customHeight="1" x14ac:dyDescent="0.3">
      <c r="B502" s="152"/>
      <c r="D502" s="152"/>
    </row>
    <row r="503" spans="2:4" ht="15.75" customHeight="1" x14ac:dyDescent="0.3">
      <c r="B503" s="152"/>
      <c r="D503" s="152"/>
    </row>
    <row r="504" spans="2:4" ht="15.75" customHeight="1" x14ac:dyDescent="0.3">
      <c r="B504" s="152"/>
      <c r="D504" s="152"/>
    </row>
    <row r="505" spans="2:4" ht="15.75" customHeight="1" x14ac:dyDescent="0.3">
      <c r="B505" s="152"/>
      <c r="D505" s="152"/>
    </row>
    <row r="506" spans="2:4" ht="15.75" customHeight="1" x14ac:dyDescent="0.3">
      <c r="B506" s="152"/>
      <c r="D506" s="152"/>
    </row>
    <row r="507" spans="2:4" ht="15.75" customHeight="1" x14ac:dyDescent="0.3">
      <c r="B507" s="152"/>
      <c r="D507" s="152"/>
    </row>
    <row r="508" spans="2:4" ht="15.75" customHeight="1" x14ac:dyDescent="0.3">
      <c r="B508" s="152"/>
      <c r="D508" s="152"/>
    </row>
    <row r="509" spans="2:4" ht="15.75" customHeight="1" x14ac:dyDescent="0.3">
      <c r="B509" s="152"/>
      <c r="D509" s="152"/>
    </row>
    <row r="510" spans="2:4" ht="15.75" customHeight="1" x14ac:dyDescent="0.3">
      <c r="B510" s="152"/>
      <c r="D510" s="152"/>
    </row>
    <row r="511" spans="2:4" ht="15.75" customHeight="1" x14ac:dyDescent="0.3">
      <c r="B511" s="152"/>
      <c r="D511" s="152"/>
    </row>
    <row r="512" spans="2:4" ht="15.75" customHeight="1" x14ac:dyDescent="0.3">
      <c r="B512" s="152"/>
      <c r="D512" s="152"/>
    </row>
    <row r="513" spans="2:4" ht="15.75" customHeight="1" x14ac:dyDescent="0.3">
      <c r="B513" s="152"/>
      <c r="D513" s="152"/>
    </row>
    <row r="514" spans="2:4" ht="15.75" customHeight="1" x14ac:dyDescent="0.3">
      <c r="B514" s="152"/>
      <c r="D514" s="152"/>
    </row>
    <row r="515" spans="2:4" ht="15.75" customHeight="1" x14ac:dyDescent="0.3">
      <c r="B515" s="152"/>
      <c r="D515" s="152"/>
    </row>
    <row r="516" spans="2:4" ht="15.75" customHeight="1" x14ac:dyDescent="0.3">
      <c r="B516" s="152"/>
      <c r="D516" s="152"/>
    </row>
    <row r="517" spans="2:4" ht="15.75" customHeight="1" x14ac:dyDescent="0.3">
      <c r="B517" s="152"/>
      <c r="D517" s="152"/>
    </row>
    <row r="518" spans="2:4" ht="15.75" customHeight="1" x14ac:dyDescent="0.3">
      <c r="B518" s="152"/>
      <c r="D518" s="152"/>
    </row>
    <row r="519" spans="2:4" ht="15.75" customHeight="1" x14ac:dyDescent="0.3">
      <c r="B519" s="152"/>
      <c r="D519" s="152"/>
    </row>
    <row r="520" spans="2:4" ht="15.75" customHeight="1" x14ac:dyDescent="0.3">
      <c r="B520" s="152"/>
      <c r="D520" s="152"/>
    </row>
    <row r="521" spans="2:4" ht="15.75" customHeight="1" x14ac:dyDescent="0.3">
      <c r="B521" s="152"/>
      <c r="D521" s="152"/>
    </row>
    <row r="522" spans="2:4" ht="15.75" customHeight="1" x14ac:dyDescent="0.3">
      <c r="B522" s="152"/>
      <c r="D522" s="152"/>
    </row>
    <row r="523" spans="2:4" ht="15.75" customHeight="1" x14ac:dyDescent="0.3">
      <c r="B523" s="152"/>
      <c r="D523" s="152"/>
    </row>
    <row r="524" spans="2:4" ht="15.75" customHeight="1" x14ac:dyDescent="0.3">
      <c r="B524" s="152"/>
      <c r="D524" s="152"/>
    </row>
    <row r="525" spans="2:4" ht="15.75" customHeight="1" x14ac:dyDescent="0.3">
      <c r="B525" s="152"/>
      <c r="D525" s="152"/>
    </row>
    <row r="526" spans="2:4" ht="15.75" customHeight="1" x14ac:dyDescent="0.3">
      <c r="B526" s="152"/>
      <c r="D526" s="152"/>
    </row>
    <row r="527" spans="2:4" ht="15.75" customHeight="1" x14ac:dyDescent="0.3">
      <c r="B527" s="152"/>
      <c r="D527" s="152"/>
    </row>
    <row r="528" spans="2:4" ht="15.75" customHeight="1" x14ac:dyDescent="0.3">
      <c r="B528" s="152"/>
      <c r="D528" s="152"/>
    </row>
    <row r="529" spans="2:4" ht="15.75" customHeight="1" x14ac:dyDescent="0.3">
      <c r="B529" s="152"/>
      <c r="D529" s="152"/>
    </row>
    <row r="530" spans="2:4" ht="15.75" customHeight="1" x14ac:dyDescent="0.3">
      <c r="B530" s="152"/>
      <c r="D530" s="152"/>
    </row>
    <row r="531" spans="2:4" ht="15.75" customHeight="1" x14ac:dyDescent="0.3">
      <c r="B531" s="152"/>
      <c r="D531" s="152"/>
    </row>
    <row r="532" spans="2:4" ht="15.75" customHeight="1" x14ac:dyDescent="0.3">
      <c r="B532" s="152"/>
      <c r="D532" s="152"/>
    </row>
    <row r="533" spans="2:4" ht="15.75" customHeight="1" x14ac:dyDescent="0.3">
      <c r="B533" s="152"/>
      <c r="D533" s="152"/>
    </row>
    <row r="534" spans="2:4" ht="15.75" customHeight="1" x14ac:dyDescent="0.3">
      <c r="B534" s="152"/>
      <c r="D534" s="152"/>
    </row>
    <row r="535" spans="2:4" ht="15.75" customHeight="1" x14ac:dyDescent="0.3">
      <c r="B535" s="152"/>
      <c r="D535" s="152"/>
    </row>
    <row r="536" spans="2:4" ht="15.75" customHeight="1" x14ac:dyDescent="0.3">
      <c r="B536" s="152"/>
      <c r="D536" s="152"/>
    </row>
    <row r="537" spans="2:4" ht="15.75" customHeight="1" x14ac:dyDescent="0.3">
      <c r="B537" s="152"/>
      <c r="D537" s="152"/>
    </row>
    <row r="538" spans="2:4" ht="15.75" customHeight="1" x14ac:dyDescent="0.3">
      <c r="B538" s="152"/>
      <c r="D538" s="152"/>
    </row>
    <row r="539" spans="2:4" ht="15.75" customHeight="1" x14ac:dyDescent="0.3">
      <c r="B539" s="152"/>
      <c r="D539" s="152"/>
    </row>
    <row r="540" spans="2:4" ht="15.75" customHeight="1" x14ac:dyDescent="0.3">
      <c r="B540" s="152"/>
      <c r="D540" s="152"/>
    </row>
    <row r="541" spans="2:4" ht="15.75" customHeight="1" x14ac:dyDescent="0.3">
      <c r="B541" s="152"/>
      <c r="D541" s="152"/>
    </row>
    <row r="542" spans="2:4" ht="15.75" customHeight="1" x14ac:dyDescent="0.3">
      <c r="B542" s="152"/>
      <c r="D542" s="152"/>
    </row>
    <row r="543" spans="2:4" ht="15.75" customHeight="1" x14ac:dyDescent="0.3">
      <c r="B543" s="152"/>
      <c r="D543" s="152"/>
    </row>
    <row r="544" spans="2:4" ht="15.75" customHeight="1" x14ac:dyDescent="0.3">
      <c r="B544" s="152"/>
      <c r="D544" s="152"/>
    </row>
    <row r="545" spans="2:4" ht="15.75" customHeight="1" x14ac:dyDescent="0.3">
      <c r="B545" s="152"/>
      <c r="D545" s="152"/>
    </row>
    <row r="546" spans="2:4" ht="15.75" customHeight="1" x14ac:dyDescent="0.3">
      <c r="B546" s="152"/>
      <c r="D546" s="152"/>
    </row>
    <row r="547" spans="2:4" ht="15.75" customHeight="1" x14ac:dyDescent="0.3">
      <c r="B547" s="152"/>
      <c r="D547" s="152"/>
    </row>
    <row r="548" spans="2:4" ht="15.75" customHeight="1" x14ac:dyDescent="0.3">
      <c r="B548" s="152"/>
      <c r="D548" s="152"/>
    </row>
    <row r="549" spans="2:4" ht="15.75" customHeight="1" x14ac:dyDescent="0.3">
      <c r="B549" s="152"/>
      <c r="D549" s="152"/>
    </row>
    <row r="550" spans="2:4" ht="15.75" customHeight="1" x14ac:dyDescent="0.3">
      <c r="B550" s="152"/>
      <c r="D550" s="152"/>
    </row>
    <row r="551" spans="2:4" ht="15.75" customHeight="1" x14ac:dyDescent="0.3">
      <c r="B551" s="152"/>
      <c r="D551" s="152"/>
    </row>
    <row r="552" spans="2:4" ht="15.75" customHeight="1" x14ac:dyDescent="0.3">
      <c r="B552" s="152"/>
      <c r="D552" s="152"/>
    </row>
    <row r="553" spans="2:4" ht="15.75" customHeight="1" x14ac:dyDescent="0.3">
      <c r="B553" s="152"/>
      <c r="D553" s="152"/>
    </row>
    <row r="554" spans="2:4" ht="15.75" customHeight="1" x14ac:dyDescent="0.3">
      <c r="B554" s="152"/>
      <c r="D554" s="152"/>
    </row>
    <row r="555" spans="2:4" ht="15.75" customHeight="1" x14ac:dyDescent="0.3">
      <c r="B555" s="152"/>
      <c r="D555" s="152"/>
    </row>
    <row r="556" spans="2:4" ht="15.75" customHeight="1" x14ac:dyDescent="0.3">
      <c r="B556" s="152"/>
      <c r="D556" s="152"/>
    </row>
    <row r="557" spans="2:4" ht="15.75" customHeight="1" x14ac:dyDescent="0.3">
      <c r="B557" s="152"/>
      <c r="D557" s="152"/>
    </row>
    <row r="558" spans="2:4" ht="15.75" customHeight="1" x14ac:dyDescent="0.3">
      <c r="B558" s="152"/>
      <c r="D558" s="152"/>
    </row>
    <row r="559" spans="2:4" ht="15.75" customHeight="1" x14ac:dyDescent="0.3">
      <c r="B559" s="152"/>
      <c r="D559" s="152"/>
    </row>
    <row r="560" spans="2:4" ht="15.75" customHeight="1" x14ac:dyDescent="0.3">
      <c r="B560" s="152"/>
      <c r="D560" s="152"/>
    </row>
    <row r="561" spans="2:4" ht="15.75" customHeight="1" x14ac:dyDescent="0.3">
      <c r="B561" s="152"/>
      <c r="D561" s="152"/>
    </row>
    <row r="562" spans="2:4" ht="15.75" customHeight="1" x14ac:dyDescent="0.3">
      <c r="B562" s="152"/>
      <c r="D562" s="152"/>
    </row>
    <row r="563" spans="2:4" ht="15.75" customHeight="1" x14ac:dyDescent="0.3">
      <c r="B563" s="152"/>
      <c r="D563" s="152"/>
    </row>
    <row r="564" spans="2:4" ht="15.75" customHeight="1" x14ac:dyDescent="0.3">
      <c r="B564" s="152"/>
      <c r="D564" s="152"/>
    </row>
    <row r="565" spans="2:4" ht="15.75" customHeight="1" x14ac:dyDescent="0.3">
      <c r="B565" s="152"/>
      <c r="D565" s="152"/>
    </row>
    <row r="566" spans="2:4" ht="15.75" customHeight="1" x14ac:dyDescent="0.3">
      <c r="B566" s="152"/>
      <c r="D566" s="152"/>
    </row>
    <row r="567" spans="2:4" ht="15.75" customHeight="1" x14ac:dyDescent="0.3">
      <c r="B567" s="152"/>
      <c r="D567" s="152"/>
    </row>
    <row r="568" spans="2:4" ht="15.75" customHeight="1" x14ac:dyDescent="0.3">
      <c r="B568" s="152"/>
      <c r="D568" s="152"/>
    </row>
    <row r="569" spans="2:4" ht="15.75" customHeight="1" x14ac:dyDescent="0.3">
      <c r="B569" s="152"/>
      <c r="D569" s="152"/>
    </row>
    <row r="570" spans="2:4" ht="15.75" customHeight="1" x14ac:dyDescent="0.3">
      <c r="B570" s="152"/>
      <c r="D570" s="152"/>
    </row>
    <row r="571" spans="2:4" ht="15.75" customHeight="1" x14ac:dyDescent="0.3">
      <c r="B571" s="152"/>
      <c r="D571" s="152"/>
    </row>
    <row r="572" spans="2:4" ht="15.75" customHeight="1" x14ac:dyDescent="0.3">
      <c r="B572" s="152"/>
      <c r="D572" s="152"/>
    </row>
    <row r="573" spans="2:4" ht="15.75" customHeight="1" x14ac:dyDescent="0.3">
      <c r="B573" s="152"/>
      <c r="D573" s="152"/>
    </row>
    <row r="574" spans="2:4" ht="15.75" customHeight="1" x14ac:dyDescent="0.3">
      <c r="B574" s="152"/>
      <c r="D574" s="152"/>
    </row>
    <row r="575" spans="2:4" ht="15.75" customHeight="1" x14ac:dyDescent="0.3">
      <c r="B575" s="152"/>
      <c r="D575" s="152"/>
    </row>
    <row r="576" spans="2:4" ht="15.75" customHeight="1" x14ac:dyDescent="0.3">
      <c r="B576" s="152"/>
      <c r="D576" s="152"/>
    </row>
    <row r="577" spans="2:4" ht="15.75" customHeight="1" x14ac:dyDescent="0.3">
      <c r="B577" s="152"/>
      <c r="D577" s="152"/>
    </row>
    <row r="578" spans="2:4" ht="15.75" customHeight="1" x14ac:dyDescent="0.3">
      <c r="B578" s="152"/>
      <c r="D578" s="152"/>
    </row>
    <row r="579" spans="2:4" ht="15.75" customHeight="1" x14ac:dyDescent="0.3">
      <c r="B579" s="152"/>
      <c r="D579" s="152"/>
    </row>
    <row r="580" spans="2:4" ht="15.75" customHeight="1" x14ac:dyDescent="0.3">
      <c r="B580" s="152"/>
      <c r="D580" s="152"/>
    </row>
    <row r="581" spans="2:4" ht="15.75" customHeight="1" x14ac:dyDescent="0.3">
      <c r="B581" s="152"/>
      <c r="D581" s="152"/>
    </row>
    <row r="582" spans="2:4" ht="15.75" customHeight="1" x14ac:dyDescent="0.3">
      <c r="B582" s="152"/>
      <c r="D582" s="152"/>
    </row>
    <row r="583" spans="2:4" ht="15.75" customHeight="1" x14ac:dyDescent="0.3">
      <c r="B583" s="152"/>
      <c r="D583" s="152"/>
    </row>
    <row r="584" spans="2:4" ht="15.75" customHeight="1" x14ac:dyDescent="0.3">
      <c r="B584" s="152"/>
      <c r="D584" s="152"/>
    </row>
    <row r="585" spans="2:4" ht="15.75" customHeight="1" x14ac:dyDescent="0.3">
      <c r="B585" s="152"/>
      <c r="D585" s="152"/>
    </row>
    <row r="586" spans="2:4" ht="15.75" customHeight="1" x14ac:dyDescent="0.3">
      <c r="B586" s="152"/>
      <c r="D586" s="152"/>
    </row>
    <row r="587" spans="2:4" ht="15.75" customHeight="1" x14ac:dyDescent="0.3">
      <c r="B587" s="152"/>
      <c r="D587" s="152"/>
    </row>
    <row r="588" spans="2:4" ht="15.75" customHeight="1" x14ac:dyDescent="0.3">
      <c r="B588" s="152"/>
      <c r="D588" s="152"/>
    </row>
    <row r="589" spans="2:4" ht="15.75" customHeight="1" x14ac:dyDescent="0.3">
      <c r="B589" s="152"/>
      <c r="D589" s="152"/>
    </row>
    <row r="590" spans="2:4" ht="15.75" customHeight="1" x14ac:dyDescent="0.3">
      <c r="B590" s="152"/>
      <c r="D590" s="152"/>
    </row>
    <row r="591" spans="2:4" ht="15.75" customHeight="1" x14ac:dyDescent="0.3">
      <c r="B591" s="152"/>
      <c r="D591" s="152"/>
    </row>
    <row r="592" spans="2:4" ht="15.75" customHeight="1" x14ac:dyDescent="0.3">
      <c r="B592" s="152"/>
      <c r="D592" s="152"/>
    </row>
    <row r="593" spans="2:4" ht="15.75" customHeight="1" x14ac:dyDescent="0.3">
      <c r="B593" s="152"/>
      <c r="D593" s="152"/>
    </row>
    <row r="594" spans="2:4" ht="15.75" customHeight="1" x14ac:dyDescent="0.3">
      <c r="B594" s="152"/>
      <c r="D594" s="152"/>
    </row>
    <row r="595" spans="2:4" ht="15.75" customHeight="1" x14ac:dyDescent="0.3">
      <c r="B595" s="152"/>
      <c r="D595" s="152"/>
    </row>
    <row r="596" spans="2:4" ht="15.75" customHeight="1" x14ac:dyDescent="0.3">
      <c r="B596" s="152"/>
      <c r="D596" s="152"/>
    </row>
    <row r="597" spans="2:4" ht="15.75" customHeight="1" x14ac:dyDescent="0.3">
      <c r="B597" s="152"/>
      <c r="D597" s="152"/>
    </row>
    <row r="598" spans="2:4" ht="15.75" customHeight="1" x14ac:dyDescent="0.3">
      <c r="B598" s="152"/>
      <c r="D598" s="152"/>
    </row>
    <row r="599" spans="2:4" ht="15.75" customHeight="1" x14ac:dyDescent="0.3">
      <c r="B599" s="152"/>
      <c r="D599" s="152"/>
    </row>
    <row r="600" spans="2:4" ht="15.75" customHeight="1" x14ac:dyDescent="0.3">
      <c r="B600" s="152"/>
      <c r="D600" s="152"/>
    </row>
    <row r="601" spans="2:4" ht="15.75" customHeight="1" x14ac:dyDescent="0.3">
      <c r="B601" s="152"/>
      <c r="D601" s="152"/>
    </row>
    <row r="602" spans="2:4" ht="15.75" customHeight="1" x14ac:dyDescent="0.3">
      <c r="B602" s="152"/>
      <c r="D602" s="152"/>
    </row>
    <row r="603" spans="2:4" ht="15.75" customHeight="1" x14ac:dyDescent="0.3">
      <c r="B603" s="152"/>
      <c r="D603" s="152"/>
    </row>
    <row r="604" spans="2:4" ht="15.75" customHeight="1" x14ac:dyDescent="0.3">
      <c r="B604" s="152"/>
      <c r="D604" s="152"/>
    </row>
    <row r="605" spans="2:4" ht="15.75" customHeight="1" x14ac:dyDescent="0.3">
      <c r="B605" s="152"/>
      <c r="D605" s="152"/>
    </row>
    <row r="606" spans="2:4" ht="15.75" customHeight="1" x14ac:dyDescent="0.3">
      <c r="B606" s="152"/>
      <c r="D606" s="152"/>
    </row>
    <row r="607" spans="2:4" ht="15.75" customHeight="1" x14ac:dyDescent="0.3">
      <c r="B607" s="152"/>
      <c r="D607" s="152"/>
    </row>
    <row r="608" spans="2:4" ht="15.75" customHeight="1" x14ac:dyDescent="0.3">
      <c r="B608" s="152"/>
      <c r="D608" s="152"/>
    </row>
    <row r="609" spans="2:4" ht="15.75" customHeight="1" x14ac:dyDescent="0.3">
      <c r="B609" s="152"/>
      <c r="D609" s="152"/>
    </row>
    <row r="610" spans="2:4" ht="15.75" customHeight="1" x14ac:dyDescent="0.3">
      <c r="B610" s="152"/>
      <c r="D610" s="152"/>
    </row>
    <row r="611" spans="2:4" ht="15.75" customHeight="1" x14ac:dyDescent="0.3">
      <c r="B611" s="152"/>
      <c r="D611" s="152"/>
    </row>
    <row r="612" spans="2:4" ht="15.75" customHeight="1" x14ac:dyDescent="0.3">
      <c r="B612" s="152"/>
      <c r="D612" s="152"/>
    </row>
    <row r="613" spans="2:4" ht="15.75" customHeight="1" x14ac:dyDescent="0.3">
      <c r="B613" s="152"/>
      <c r="D613" s="152"/>
    </row>
    <row r="614" spans="2:4" ht="15.75" customHeight="1" x14ac:dyDescent="0.3">
      <c r="B614" s="152"/>
      <c r="D614" s="152"/>
    </row>
    <row r="615" spans="2:4" ht="15.75" customHeight="1" x14ac:dyDescent="0.3">
      <c r="B615" s="152"/>
      <c r="D615" s="152"/>
    </row>
    <row r="616" spans="2:4" ht="15.75" customHeight="1" x14ac:dyDescent="0.3">
      <c r="B616" s="152"/>
      <c r="D616" s="152"/>
    </row>
    <row r="617" spans="2:4" ht="15.75" customHeight="1" x14ac:dyDescent="0.3">
      <c r="B617" s="152"/>
      <c r="D617" s="152"/>
    </row>
    <row r="618" spans="2:4" ht="15.75" customHeight="1" x14ac:dyDescent="0.3">
      <c r="B618" s="152"/>
      <c r="D618" s="152"/>
    </row>
    <row r="619" spans="2:4" ht="15.75" customHeight="1" x14ac:dyDescent="0.3">
      <c r="B619" s="152"/>
      <c r="D619" s="152"/>
    </row>
    <row r="620" spans="2:4" ht="15.75" customHeight="1" x14ac:dyDescent="0.3">
      <c r="B620" s="152"/>
      <c r="D620" s="152"/>
    </row>
    <row r="621" spans="2:4" ht="15.75" customHeight="1" x14ac:dyDescent="0.3">
      <c r="B621" s="152"/>
      <c r="D621" s="152"/>
    </row>
    <row r="622" spans="2:4" ht="15.75" customHeight="1" x14ac:dyDescent="0.3">
      <c r="B622" s="152"/>
      <c r="D622" s="152"/>
    </row>
    <row r="623" spans="2:4" ht="15.75" customHeight="1" x14ac:dyDescent="0.3">
      <c r="B623" s="152"/>
      <c r="D623" s="152"/>
    </row>
    <row r="624" spans="2:4" ht="15.75" customHeight="1" x14ac:dyDescent="0.3">
      <c r="B624" s="152"/>
      <c r="D624" s="152"/>
    </row>
    <row r="625" spans="2:4" ht="15.75" customHeight="1" x14ac:dyDescent="0.3">
      <c r="B625" s="152"/>
      <c r="D625" s="152"/>
    </row>
    <row r="626" spans="2:4" ht="15.75" customHeight="1" x14ac:dyDescent="0.3">
      <c r="B626" s="152"/>
      <c r="D626" s="152"/>
    </row>
    <row r="627" spans="2:4" ht="15.75" customHeight="1" x14ac:dyDescent="0.3">
      <c r="B627" s="152"/>
      <c r="D627" s="152"/>
    </row>
    <row r="628" spans="2:4" ht="15.75" customHeight="1" x14ac:dyDescent="0.3">
      <c r="B628" s="152"/>
      <c r="D628" s="152"/>
    </row>
    <row r="629" spans="2:4" ht="15.75" customHeight="1" x14ac:dyDescent="0.3">
      <c r="B629" s="152"/>
      <c r="D629" s="152"/>
    </row>
    <row r="630" spans="2:4" ht="15.75" customHeight="1" x14ac:dyDescent="0.3">
      <c r="B630" s="152"/>
      <c r="D630" s="152"/>
    </row>
    <row r="631" spans="2:4" ht="15.75" customHeight="1" x14ac:dyDescent="0.3">
      <c r="B631" s="152"/>
      <c r="D631" s="152"/>
    </row>
    <row r="632" spans="2:4" ht="15.75" customHeight="1" x14ac:dyDescent="0.3">
      <c r="B632" s="152"/>
      <c r="D632" s="152"/>
    </row>
    <row r="633" spans="2:4" ht="15.75" customHeight="1" x14ac:dyDescent="0.3">
      <c r="B633" s="152"/>
      <c r="D633" s="152"/>
    </row>
    <row r="634" spans="2:4" ht="15.75" customHeight="1" x14ac:dyDescent="0.3">
      <c r="B634" s="152"/>
      <c r="D634" s="152"/>
    </row>
    <row r="635" spans="2:4" ht="15.75" customHeight="1" x14ac:dyDescent="0.3">
      <c r="B635" s="152"/>
      <c r="D635" s="152"/>
    </row>
    <row r="636" spans="2:4" ht="15.75" customHeight="1" x14ac:dyDescent="0.3">
      <c r="B636" s="152"/>
      <c r="D636" s="152"/>
    </row>
    <row r="637" spans="2:4" ht="15.75" customHeight="1" x14ac:dyDescent="0.3">
      <c r="B637" s="152"/>
      <c r="D637" s="152"/>
    </row>
    <row r="638" spans="2:4" ht="15.75" customHeight="1" x14ac:dyDescent="0.3">
      <c r="B638" s="152"/>
      <c r="D638" s="152"/>
    </row>
    <row r="639" spans="2:4" ht="15.75" customHeight="1" x14ac:dyDescent="0.3">
      <c r="B639" s="152"/>
      <c r="D639" s="152"/>
    </row>
    <row r="640" spans="2:4" ht="15.75" customHeight="1" x14ac:dyDescent="0.3">
      <c r="B640" s="152"/>
      <c r="D640" s="152"/>
    </row>
    <row r="641" spans="2:4" ht="15.75" customHeight="1" x14ac:dyDescent="0.3">
      <c r="B641" s="152"/>
      <c r="D641" s="152"/>
    </row>
    <row r="642" spans="2:4" ht="15.75" customHeight="1" x14ac:dyDescent="0.3">
      <c r="B642" s="152"/>
      <c r="D642" s="152"/>
    </row>
    <row r="643" spans="2:4" ht="15.75" customHeight="1" x14ac:dyDescent="0.3">
      <c r="B643" s="152"/>
      <c r="D643" s="152"/>
    </row>
    <row r="644" spans="2:4" ht="15.75" customHeight="1" x14ac:dyDescent="0.3">
      <c r="B644" s="152"/>
      <c r="D644" s="152"/>
    </row>
    <row r="645" spans="2:4" ht="15.75" customHeight="1" x14ac:dyDescent="0.3">
      <c r="B645" s="152"/>
      <c r="D645" s="152"/>
    </row>
    <row r="646" spans="2:4" ht="15.75" customHeight="1" x14ac:dyDescent="0.3">
      <c r="B646" s="152"/>
      <c r="D646" s="152"/>
    </row>
    <row r="647" spans="2:4" ht="15.75" customHeight="1" x14ac:dyDescent="0.3">
      <c r="B647" s="152"/>
      <c r="D647" s="152"/>
    </row>
    <row r="648" spans="2:4" ht="15.75" customHeight="1" x14ac:dyDescent="0.3">
      <c r="B648" s="152"/>
      <c r="D648" s="152"/>
    </row>
    <row r="649" spans="2:4" ht="15.75" customHeight="1" x14ac:dyDescent="0.3">
      <c r="B649" s="152"/>
      <c r="D649" s="152"/>
    </row>
    <row r="650" spans="2:4" ht="15.75" customHeight="1" x14ac:dyDescent="0.3">
      <c r="B650" s="152"/>
      <c r="D650" s="152"/>
    </row>
    <row r="651" spans="2:4" ht="15.75" customHeight="1" x14ac:dyDescent="0.3">
      <c r="B651" s="152"/>
      <c r="D651" s="152"/>
    </row>
    <row r="652" spans="2:4" ht="15.75" customHeight="1" x14ac:dyDescent="0.3">
      <c r="B652" s="152"/>
      <c r="D652" s="152"/>
    </row>
    <row r="653" spans="2:4" ht="15.75" customHeight="1" x14ac:dyDescent="0.3">
      <c r="B653" s="152"/>
      <c r="D653" s="152"/>
    </row>
    <row r="654" spans="2:4" ht="15.75" customHeight="1" x14ac:dyDescent="0.3">
      <c r="B654" s="152"/>
      <c r="D654" s="152"/>
    </row>
    <row r="655" spans="2:4" ht="15.75" customHeight="1" x14ac:dyDescent="0.3">
      <c r="B655" s="152"/>
      <c r="D655" s="152"/>
    </row>
    <row r="656" spans="2:4" ht="15.75" customHeight="1" x14ac:dyDescent="0.3">
      <c r="B656" s="152"/>
      <c r="D656" s="152"/>
    </row>
    <row r="657" spans="2:4" ht="15.75" customHeight="1" x14ac:dyDescent="0.3">
      <c r="B657" s="152"/>
      <c r="D657" s="152"/>
    </row>
    <row r="658" spans="2:4" ht="15.75" customHeight="1" x14ac:dyDescent="0.3">
      <c r="B658" s="152"/>
      <c r="D658" s="152"/>
    </row>
    <row r="659" spans="2:4" ht="15.75" customHeight="1" x14ac:dyDescent="0.3">
      <c r="B659" s="152"/>
      <c r="D659" s="152"/>
    </row>
    <row r="660" spans="2:4" ht="15.75" customHeight="1" x14ac:dyDescent="0.3">
      <c r="B660" s="152"/>
      <c r="D660" s="152"/>
    </row>
    <row r="661" spans="2:4" ht="15.75" customHeight="1" x14ac:dyDescent="0.3">
      <c r="B661" s="152"/>
      <c r="D661" s="152"/>
    </row>
    <row r="662" spans="2:4" ht="15.75" customHeight="1" x14ac:dyDescent="0.3">
      <c r="B662" s="152"/>
      <c r="D662" s="152"/>
    </row>
    <row r="663" spans="2:4" ht="15.75" customHeight="1" x14ac:dyDescent="0.3">
      <c r="B663" s="152"/>
      <c r="D663" s="152"/>
    </row>
    <row r="664" spans="2:4" ht="15.75" customHeight="1" x14ac:dyDescent="0.3">
      <c r="B664" s="152"/>
      <c r="D664" s="152"/>
    </row>
    <row r="665" spans="2:4" ht="15.75" customHeight="1" x14ac:dyDescent="0.3">
      <c r="B665" s="152"/>
      <c r="D665" s="152"/>
    </row>
    <row r="666" spans="2:4" ht="15.75" customHeight="1" x14ac:dyDescent="0.3">
      <c r="B666" s="152"/>
      <c r="D666" s="152"/>
    </row>
    <row r="667" spans="2:4" ht="15.75" customHeight="1" x14ac:dyDescent="0.3">
      <c r="B667" s="152"/>
      <c r="D667" s="152"/>
    </row>
    <row r="668" spans="2:4" ht="15.75" customHeight="1" x14ac:dyDescent="0.3">
      <c r="B668" s="152"/>
      <c r="D668" s="152"/>
    </row>
    <row r="669" spans="2:4" ht="15.75" customHeight="1" x14ac:dyDescent="0.3">
      <c r="B669" s="152"/>
      <c r="D669" s="152"/>
    </row>
    <row r="670" spans="2:4" ht="15.75" customHeight="1" x14ac:dyDescent="0.3">
      <c r="B670" s="152"/>
      <c r="D670" s="152"/>
    </row>
    <row r="671" spans="2:4" ht="15.75" customHeight="1" x14ac:dyDescent="0.3">
      <c r="B671" s="152"/>
      <c r="D671" s="152"/>
    </row>
    <row r="672" spans="2:4" ht="15.75" customHeight="1" x14ac:dyDescent="0.3">
      <c r="B672" s="152"/>
      <c r="D672" s="152"/>
    </row>
    <row r="673" spans="2:4" ht="15.75" customHeight="1" x14ac:dyDescent="0.3">
      <c r="B673" s="152"/>
      <c r="D673" s="152"/>
    </row>
    <row r="674" spans="2:4" ht="15.75" customHeight="1" x14ac:dyDescent="0.3">
      <c r="B674" s="152"/>
      <c r="D674" s="152"/>
    </row>
    <row r="675" spans="2:4" ht="15.75" customHeight="1" x14ac:dyDescent="0.3">
      <c r="B675" s="152"/>
      <c r="D675" s="152"/>
    </row>
    <row r="676" spans="2:4" ht="15.75" customHeight="1" x14ac:dyDescent="0.3">
      <c r="B676" s="152"/>
      <c r="D676" s="152"/>
    </row>
    <row r="677" spans="2:4" ht="15.75" customHeight="1" x14ac:dyDescent="0.3">
      <c r="B677" s="152"/>
      <c r="D677" s="152"/>
    </row>
    <row r="678" spans="2:4" ht="15.75" customHeight="1" x14ac:dyDescent="0.3">
      <c r="B678" s="152"/>
      <c r="D678" s="152"/>
    </row>
    <row r="679" spans="2:4" ht="15.75" customHeight="1" x14ac:dyDescent="0.3">
      <c r="B679" s="152"/>
      <c r="D679" s="152"/>
    </row>
    <row r="680" spans="2:4" ht="15.75" customHeight="1" x14ac:dyDescent="0.3">
      <c r="B680" s="152"/>
      <c r="D680" s="152"/>
    </row>
    <row r="681" spans="2:4" ht="15.75" customHeight="1" x14ac:dyDescent="0.3">
      <c r="B681" s="152"/>
      <c r="D681" s="152"/>
    </row>
    <row r="682" spans="2:4" ht="15.75" customHeight="1" x14ac:dyDescent="0.3">
      <c r="B682" s="152"/>
      <c r="D682" s="152"/>
    </row>
    <row r="683" spans="2:4" ht="15.75" customHeight="1" x14ac:dyDescent="0.3">
      <c r="B683" s="152"/>
      <c r="D683" s="152"/>
    </row>
    <row r="684" spans="2:4" ht="15.75" customHeight="1" x14ac:dyDescent="0.3">
      <c r="B684" s="152"/>
      <c r="D684" s="152"/>
    </row>
    <row r="685" spans="2:4" ht="15.75" customHeight="1" x14ac:dyDescent="0.3">
      <c r="B685" s="152"/>
      <c r="D685" s="152"/>
    </row>
    <row r="686" spans="2:4" ht="15.75" customHeight="1" x14ac:dyDescent="0.3">
      <c r="B686" s="152"/>
      <c r="D686" s="152"/>
    </row>
    <row r="687" spans="2:4" ht="15.75" customHeight="1" x14ac:dyDescent="0.3">
      <c r="B687" s="152"/>
      <c r="D687" s="152"/>
    </row>
    <row r="688" spans="2:4" ht="15.75" customHeight="1" x14ac:dyDescent="0.3">
      <c r="B688" s="152"/>
      <c r="D688" s="152"/>
    </row>
    <row r="689" spans="2:4" ht="15.75" customHeight="1" x14ac:dyDescent="0.3">
      <c r="B689" s="152"/>
      <c r="D689" s="152"/>
    </row>
    <row r="690" spans="2:4" ht="15.75" customHeight="1" x14ac:dyDescent="0.3">
      <c r="B690" s="152"/>
      <c r="D690" s="152"/>
    </row>
    <row r="691" spans="2:4" ht="15.75" customHeight="1" x14ac:dyDescent="0.3">
      <c r="B691" s="152"/>
      <c r="D691" s="152"/>
    </row>
    <row r="692" spans="2:4" ht="15.75" customHeight="1" x14ac:dyDescent="0.3">
      <c r="B692" s="152"/>
      <c r="D692" s="152"/>
    </row>
    <row r="693" spans="2:4" ht="15.75" customHeight="1" x14ac:dyDescent="0.3">
      <c r="B693" s="152"/>
      <c r="D693" s="152"/>
    </row>
    <row r="694" spans="2:4" ht="15.75" customHeight="1" x14ac:dyDescent="0.3">
      <c r="B694" s="152"/>
      <c r="D694" s="152"/>
    </row>
    <row r="695" spans="2:4" ht="15.75" customHeight="1" x14ac:dyDescent="0.3">
      <c r="B695" s="152"/>
      <c r="D695" s="152"/>
    </row>
    <row r="696" spans="2:4" ht="15.75" customHeight="1" x14ac:dyDescent="0.3">
      <c r="B696" s="152"/>
      <c r="D696" s="152"/>
    </row>
    <row r="697" spans="2:4" ht="15.75" customHeight="1" x14ac:dyDescent="0.3">
      <c r="B697" s="152"/>
      <c r="D697" s="152"/>
    </row>
    <row r="698" spans="2:4" ht="15.75" customHeight="1" x14ac:dyDescent="0.3">
      <c r="B698" s="152"/>
      <c r="D698" s="152"/>
    </row>
    <row r="699" spans="2:4" ht="15.75" customHeight="1" x14ac:dyDescent="0.3">
      <c r="B699" s="152"/>
      <c r="D699" s="152"/>
    </row>
    <row r="700" spans="2:4" ht="15.75" customHeight="1" x14ac:dyDescent="0.3">
      <c r="B700" s="152"/>
      <c r="D700" s="152"/>
    </row>
    <row r="701" spans="2:4" ht="15.75" customHeight="1" x14ac:dyDescent="0.3">
      <c r="B701" s="152"/>
      <c r="D701" s="152"/>
    </row>
    <row r="702" spans="2:4" ht="15.75" customHeight="1" x14ac:dyDescent="0.3">
      <c r="B702" s="152"/>
      <c r="D702" s="152"/>
    </row>
    <row r="703" spans="2:4" ht="15.75" customHeight="1" x14ac:dyDescent="0.3">
      <c r="B703" s="152"/>
      <c r="D703" s="152"/>
    </row>
    <row r="704" spans="2:4" ht="15.75" customHeight="1" x14ac:dyDescent="0.3">
      <c r="B704" s="152"/>
      <c r="D704" s="152"/>
    </row>
    <row r="705" spans="2:4" ht="15.75" customHeight="1" x14ac:dyDescent="0.3">
      <c r="B705" s="152"/>
      <c r="D705" s="152"/>
    </row>
    <row r="706" spans="2:4" ht="15.75" customHeight="1" x14ac:dyDescent="0.3">
      <c r="B706" s="152"/>
      <c r="D706" s="152"/>
    </row>
    <row r="707" spans="2:4" ht="15.75" customHeight="1" x14ac:dyDescent="0.3">
      <c r="B707" s="152"/>
      <c r="D707" s="152"/>
    </row>
    <row r="708" spans="2:4" ht="15.75" customHeight="1" x14ac:dyDescent="0.3">
      <c r="B708" s="152"/>
      <c r="D708" s="152"/>
    </row>
    <row r="709" spans="2:4" ht="15.75" customHeight="1" x14ac:dyDescent="0.3">
      <c r="B709" s="152"/>
      <c r="D709" s="152"/>
    </row>
    <row r="710" spans="2:4" ht="15.75" customHeight="1" x14ac:dyDescent="0.3">
      <c r="B710" s="152"/>
      <c r="D710" s="152"/>
    </row>
    <row r="711" spans="2:4" ht="15.75" customHeight="1" x14ac:dyDescent="0.3">
      <c r="B711" s="152"/>
      <c r="D711" s="152"/>
    </row>
    <row r="712" spans="2:4" ht="15.75" customHeight="1" x14ac:dyDescent="0.3">
      <c r="B712" s="152"/>
      <c r="D712" s="152"/>
    </row>
    <row r="713" spans="2:4" ht="15.75" customHeight="1" x14ac:dyDescent="0.3">
      <c r="B713" s="152"/>
      <c r="D713" s="152"/>
    </row>
    <row r="714" spans="2:4" ht="15.75" customHeight="1" x14ac:dyDescent="0.3">
      <c r="B714" s="152"/>
      <c r="D714" s="152"/>
    </row>
    <row r="715" spans="2:4" ht="15.75" customHeight="1" x14ac:dyDescent="0.3">
      <c r="B715" s="152"/>
      <c r="D715" s="152"/>
    </row>
    <row r="716" spans="2:4" ht="15.75" customHeight="1" x14ac:dyDescent="0.3">
      <c r="B716" s="152"/>
      <c r="D716" s="152"/>
    </row>
    <row r="717" spans="2:4" ht="15.75" customHeight="1" x14ac:dyDescent="0.3">
      <c r="B717" s="152"/>
      <c r="D717" s="152"/>
    </row>
    <row r="718" spans="2:4" ht="15.75" customHeight="1" x14ac:dyDescent="0.3">
      <c r="B718" s="152"/>
      <c r="D718" s="152"/>
    </row>
    <row r="719" spans="2:4" ht="15.75" customHeight="1" x14ac:dyDescent="0.3">
      <c r="B719" s="152"/>
      <c r="D719" s="152"/>
    </row>
    <row r="720" spans="2:4" ht="15.75" customHeight="1" x14ac:dyDescent="0.3">
      <c r="B720" s="152"/>
      <c r="D720" s="152"/>
    </row>
    <row r="721" spans="2:4" ht="15.75" customHeight="1" x14ac:dyDescent="0.3">
      <c r="B721" s="152"/>
      <c r="D721" s="152"/>
    </row>
    <row r="722" spans="2:4" ht="15.75" customHeight="1" x14ac:dyDescent="0.3">
      <c r="B722" s="152"/>
      <c r="D722" s="152"/>
    </row>
    <row r="723" spans="2:4" ht="15.75" customHeight="1" x14ac:dyDescent="0.3">
      <c r="B723" s="152"/>
      <c r="D723" s="152"/>
    </row>
    <row r="724" spans="2:4" ht="15.75" customHeight="1" x14ac:dyDescent="0.3">
      <c r="B724" s="152"/>
      <c r="D724" s="152"/>
    </row>
    <row r="725" spans="2:4" ht="15.75" customHeight="1" x14ac:dyDescent="0.3">
      <c r="B725" s="152"/>
      <c r="D725" s="152"/>
    </row>
    <row r="726" spans="2:4" ht="15.75" customHeight="1" x14ac:dyDescent="0.3">
      <c r="B726" s="152"/>
      <c r="D726" s="152"/>
    </row>
    <row r="727" spans="2:4" ht="15.75" customHeight="1" x14ac:dyDescent="0.3">
      <c r="B727" s="152"/>
      <c r="D727" s="152"/>
    </row>
    <row r="728" spans="2:4" ht="15.75" customHeight="1" x14ac:dyDescent="0.3">
      <c r="B728" s="152"/>
      <c r="D728" s="152"/>
    </row>
    <row r="729" spans="2:4" ht="15.75" customHeight="1" x14ac:dyDescent="0.3">
      <c r="B729" s="152"/>
      <c r="D729" s="152"/>
    </row>
    <row r="730" spans="2:4" ht="15.75" customHeight="1" x14ac:dyDescent="0.3">
      <c r="B730" s="152"/>
      <c r="D730" s="152"/>
    </row>
    <row r="731" spans="2:4" ht="15.75" customHeight="1" x14ac:dyDescent="0.3">
      <c r="B731" s="152"/>
      <c r="D731" s="152"/>
    </row>
    <row r="732" spans="2:4" ht="15.75" customHeight="1" x14ac:dyDescent="0.3">
      <c r="B732" s="152"/>
      <c r="D732" s="152"/>
    </row>
    <row r="733" spans="2:4" ht="15.75" customHeight="1" x14ac:dyDescent="0.3">
      <c r="B733" s="152"/>
      <c r="D733" s="152"/>
    </row>
    <row r="734" spans="2:4" ht="15.75" customHeight="1" x14ac:dyDescent="0.3">
      <c r="B734" s="152"/>
      <c r="D734" s="152"/>
    </row>
    <row r="735" spans="2:4" ht="15.75" customHeight="1" x14ac:dyDescent="0.3">
      <c r="B735" s="152"/>
      <c r="D735" s="152"/>
    </row>
    <row r="736" spans="2:4" ht="15.75" customHeight="1" x14ac:dyDescent="0.3">
      <c r="B736" s="152"/>
      <c r="D736" s="152"/>
    </row>
    <row r="737" spans="2:4" ht="15.75" customHeight="1" x14ac:dyDescent="0.3">
      <c r="B737" s="152"/>
      <c r="D737" s="152"/>
    </row>
    <row r="738" spans="2:4" ht="15.75" customHeight="1" x14ac:dyDescent="0.3">
      <c r="B738" s="152"/>
      <c r="D738" s="152"/>
    </row>
    <row r="739" spans="2:4" ht="15.75" customHeight="1" x14ac:dyDescent="0.3">
      <c r="B739" s="152"/>
      <c r="D739" s="152"/>
    </row>
    <row r="740" spans="2:4" ht="15.75" customHeight="1" x14ac:dyDescent="0.3">
      <c r="B740" s="152"/>
      <c r="D740" s="152"/>
    </row>
    <row r="741" spans="2:4" ht="15.75" customHeight="1" x14ac:dyDescent="0.3">
      <c r="B741" s="152"/>
      <c r="D741" s="152"/>
    </row>
    <row r="742" spans="2:4" ht="15.75" customHeight="1" x14ac:dyDescent="0.3">
      <c r="B742" s="152"/>
      <c r="D742" s="152"/>
    </row>
    <row r="743" spans="2:4" ht="15.75" customHeight="1" x14ac:dyDescent="0.3">
      <c r="B743" s="152"/>
      <c r="D743" s="152"/>
    </row>
    <row r="744" spans="2:4" ht="15.75" customHeight="1" x14ac:dyDescent="0.3">
      <c r="B744" s="152"/>
      <c r="D744" s="152"/>
    </row>
    <row r="745" spans="2:4" ht="15.75" customHeight="1" x14ac:dyDescent="0.3">
      <c r="B745" s="152"/>
      <c r="D745" s="152"/>
    </row>
    <row r="746" spans="2:4" ht="15.75" customHeight="1" x14ac:dyDescent="0.3">
      <c r="B746" s="152"/>
      <c r="D746" s="152"/>
    </row>
    <row r="747" spans="2:4" ht="15.75" customHeight="1" x14ac:dyDescent="0.3">
      <c r="B747" s="152"/>
      <c r="D747" s="152"/>
    </row>
    <row r="748" spans="2:4" ht="15.75" customHeight="1" x14ac:dyDescent="0.3">
      <c r="B748" s="152"/>
      <c r="D748" s="152"/>
    </row>
    <row r="749" spans="2:4" ht="15.75" customHeight="1" x14ac:dyDescent="0.3">
      <c r="B749" s="152"/>
      <c r="D749" s="152"/>
    </row>
    <row r="750" spans="2:4" ht="15.75" customHeight="1" x14ac:dyDescent="0.3">
      <c r="B750" s="152"/>
      <c r="D750" s="152"/>
    </row>
    <row r="751" spans="2:4" ht="15.75" customHeight="1" x14ac:dyDescent="0.3">
      <c r="B751" s="152"/>
      <c r="D751" s="152"/>
    </row>
    <row r="752" spans="2:4" ht="15.75" customHeight="1" x14ac:dyDescent="0.3">
      <c r="B752" s="152"/>
      <c r="D752" s="152"/>
    </row>
    <row r="753" spans="2:4" ht="15.75" customHeight="1" x14ac:dyDescent="0.3">
      <c r="B753" s="152"/>
      <c r="D753" s="152"/>
    </row>
    <row r="754" spans="2:4" ht="15.75" customHeight="1" x14ac:dyDescent="0.3">
      <c r="B754" s="152"/>
      <c r="D754" s="152"/>
    </row>
    <row r="755" spans="2:4" ht="15.75" customHeight="1" x14ac:dyDescent="0.3">
      <c r="B755" s="152"/>
      <c r="D755" s="152"/>
    </row>
    <row r="756" spans="2:4" ht="15.75" customHeight="1" x14ac:dyDescent="0.3">
      <c r="B756" s="152"/>
      <c r="D756" s="152"/>
    </row>
    <row r="757" spans="2:4" ht="15.75" customHeight="1" x14ac:dyDescent="0.3">
      <c r="B757" s="152"/>
      <c r="D757" s="152"/>
    </row>
    <row r="758" spans="2:4" ht="15.75" customHeight="1" x14ac:dyDescent="0.3">
      <c r="B758" s="152"/>
      <c r="D758" s="152"/>
    </row>
    <row r="759" spans="2:4" ht="15.75" customHeight="1" x14ac:dyDescent="0.3">
      <c r="B759" s="152"/>
      <c r="D759" s="152"/>
    </row>
    <row r="760" spans="2:4" ht="15.75" customHeight="1" x14ac:dyDescent="0.3">
      <c r="B760" s="152"/>
      <c r="D760" s="152"/>
    </row>
    <row r="761" spans="2:4" ht="15.75" customHeight="1" x14ac:dyDescent="0.3">
      <c r="B761" s="152"/>
      <c r="D761" s="152"/>
    </row>
    <row r="762" spans="2:4" ht="15.75" customHeight="1" x14ac:dyDescent="0.3">
      <c r="B762" s="152"/>
      <c r="D762" s="152"/>
    </row>
    <row r="763" spans="2:4" ht="15.75" customHeight="1" x14ac:dyDescent="0.3">
      <c r="B763" s="152"/>
      <c r="D763" s="152"/>
    </row>
    <row r="764" spans="2:4" ht="15.75" customHeight="1" x14ac:dyDescent="0.3">
      <c r="B764" s="152"/>
      <c r="D764" s="152"/>
    </row>
    <row r="765" spans="2:4" ht="15.75" customHeight="1" x14ac:dyDescent="0.3">
      <c r="B765" s="152"/>
      <c r="D765" s="152"/>
    </row>
    <row r="766" spans="2:4" ht="15.75" customHeight="1" x14ac:dyDescent="0.3">
      <c r="B766" s="152"/>
      <c r="D766" s="152"/>
    </row>
    <row r="767" spans="2:4" ht="15.75" customHeight="1" x14ac:dyDescent="0.3">
      <c r="B767" s="152"/>
      <c r="D767" s="152"/>
    </row>
    <row r="768" spans="2:4" ht="15.75" customHeight="1" x14ac:dyDescent="0.3">
      <c r="B768" s="152"/>
      <c r="D768" s="152"/>
    </row>
    <row r="769" spans="2:4" ht="15.75" customHeight="1" x14ac:dyDescent="0.3">
      <c r="B769" s="152"/>
      <c r="D769" s="152"/>
    </row>
    <row r="770" spans="2:4" ht="15.75" customHeight="1" x14ac:dyDescent="0.3">
      <c r="B770" s="152"/>
      <c r="D770" s="152"/>
    </row>
    <row r="771" spans="2:4" ht="15.75" customHeight="1" x14ac:dyDescent="0.3">
      <c r="B771" s="152"/>
      <c r="D771" s="152"/>
    </row>
    <row r="772" spans="2:4" ht="15.75" customHeight="1" x14ac:dyDescent="0.3">
      <c r="B772" s="152"/>
      <c r="D772" s="152"/>
    </row>
    <row r="773" spans="2:4" ht="15.75" customHeight="1" x14ac:dyDescent="0.3">
      <c r="B773" s="152"/>
      <c r="D773" s="152"/>
    </row>
    <row r="774" spans="2:4" ht="15.75" customHeight="1" x14ac:dyDescent="0.3">
      <c r="B774" s="152"/>
      <c r="D774" s="152"/>
    </row>
    <row r="775" spans="2:4" ht="15.75" customHeight="1" x14ac:dyDescent="0.3">
      <c r="B775" s="152"/>
      <c r="D775" s="152"/>
    </row>
    <row r="776" spans="2:4" ht="15.75" customHeight="1" x14ac:dyDescent="0.3">
      <c r="B776" s="152"/>
      <c r="D776" s="152"/>
    </row>
    <row r="777" spans="2:4" ht="15.75" customHeight="1" x14ac:dyDescent="0.3">
      <c r="B777" s="152"/>
      <c r="D777" s="152"/>
    </row>
    <row r="778" spans="2:4" ht="15.75" customHeight="1" x14ac:dyDescent="0.3">
      <c r="B778" s="152"/>
      <c r="D778" s="152"/>
    </row>
    <row r="779" spans="2:4" ht="15.75" customHeight="1" x14ac:dyDescent="0.3">
      <c r="B779" s="152"/>
      <c r="D779" s="152"/>
    </row>
    <row r="780" spans="2:4" ht="15.75" customHeight="1" x14ac:dyDescent="0.3">
      <c r="B780" s="152"/>
      <c r="D780" s="152"/>
    </row>
    <row r="781" spans="2:4" ht="15.75" customHeight="1" x14ac:dyDescent="0.3">
      <c r="B781" s="152"/>
      <c r="D781" s="152"/>
    </row>
    <row r="782" spans="2:4" ht="15.75" customHeight="1" x14ac:dyDescent="0.3">
      <c r="B782" s="152"/>
      <c r="D782" s="152"/>
    </row>
    <row r="783" spans="2:4" ht="15.75" customHeight="1" x14ac:dyDescent="0.3">
      <c r="B783" s="152"/>
      <c r="D783" s="152"/>
    </row>
    <row r="784" spans="2:4" ht="15.75" customHeight="1" x14ac:dyDescent="0.3">
      <c r="B784" s="152"/>
      <c r="D784" s="152"/>
    </row>
    <row r="785" spans="2:4" ht="15.75" customHeight="1" x14ac:dyDescent="0.3">
      <c r="B785" s="152"/>
      <c r="D785" s="152"/>
    </row>
    <row r="786" spans="2:4" ht="15.75" customHeight="1" x14ac:dyDescent="0.3">
      <c r="B786" s="152"/>
      <c r="D786" s="152"/>
    </row>
    <row r="787" spans="2:4" ht="15.75" customHeight="1" x14ac:dyDescent="0.3">
      <c r="B787" s="152"/>
      <c r="D787" s="152"/>
    </row>
    <row r="788" spans="2:4" ht="15.75" customHeight="1" x14ac:dyDescent="0.3">
      <c r="B788" s="152"/>
      <c r="D788" s="152"/>
    </row>
    <row r="789" spans="2:4" ht="15.75" customHeight="1" x14ac:dyDescent="0.3">
      <c r="B789" s="152"/>
      <c r="D789" s="152"/>
    </row>
    <row r="790" spans="2:4" ht="15.75" customHeight="1" x14ac:dyDescent="0.3">
      <c r="B790" s="152"/>
      <c r="D790" s="152"/>
    </row>
    <row r="791" spans="2:4" ht="15.75" customHeight="1" x14ac:dyDescent="0.3">
      <c r="B791" s="152"/>
      <c r="D791" s="152"/>
    </row>
    <row r="792" spans="2:4" ht="15.75" customHeight="1" x14ac:dyDescent="0.3">
      <c r="B792" s="152"/>
      <c r="D792" s="152"/>
    </row>
    <row r="793" spans="2:4" ht="15.75" customHeight="1" x14ac:dyDescent="0.3">
      <c r="B793" s="152"/>
      <c r="D793" s="152"/>
    </row>
    <row r="794" spans="2:4" ht="15.75" customHeight="1" x14ac:dyDescent="0.3">
      <c r="B794" s="152"/>
      <c r="D794" s="152"/>
    </row>
    <row r="795" spans="2:4" ht="15.75" customHeight="1" x14ac:dyDescent="0.3">
      <c r="B795" s="152"/>
      <c r="D795" s="152"/>
    </row>
    <row r="796" spans="2:4" ht="15.75" customHeight="1" x14ac:dyDescent="0.3">
      <c r="B796" s="152"/>
      <c r="D796" s="152"/>
    </row>
    <row r="797" spans="2:4" ht="15.75" customHeight="1" x14ac:dyDescent="0.3">
      <c r="B797" s="152"/>
      <c r="D797" s="152"/>
    </row>
    <row r="798" spans="2:4" ht="15.75" customHeight="1" x14ac:dyDescent="0.3">
      <c r="B798" s="152"/>
      <c r="D798" s="152"/>
    </row>
    <row r="799" spans="2:4" ht="15.75" customHeight="1" x14ac:dyDescent="0.3">
      <c r="B799" s="152"/>
      <c r="D799" s="152"/>
    </row>
    <row r="800" spans="2:4" ht="15.75" customHeight="1" x14ac:dyDescent="0.3">
      <c r="B800" s="152"/>
      <c r="D800" s="152"/>
    </row>
    <row r="801" spans="2:4" ht="15.75" customHeight="1" x14ac:dyDescent="0.3">
      <c r="B801" s="152"/>
      <c r="D801" s="152"/>
    </row>
    <row r="802" spans="2:4" ht="15.75" customHeight="1" x14ac:dyDescent="0.3">
      <c r="B802" s="152"/>
      <c r="D802" s="152"/>
    </row>
    <row r="803" spans="2:4" ht="15.75" customHeight="1" x14ac:dyDescent="0.3">
      <c r="B803" s="152"/>
      <c r="D803" s="152"/>
    </row>
    <row r="804" spans="2:4" ht="15.75" customHeight="1" x14ac:dyDescent="0.3">
      <c r="B804" s="152"/>
      <c r="D804" s="152"/>
    </row>
    <row r="805" spans="2:4" ht="15.75" customHeight="1" x14ac:dyDescent="0.3">
      <c r="B805" s="152"/>
      <c r="D805" s="152"/>
    </row>
    <row r="806" spans="2:4" ht="15.75" customHeight="1" x14ac:dyDescent="0.3">
      <c r="B806" s="152"/>
      <c r="D806" s="152"/>
    </row>
    <row r="807" spans="2:4" ht="15.75" customHeight="1" x14ac:dyDescent="0.3">
      <c r="B807" s="152"/>
      <c r="D807" s="152"/>
    </row>
    <row r="808" spans="2:4" ht="15.75" customHeight="1" x14ac:dyDescent="0.3">
      <c r="B808" s="152"/>
      <c r="D808" s="152"/>
    </row>
    <row r="809" spans="2:4" ht="15.75" customHeight="1" x14ac:dyDescent="0.3">
      <c r="B809" s="152"/>
      <c r="D809" s="152"/>
    </row>
    <row r="810" spans="2:4" ht="15.75" customHeight="1" x14ac:dyDescent="0.3">
      <c r="B810" s="152"/>
      <c r="D810" s="152"/>
    </row>
    <row r="811" spans="2:4" ht="15.75" customHeight="1" x14ac:dyDescent="0.3">
      <c r="B811" s="152"/>
      <c r="D811" s="152"/>
    </row>
    <row r="812" spans="2:4" ht="15.75" customHeight="1" x14ac:dyDescent="0.3">
      <c r="B812" s="152"/>
      <c r="D812" s="152"/>
    </row>
    <row r="813" spans="2:4" ht="15.75" customHeight="1" x14ac:dyDescent="0.3">
      <c r="B813" s="152"/>
      <c r="D813" s="152"/>
    </row>
    <row r="814" spans="2:4" ht="15.75" customHeight="1" x14ac:dyDescent="0.3">
      <c r="B814" s="152"/>
      <c r="D814" s="152"/>
    </row>
    <row r="815" spans="2:4" ht="15.75" customHeight="1" x14ac:dyDescent="0.3">
      <c r="B815" s="152"/>
      <c r="D815" s="152"/>
    </row>
    <row r="816" spans="2:4" ht="15.75" customHeight="1" x14ac:dyDescent="0.3">
      <c r="B816" s="152"/>
      <c r="D816" s="152"/>
    </row>
    <row r="817" spans="2:4" ht="15.75" customHeight="1" x14ac:dyDescent="0.3">
      <c r="B817" s="152"/>
      <c r="D817" s="152"/>
    </row>
    <row r="818" spans="2:4" ht="15.75" customHeight="1" x14ac:dyDescent="0.3">
      <c r="B818" s="152"/>
      <c r="D818" s="152"/>
    </row>
    <row r="819" spans="2:4" ht="15.75" customHeight="1" x14ac:dyDescent="0.3">
      <c r="B819" s="152"/>
      <c r="D819" s="152"/>
    </row>
    <row r="820" spans="2:4" ht="15.75" customHeight="1" x14ac:dyDescent="0.3">
      <c r="B820" s="152"/>
      <c r="D820" s="152"/>
    </row>
    <row r="821" spans="2:4" ht="15.75" customHeight="1" x14ac:dyDescent="0.3">
      <c r="B821" s="152"/>
      <c r="D821" s="152"/>
    </row>
    <row r="822" spans="2:4" ht="15.75" customHeight="1" x14ac:dyDescent="0.3">
      <c r="B822" s="152"/>
      <c r="D822" s="152"/>
    </row>
    <row r="823" spans="2:4" ht="15.75" customHeight="1" x14ac:dyDescent="0.3">
      <c r="B823" s="152"/>
      <c r="D823" s="152"/>
    </row>
    <row r="824" spans="2:4" ht="15.75" customHeight="1" x14ac:dyDescent="0.3">
      <c r="B824" s="152"/>
      <c r="D824" s="152"/>
    </row>
    <row r="825" spans="2:4" ht="15.75" customHeight="1" x14ac:dyDescent="0.3">
      <c r="B825" s="152"/>
      <c r="D825" s="152"/>
    </row>
    <row r="826" spans="2:4" ht="15.75" customHeight="1" x14ac:dyDescent="0.3">
      <c r="B826" s="152"/>
      <c r="D826" s="152"/>
    </row>
    <row r="827" spans="2:4" ht="15.75" customHeight="1" x14ac:dyDescent="0.3">
      <c r="B827" s="152"/>
      <c r="D827" s="152"/>
    </row>
    <row r="828" spans="2:4" ht="15.75" customHeight="1" x14ac:dyDescent="0.3">
      <c r="B828" s="152"/>
      <c r="D828" s="152"/>
    </row>
    <row r="829" spans="2:4" ht="15.75" customHeight="1" x14ac:dyDescent="0.3">
      <c r="B829" s="152"/>
      <c r="D829" s="152"/>
    </row>
    <row r="830" spans="2:4" ht="15.75" customHeight="1" x14ac:dyDescent="0.3">
      <c r="B830" s="152"/>
      <c r="D830" s="152"/>
    </row>
    <row r="831" spans="2:4" ht="15.75" customHeight="1" x14ac:dyDescent="0.3">
      <c r="B831" s="152"/>
      <c r="D831" s="152"/>
    </row>
    <row r="832" spans="2:4" ht="15.75" customHeight="1" x14ac:dyDescent="0.3">
      <c r="B832" s="152"/>
      <c r="D832" s="152"/>
    </row>
    <row r="833" spans="2:4" ht="15.75" customHeight="1" x14ac:dyDescent="0.3">
      <c r="B833" s="152"/>
      <c r="D833" s="152"/>
    </row>
    <row r="834" spans="2:4" ht="15.75" customHeight="1" x14ac:dyDescent="0.3">
      <c r="B834" s="152"/>
      <c r="D834" s="152"/>
    </row>
    <row r="835" spans="2:4" ht="15.75" customHeight="1" x14ac:dyDescent="0.3">
      <c r="B835" s="152"/>
      <c r="D835" s="152"/>
    </row>
    <row r="836" spans="2:4" ht="15.75" customHeight="1" x14ac:dyDescent="0.3">
      <c r="B836" s="152"/>
      <c r="D836" s="152"/>
    </row>
    <row r="837" spans="2:4" ht="15.75" customHeight="1" x14ac:dyDescent="0.3">
      <c r="B837" s="152"/>
      <c r="D837" s="152"/>
    </row>
    <row r="838" spans="2:4" ht="15.75" customHeight="1" x14ac:dyDescent="0.3">
      <c r="B838" s="152"/>
      <c r="D838" s="152"/>
    </row>
    <row r="839" spans="2:4" ht="15.75" customHeight="1" x14ac:dyDescent="0.3">
      <c r="B839" s="152"/>
      <c r="D839" s="152"/>
    </row>
    <row r="840" spans="2:4" ht="15.75" customHeight="1" x14ac:dyDescent="0.3">
      <c r="B840" s="152"/>
      <c r="D840" s="152"/>
    </row>
    <row r="841" spans="2:4" ht="15.75" customHeight="1" x14ac:dyDescent="0.3">
      <c r="B841" s="152"/>
      <c r="D841" s="152"/>
    </row>
    <row r="842" spans="2:4" ht="15.75" customHeight="1" x14ac:dyDescent="0.3">
      <c r="B842" s="152"/>
      <c r="D842" s="152"/>
    </row>
    <row r="843" spans="2:4" ht="15.75" customHeight="1" x14ac:dyDescent="0.3">
      <c r="B843" s="152"/>
      <c r="D843" s="152"/>
    </row>
    <row r="844" spans="2:4" ht="15.75" customHeight="1" x14ac:dyDescent="0.3">
      <c r="B844" s="152"/>
      <c r="D844" s="152"/>
    </row>
    <row r="845" spans="2:4" ht="15.75" customHeight="1" x14ac:dyDescent="0.3">
      <c r="B845" s="152"/>
      <c r="D845" s="152"/>
    </row>
    <row r="846" spans="2:4" ht="15.75" customHeight="1" x14ac:dyDescent="0.3">
      <c r="B846" s="152"/>
      <c r="D846" s="152"/>
    </row>
    <row r="847" spans="2:4" ht="15.75" customHeight="1" x14ac:dyDescent="0.3">
      <c r="B847" s="152"/>
      <c r="D847" s="152"/>
    </row>
    <row r="848" spans="2:4" ht="15.75" customHeight="1" x14ac:dyDescent="0.3">
      <c r="B848" s="152"/>
      <c r="D848" s="152"/>
    </row>
    <row r="849" spans="2:4" ht="15.75" customHeight="1" x14ac:dyDescent="0.3">
      <c r="B849" s="152"/>
      <c r="D849" s="152"/>
    </row>
    <row r="850" spans="2:4" ht="15.75" customHeight="1" x14ac:dyDescent="0.3">
      <c r="B850" s="152"/>
      <c r="D850" s="152"/>
    </row>
    <row r="851" spans="2:4" ht="15.75" customHeight="1" x14ac:dyDescent="0.3">
      <c r="B851" s="152"/>
      <c r="D851" s="152"/>
    </row>
    <row r="852" spans="2:4" ht="15.75" customHeight="1" x14ac:dyDescent="0.3">
      <c r="B852" s="152"/>
      <c r="D852" s="152"/>
    </row>
    <row r="853" spans="2:4" ht="15.75" customHeight="1" x14ac:dyDescent="0.3">
      <c r="B853" s="152"/>
      <c r="D853" s="152"/>
    </row>
    <row r="854" spans="2:4" ht="15.75" customHeight="1" x14ac:dyDescent="0.3">
      <c r="B854" s="152"/>
      <c r="D854" s="152"/>
    </row>
    <row r="855" spans="2:4" ht="15.75" customHeight="1" x14ac:dyDescent="0.3">
      <c r="B855" s="152"/>
      <c r="D855" s="152"/>
    </row>
    <row r="856" spans="2:4" ht="15.75" customHeight="1" x14ac:dyDescent="0.3">
      <c r="B856" s="152"/>
      <c r="D856" s="152"/>
    </row>
    <row r="857" spans="2:4" ht="15.75" customHeight="1" x14ac:dyDescent="0.3">
      <c r="B857" s="152"/>
      <c r="D857" s="152"/>
    </row>
    <row r="858" spans="2:4" ht="15.75" customHeight="1" x14ac:dyDescent="0.3">
      <c r="B858" s="152"/>
      <c r="D858" s="152"/>
    </row>
    <row r="859" spans="2:4" ht="15.75" customHeight="1" x14ac:dyDescent="0.3">
      <c r="B859" s="152"/>
      <c r="D859" s="152"/>
    </row>
    <row r="860" spans="2:4" ht="15.75" customHeight="1" x14ac:dyDescent="0.3">
      <c r="B860" s="152"/>
      <c r="D860" s="152"/>
    </row>
    <row r="861" spans="2:4" ht="15.75" customHeight="1" x14ac:dyDescent="0.3">
      <c r="B861" s="152"/>
      <c r="D861" s="152"/>
    </row>
    <row r="862" spans="2:4" ht="15.75" customHeight="1" x14ac:dyDescent="0.3">
      <c r="B862" s="152"/>
      <c r="D862" s="152"/>
    </row>
    <row r="863" spans="2:4" ht="15.75" customHeight="1" x14ac:dyDescent="0.3">
      <c r="B863" s="152"/>
      <c r="D863" s="152"/>
    </row>
    <row r="864" spans="2:4" ht="15.75" customHeight="1" x14ac:dyDescent="0.3">
      <c r="B864" s="152"/>
      <c r="D864" s="152"/>
    </row>
    <row r="865" spans="2:4" ht="15.75" customHeight="1" x14ac:dyDescent="0.3">
      <c r="B865" s="152"/>
      <c r="D865" s="152"/>
    </row>
    <row r="866" spans="2:4" ht="15.75" customHeight="1" x14ac:dyDescent="0.3">
      <c r="B866" s="152"/>
      <c r="D866" s="152"/>
    </row>
    <row r="867" spans="2:4" ht="15.75" customHeight="1" x14ac:dyDescent="0.3">
      <c r="B867" s="152"/>
      <c r="D867" s="152"/>
    </row>
    <row r="868" spans="2:4" ht="15.75" customHeight="1" x14ac:dyDescent="0.3">
      <c r="B868" s="152"/>
      <c r="D868" s="152"/>
    </row>
    <row r="869" spans="2:4" ht="15.75" customHeight="1" x14ac:dyDescent="0.3">
      <c r="B869" s="152"/>
      <c r="D869" s="152"/>
    </row>
    <row r="870" spans="2:4" ht="15.75" customHeight="1" x14ac:dyDescent="0.3">
      <c r="B870" s="152"/>
      <c r="D870" s="152"/>
    </row>
    <row r="871" spans="2:4" ht="15.75" customHeight="1" x14ac:dyDescent="0.3">
      <c r="B871" s="152"/>
      <c r="D871" s="152"/>
    </row>
    <row r="872" spans="2:4" ht="15.75" customHeight="1" x14ac:dyDescent="0.3">
      <c r="B872" s="152"/>
      <c r="D872" s="152"/>
    </row>
    <row r="873" spans="2:4" ht="15.75" customHeight="1" x14ac:dyDescent="0.3">
      <c r="B873" s="152"/>
      <c r="D873" s="152"/>
    </row>
    <row r="874" spans="2:4" ht="15.75" customHeight="1" x14ac:dyDescent="0.3">
      <c r="B874" s="152"/>
      <c r="D874" s="152"/>
    </row>
    <row r="875" spans="2:4" ht="15.75" customHeight="1" x14ac:dyDescent="0.3">
      <c r="B875" s="152"/>
      <c r="D875" s="152"/>
    </row>
    <row r="876" spans="2:4" ht="15.75" customHeight="1" x14ac:dyDescent="0.3">
      <c r="B876" s="152"/>
      <c r="D876" s="152"/>
    </row>
    <row r="877" spans="2:4" ht="15.75" customHeight="1" x14ac:dyDescent="0.3">
      <c r="B877" s="152"/>
      <c r="D877" s="152"/>
    </row>
    <row r="878" spans="2:4" ht="15.75" customHeight="1" x14ac:dyDescent="0.3">
      <c r="B878" s="152"/>
      <c r="D878" s="152"/>
    </row>
    <row r="879" spans="2:4" ht="15.75" customHeight="1" x14ac:dyDescent="0.3">
      <c r="B879" s="152"/>
      <c r="D879" s="152"/>
    </row>
    <row r="880" spans="2:4" ht="15.75" customHeight="1" x14ac:dyDescent="0.3">
      <c r="B880" s="152"/>
      <c r="D880" s="152"/>
    </row>
    <row r="881" spans="2:4" ht="15.75" customHeight="1" x14ac:dyDescent="0.3">
      <c r="B881" s="152"/>
      <c r="D881" s="152"/>
    </row>
    <row r="882" spans="2:4" ht="15.75" customHeight="1" x14ac:dyDescent="0.3">
      <c r="B882" s="152"/>
      <c r="D882" s="152"/>
    </row>
    <row r="883" spans="2:4" ht="15.75" customHeight="1" x14ac:dyDescent="0.3">
      <c r="B883" s="152"/>
      <c r="D883" s="152"/>
    </row>
    <row r="884" spans="2:4" ht="15.75" customHeight="1" x14ac:dyDescent="0.3">
      <c r="B884" s="152"/>
      <c r="D884" s="152"/>
    </row>
    <row r="885" spans="2:4" ht="15.75" customHeight="1" x14ac:dyDescent="0.3">
      <c r="B885" s="152"/>
      <c r="D885" s="152"/>
    </row>
    <row r="886" spans="2:4" ht="15.75" customHeight="1" x14ac:dyDescent="0.3">
      <c r="B886" s="152"/>
      <c r="D886" s="152"/>
    </row>
    <row r="887" spans="2:4" ht="15.75" customHeight="1" x14ac:dyDescent="0.3">
      <c r="B887" s="152"/>
      <c r="D887" s="152"/>
    </row>
    <row r="888" spans="2:4" ht="15.75" customHeight="1" x14ac:dyDescent="0.3">
      <c r="B888" s="152"/>
      <c r="D888" s="152"/>
    </row>
    <row r="889" spans="2:4" ht="15.75" customHeight="1" x14ac:dyDescent="0.3">
      <c r="B889" s="152"/>
      <c r="D889" s="152"/>
    </row>
    <row r="890" spans="2:4" ht="15.75" customHeight="1" x14ac:dyDescent="0.3">
      <c r="B890" s="152"/>
      <c r="D890" s="152"/>
    </row>
    <row r="891" spans="2:4" ht="15.75" customHeight="1" x14ac:dyDescent="0.3">
      <c r="B891" s="152"/>
      <c r="D891" s="152"/>
    </row>
    <row r="892" spans="2:4" ht="15.75" customHeight="1" x14ac:dyDescent="0.3">
      <c r="B892" s="152"/>
      <c r="D892" s="152"/>
    </row>
    <row r="893" spans="2:4" ht="15.75" customHeight="1" x14ac:dyDescent="0.3">
      <c r="B893" s="152"/>
      <c r="D893" s="152"/>
    </row>
    <row r="894" spans="2:4" ht="15.75" customHeight="1" x14ac:dyDescent="0.3">
      <c r="B894" s="152"/>
      <c r="D894" s="152"/>
    </row>
    <row r="895" spans="2:4" ht="15.75" customHeight="1" x14ac:dyDescent="0.3">
      <c r="B895" s="152"/>
      <c r="D895" s="152"/>
    </row>
    <row r="896" spans="2:4" ht="15.75" customHeight="1" x14ac:dyDescent="0.3">
      <c r="B896" s="152"/>
      <c r="D896" s="152"/>
    </row>
    <row r="897" spans="2:4" ht="15.75" customHeight="1" x14ac:dyDescent="0.3">
      <c r="B897" s="152"/>
      <c r="D897" s="152"/>
    </row>
    <row r="898" spans="2:4" ht="15.75" customHeight="1" x14ac:dyDescent="0.3">
      <c r="B898" s="152"/>
      <c r="D898" s="152"/>
    </row>
    <row r="899" spans="2:4" ht="15.75" customHeight="1" x14ac:dyDescent="0.3">
      <c r="B899" s="152"/>
      <c r="D899" s="152"/>
    </row>
    <row r="900" spans="2:4" ht="15.75" customHeight="1" x14ac:dyDescent="0.3">
      <c r="B900" s="152"/>
      <c r="D900" s="152"/>
    </row>
    <row r="901" spans="2:4" ht="15.75" customHeight="1" x14ac:dyDescent="0.3">
      <c r="B901" s="152"/>
      <c r="D901" s="152"/>
    </row>
    <row r="902" spans="2:4" ht="15.75" customHeight="1" x14ac:dyDescent="0.3">
      <c r="B902" s="152"/>
      <c r="D902" s="152"/>
    </row>
    <row r="903" spans="2:4" ht="15.75" customHeight="1" x14ac:dyDescent="0.3">
      <c r="B903" s="152"/>
      <c r="D903" s="152"/>
    </row>
    <row r="904" spans="2:4" ht="15.75" customHeight="1" x14ac:dyDescent="0.3">
      <c r="B904" s="152"/>
      <c r="D904" s="152"/>
    </row>
    <row r="905" spans="2:4" ht="15.75" customHeight="1" x14ac:dyDescent="0.3">
      <c r="B905" s="152"/>
      <c r="D905" s="152"/>
    </row>
    <row r="906" spans="2:4" ht="15.75" customHeight="1" x14ac:dyDescent="0.3">
      <c r="B906" s="152"/>
      <c r="D906" s="152"/>
    </row>
    <row r="907" spans="2:4" ht="15.75" customHeight="1" x14ac:dyDescent="0.3">
      <c r="B907" s="152"/>
      <c r="D907" s="152"/>
    </row>
    <row r="908" spans="2:4" ht="15.75" customHeight="1" x14ac:dyDescent="0.3">
      <c r="B908" s="152"/>
      <c r="D908" s="152"/>
    </row>
    <row r="909" spans="2:4" ht="15.75" customHeight="1" x14ac:dyDescent="0.3">
      <c r="B909" s="152"/>
      <c r="D909" s="152"/>
    </row>
    <row r="910" spans="2:4" ht="15.75" customHeight="1" x14ac:dyDescent="0.3">
      <c r="B910" s="152"/>
      <c r="D910" s="152"/>
    </row>
    <row r="911" spans="2:4" ht="15.75" customHeight="1" x14ac:dyDescent="0.3">
      <c r="B911" s="152"/>
      <c r="D911" s="152"/>
    </row>
    <row r="912" spans="2:4" ht="15.75" customHeight="1" x14ac:dyDescent="0.3">
      <c r="B912" s="152"/>
      <c r="D912" s="152"/>
    </row>
    <row r="913" spans="2:4" ht="15.75" customHeight="1" x14ac:dyDescent="0.3">
      <c r="B913" s="152"/>
      <c r="D913" s="152"/>
    </row>
    <row r="914" spans="2:4" ht="15.75" customHeight="1" x14ac:dyDescent="0.3">
      <c r="B914" s="152"/>
      <c r="D914" s="152"/>
    </row>
    <row r="915" spans="2:4" ht="15.75" customHeight="1" x14ac:dyDescent="0.3">
      <c r="B915" s="152"/>
      <c r="D915" s="152"/>
    </row>
    <row r="916" spans="2:4" ht="15.75" customHeight="1" x14ac:dyDescent="0.3">
      <c r="B916" s="152"/>
      <c r="D916" s="152"/>
    </row>
    <row r="917" spans="2:4" ht="15.75" customHeight="1" x14ac:dyDescent="0.3">
      <c r="B917" s="152"/>
      <c r="D917" s="152"/>
    </row>
    <row r="918" spans="2:4" ht="15.75" customHeight="1" x14ac:dyDescent="0.3">
      <c r="B918" s="152"/>
      <c r="D918" s="152"/>
    </row>
    <row r="919" spans="2:4" ht="15.75" customHeight="1" x14ac:dyDescent="0.3">
      <c r="B919" s="152"/>
      <c r="D919" s="152"/>
    </row>
    <row r="920" spans="2:4" ht="15.75" customHeight="1" x14ac:dyDescent="0.3">
      <c r="B920" s="152"/>
      <c r="D920" s="152"/>
    </row>
    <row r="921" spans="2:4" ht="15.75" customHeight="1" x14ac:dyDescent="0.3">
      <c r="B921" s="152"/>
      <c r="D921" s="152"/>
    </row>
    <row r="922" spans="2:4" ht="15.75" customHeight="1" x14ac:dyDescent="0.3">
      <c r="B922" s="152"/>
      <c r="D922" s="152"/>
    </row>
    <row r="923" spans="2:4" ht="15.75" customHeight="1" x14ac:dyDescent="0.3">
      <c r="B923" s="152"/>
      <c r="D923" s="152"/>
    </row>
    <row r="924" spans="2:4" ht="15.75" customHeight="1" x14ac:dyDescent="0.3">
      <c r="B924" s="152"/>
      <c r="D924" s="152"/>
    </row>
    <row r="925" spans="2:4" ht="15.75" customHeight="1" x14ac:dyDescent="0.3">
      <c r="B925" s="152"/>
      <c r="D925" s="152"/>
    </row>
    <row r="926" spans="2:4" ht="15.75" customHeight="1" x14ac:dyDescent="0.3">
      <c r="B926" s="152"/>
      <c r="D926" s="152"/>
    </row>
    <row r="927" spans="2:4" ht="15.75" customHeight="1" x14ac:dyDescent="0.3">
      <c r="B927" s="152"/>
      <c r="D927" s="152"/>
    </row>
    <row r="928" spans="2:4" ht="15.75" customHeight="1" x14ac:dyDescent="0.3">
      <c r="B928" s="152"/>
      <c r="D928" s="152"/>
    </row>
    <row r="929" spans="2:4" ht="15.75" customHeight="1" x14ac:dyDescent="0.3">
      <c r="B929" s="152"/>
      <c r="D929" s="152"/>
    </row>
    <row r="930" spans="2:4" ht="15.75" customHeight="1" x14ac:dyDescent="0.3">
      <c r="B930" s="152"/>
      <c r="D930" s="152"/>
    </row>
    <row r="931" spans="2:4" ht="15.75" customHeight="1" x14ac:dyDescent="0.3">
      <c r="B931" s="152"/>
      <c r="D931" s="152"/>
    </row>
    <row r="932" spans="2:4" ht="15.75" customHeight="1" x14ac:dyDescent="0.3">
      <c r="B932" s="152"/>
      <c r="D932" s="152"/>
    </row>
    <row r="933" spans="2:4" ht="15.75" customHeight="1" x14ac:dyDescent="0.3">
      <c r="B933" s="152"/>
      <c r="D933" s="152"/>
    </row>
    <row r="934" spans="2:4" ht="15.75" customHeight="1" x14ac:dyDescent="0.3">
      <c r="B934" s="152"/>
      <c r="D934" s="152"/>
    </row>
    <row r="935" spans="2:4" ht="15.75" customHeight="1" x14ac:dyDescent="0.3">
      <c r="B935" s="152"/>
      <c r="D935" s="152"/>
    </row>
    <row r="936" spans="2:4" ht="15.75" customHeight="1" x14ac:dyDescent="0.3">
      <c r="B936" s="152"/>
      <c r="D936" s="152"/>
    </row>
    <row r="937" spans="2:4" ht="15.75" customHeight="1" x14ac:dyDescent="0.3">
      <c r="B937" s="152"/>
      <c r="D937" s="152"/>
    </row>
    <row r="938" spans="2:4" ht="15.75" customHeight="1" x14ac:dyDescent="0.3">
      <c r="B938" s="152"/>
      <c r="D938" s="152"/>
    </row>
    <row r="939" spans="2:4" ht="15.75" customHeight="1" x14ac:dyDescent="0.3">
      <c r="B939" s="152"/>
      <c r="D939" s="152"/>
    </row>
    <row r="940" spans="2:4" ht="15.75" customHeight="1" x14ac:dyDescent="0.3">
      <c r="B940" s="152"/>
      <c r="D940" s="152"/>
    </row>
    <row r="941" spans="2:4" ht="15.75" customHeight="1" x14ac:dyDescent="0.3">
      <c r="B941" s="152"/>
      <c r="D941" s="152"/>
    </row>
    <row r="942" spans="2:4" ht="15.75" customHeight="1" x14ac:dyDescent="0.3">
      <c r="B942" s="152"/>
      <c r="D942" s="152"/>
    </row>
    <row r="943" spans="2:4" ht="15.75" customHeight="1" x14ac:dyDescent="0.3">
      <c r="B943" s="152"/>
      <c r="D943" s="152"/>
    </row>
    <row r="944" spans="2:4" ht="15.75" customHeight="1" x14ac:dyDescent="0.3">
      <c r="B944" s="152"/>
      <c r="D944" s="152"/>
    </row>
    <row r="945" spans="2:4" ht="15.75" customHeight="1" x14ac:dyDescent="0.3">
      <c r="B945" s="152"/>
      <c r="D945" s="152"/>
    </row>
    <row r="946" spans="2:4" ht="15.75" customHeight="1" x14ac:dyDescent="0.3">
      <c r="B946" s="152"/>
      <c r="D946" s="152"/>
    </row>
    <row r="947" spans="2:4" ht="15.75" customHeight="1" x14ac:dyDescent="0.3">
      <c r="B947" s="152"/>
      <c r="D947" s="152"/>
    </row>
    <row r="948" spans="2:4" ht="15.75" customHeight="1" x14ac:dyDescent="0.3">
      <c r="B948" s="152"/>
      <c r="D948" s="152"/>
    </row>
    <row r="949" spans="2:4" ht="15.75" customHeight="1" x14ac:dyDescent="0.3">
      <c r="B949" s="152"/>
      <c r="D949" s="152"/>
    </row>
    <row r="950" spans="2:4" ht="15.75" customHeight="1" x14ac:dyDescent="0.3">
      <c r="B950" s="152"/>
      <c r="D950" s="152"/>
    </row>
    <row r="951" spans="2:4" ht="15.75" customHeight="1" x14ac:dyDescent="0.3">
      <c r="B951" s="152"/>
      <c r="D951" s="152"/>
    </row>
    <row r="952" spans="2:4" ht="15.75" customHeight="1" x14ac:dyDescent="0.3">
      <c r="B952" s="152"/>
      <c r="D952" s="152"/>
    </row>
    <row r="953" spans="2:4" ht="15.75" customHeight="1" x14ac:dyDescent="0.3">
      <c r="B953" s="152"/>
      <c r="D953" s="152"/>
    </row>
    <row r="954" spans="2:4" ht="15.75" customHeight="1" x14ac:dyDescent="0.3">
      <c r="B954" s="152"/>
      <c r="D954" s="152"/>
    </row>
    <row r="955" spans="2:4" ht="15.75" customHeight="1" x14ac:dyDescent="0.3">
      <c r="B955" s="152"/>
      <c r="D955" s="152"/>
    </row>
    <row r="956" spans="2:4" ht="15.75" customHeight="1" x14ac:dyDescent="0.3">
      <c r="B956" s="152"/>
      <c r="D956" s="152"/>
    </row>
    <row r="957" spans="2:4" ht="15.75" customHeight="1" x14ac:dyDescent="0.3">
      <c r="B957" s="152"/>
      <c r="D957" s="152"/>
    </row>
    <row r="958" spans="2:4" ht="15.75" customHeight="1" x14ac:dyDescent="0.3">
      <c r="B958" s="152"/>
      <c r="D958" s="152"/>
    </row>
    <row r="959" spans="2:4" ht="15.75" customHeight="1" x14ac:dyDescent="0.3">
      <c r="B959" s="152"/>
      <c r="D959" s="152"/>
    </row>
    <row r="960" spans="2:4" ht="15.75" customHeight="1" x14ac:dyDescent="0.3">
      <c r="B960" s="152"/>
      <c r="D960" s="152"/>
    </row>
    <row r="961" spans="2:4" ht="15.75" customHeight="1" x14ac:dyDescent="0.3">
      <c r="B961" s="152"/>
      <c r="D961" s="152"/>
    </row>
    <row r="962" spans="2:4" ht="15.75" customHeight="1" x14ac:dyDescent="0.3">
      <c r="B962" s="152"/>
      <c r="D962" s="152"/>
    </row>
    <row r="963" spans="2:4" ht="15.75" customHeight="1" x14ac:dyDescent="0.3">
      <c r="B963" s="152"/>
      <c r="D963" s="152"/>
    </row>
    <row r="964" spans="2:4" ht="15.75" customHeight="1" x14ac:dyDescent="0.3">
      <c r="B964" s="152"/>
      <c r="D964" s="152"/>
    </row>
    <row r="965" spans="2:4" ht="15.75" customHeight="1" x14ac:dyDescent="0.3">
      <c r="B965" s="152"/>
      <c r="D965" s="152"/>
    </row>
    <row r="966" spans="2:4" ht="15.75" customHeight="1" x14ac:dyDescent="0.3">
      <c r="B966" s="152"/>
      <c r="D966" s="152"/>
    </row>
    <row r="967" spans="2:4" ht="15.75" customHeight="1" x14ac:dyDescent="0.3">
      <c r="B967" s="152"/>
      <c r="D967" s="152"/>
    </row>
    <row r="968" spans="2:4" ht="15.75" customHeight="1" x14ac:dyDescent="0.3">
      <c r="B968" s="152"/>
      <c r="D968" s="152"/>
    </row>
    <row r="969" spans="2:4" ht="15.75" customHeight="1" x14ac:dyDescent="0.3">
      <c r="B969" s="152"/>
      <c r="D969" s="152"/>
    </row>
    <row r="970" spans="2:4" ht="15.75" customHeight="1" x14ac:dyDescent="0.3">
      <c r="B970" s="152"/>
      <c r="D970" s="152"/>
    </row>
    <row r="971" spans="2:4" ht="15.75" customHeight="1" x14ac:dyDescent="0.3">
      <c r="B971" s="152"/>
      <c r="D971" s="152"/>
    </row>
    <row r="972" spans="2:4" ht="15.75" customHeight="1" x14ac:dyDescent="0.3">
      <c r="B972" s="152"/>
      <c r="D972" s="152"/>
    </row>
    <row r="973" spans="2:4" ht="15.75" customHeight="1" x14ac:dyDescent="0.3">
      <c r="B973" s="152"/>
      <c r="D973" s="152"/>
    </row>
    <row r="974" spans="2:4" ht="15.75" customHeight="1" x14ac:dyDescent="0.3">
      <c r="B974" s="152"/>
      <c r="D974" s="152"/>
    </row>
    <row r="975" spans="2:4" ht="15.75" customHeight="1" x14ac:dyDescent="0.3">
      <c r="B975" s="152"/>
      <c r="D975" s="152"/>
    </row>
    <row r="976" spans="2:4" ht="15.75" customHeight="1" x14ac:dyDescent="0.3">
      <c r="B976" s="152"/>
      <c r="D976" s="152"/>
    </row>
    <row r="977" spans="2:4" ht="15.75" customHeight="1" x14ac:dyDescent="0.3">
      <c r="B977" s="152"/>
      <c r="D977" s="152"/>
    </row>
    <row r="978" spans="2:4" ht="15.75" customHeight="1" x14ac:dyDescent="0.3">
      <c r="B978" s="152"/>
      <c r="D978" s="152"/>
    </row>
    <row r="979" spans="2:4" ht="15.75" customHeight="1" x14ac:dyDescent="0.3">
      <c r="B979" s="152"/>
      <c r="D979" s="152"/>
    </row>
    <row r="980" spans="2:4" ht="15.75" customHeight="1" x14ac:dyDescent="0.3">
      <c r="B980" s="152"/>
      <c r="D980" s="152"/>
    </row>
    <row r="981" spans="2:4" ht="15.75" customHeight="1" x14ac:dyDescent="0.3">
      <c r="B981" s="152"/>
      <c r="D981" s="152"/>
    </row>
    <row r="982" spans="2:4" ht="15.75" customHeight="1" x14ac:dyDescent="0.3">
      <c r="B982" s="152"/>
      <c r="D982" s="152"/>
    </row>
    <row r="983" spans="2:4" ht="15.75" customHeight="1" x14ac:dyDescent="0.3">
      <c r="B983" s="152"/>
      <c r="D983" s="152"/>
    </row>
    <row r="984" spans="2:4" ht="15.75" customHeight="1" x14ac:dyDescent="0.3">
      <c r="B984" s="152"/>
      <c r="D984" s="152"/>
    </row>
    <row r="985" spans="2:4" ht="15.75" customHeight="1" x14ac:dyDescent="0.3">
      <c r="B985" s="152"/>
      <c r="D985" s="152"/>
    </row>
    <row r="986" spans="2:4" ht="15.75" customHeight="1" x14ac:dyDescent="0.3">
      <c r="B986" s="152"/>
      <c r="D986" s="152"/>
    </row>
    <row r="987" spans="2:4" ht="15.75" customHeight="1" x14ac:dyDescent="0.3">
      <c r="B987" s="152"/>
      <c r="D987" s="152"/>
    </row>
    <row r="988" spans="2:4" ht="15.75" customHeight="1" x14ac:dyDescent="0.3">
      <c r="B988" s="152"/>
      <c r="D988" s="152"/>
    </row>
    <row r="989" spans="2:4" ht="15.75" customHeight="1" x14ac:dyDescent="0.3">
      <c r="B989" s="152"/>
      <c r="D989" s="152"/>
    </row>
    <row r="990" spans="2:4" ht="15.75" customHeight="1" x14ac:dyDescent="0.3">
      <c r="B990" s="152"/>
      <c r="D990" s="152"/>
    </row>
    <row r="991" spans="2:4" ht="15.75" customHeight="1" x14ac:dyDescent="0.3">
      <c r="B991" s="152"/>
      <c r="D991" s="152"/>
    </row>
    <row r="992" spans="2:4" ht="15.75" customHeight="1" x14ac:dyDescent="0.3">
      <c r="B992" s="152"/>
      <c r="D992" s="152"/>
    </row>
    <row r="993" spans="2:4" ht="15.75" customHeight="1" x14ac:dyDescent="0.3">
      <c r="B993" s="152"/>
      <c r="D993" s="152"/>
    </row>
    <row r="994" spans="2:4" ht="15.75" customHeight="1" x14ac:dyDescent="0.3">
      <c r="B994" s="152"/>
      <c r="D994" s="152"/>
    </row>
    <row r="995" spans="2:4" ht="15.75" customHeight="1" x14ac:dyDescent="0.3">
      <c r="B995" s="152"/>
      <c r="D995" s="152"/>
    </row>
    <row r="996" spans="2:4" ht="15.75" customHeight="1" x14ac:dyDescent="0.3">
      <c r="B996" s="152"/>
      <c r="D996" s="152"/>
    </row>
    <row r="997" spans="2:4" ht="15.75" customHeight="1" x14ac:dyDescent="0.3">
      <c r="B997" s="152"/>
      <c r="D997" s="152"/>
    </row>
    <row r="998" spans="2:4" ht="15.75" customHeight="1" x14ac:dyDescent="0.3">
      <c r="B998" s="152"/>
      <c r="D998" s="152"/>
    </row>
    <row r="999" spans="2:4" ht="15.75" customHeight="1" x14ac:dyDescent="0.3">
      <c r="B999" s="152"/>
      <c r="D999" s="152"/>
    </row>
    <row r="1000" spans="2:4" ht="15.75" customHeight="1" x14ac:dyDescent="0.3">
      <c r="B1000" s="152"/>
      <c r="D1000" s="152"/>
    </row>
    <row r="1001" spans="2:4" ht="15.75" customHeight="1" x14ac:dyDescent="0.3">
      <c r="B1001" s="152"/>
      <c r="D1001" s="152"/>
    </row>
    <row r="1002" spans="2:4" ht="15.75" customHeight="1" x14ac:dyDescent="0.3">
      <c r="B1002" s="152"/>
      <c r="D1002" s="152"/>
    </row>
    <row r="1003" spans="2:4" ht="15.75" customHeight="1" x14ac:dyDescent="0.3">
      <c r="B1003" s="152"/>
      <c r="D1003" s="152"/>
    </row>
    <row r="1004" spans="2:4" ht="15.75" customHeight="1" x14ac:dyDescent="0.3">
      <c r="B1004" s="152"/>
      <c r="D1004" s="152"/>
    </row>
    <row r="1005" spans="2:4" ht="15.75" customHeight="1" x14ac:dyDescent="0.3">
      <c r="B1005" s="152"/>
      <c r="D1005" s="152"/>
    </row>
    <row r="1006" spans="2:4" ht="15.75" customHeight="1" x14ac:dyDescent="0.3">
      <c r="B1006" s="152"/>
      <c r="D1006" s="152"/>
    </row>
    <row r="1007" spans="2:4" ht="15.75" customHeight="1" x14ac:dyDescent="0.3">
      <c r="B1007" s="152"/>
      <c r="D1007" s="152"/>
    </row>
    <row r="1008" spans="2:4" ht="15.75" customHeight="1" x14ac:dyDescent="0.3">
      <c r="B1008" s="152"/>
      <c r="D1008" s="152"/>
    </row>
    <row r="1009" spans="2:4" ht="15.75" customHeight="1" x14ac:dyDescent="0.3">
      <c r="B1009" s="152"/>
      <c r="D1009" s="152"/>
    </row>
    <row r="1010" spans="2:4" ht="15.75" customHeight="1" x14ac:dyDescent="0.3">
      <c r="B1010" s="152"/>
      <c r="D1010" s="152"/>
    </row>
    <row r="1011" spans="2:4" ht="15.75" customHeight="1" x14ac:dyDescent="0.3">
      <c r="B1011" s="152"/>
      <c r="D1011" s="152"/>
    </row>
    <row r="1012" spans="2:4" ht="15.75" customHeight="1" x14ac:dyDescent="0.3">
      <c r="B1012" s="152"/>
      <c r="D1012" s="152"/>
    </row>
    <row r="1013" spans="2:4" ht="15.75" customHeight="1" x14ac:dyDescent="0.3">
      <c r="B1013" s="152"/>
      <c r="D1013" s="152"/>
    </row>
    <row r="1014" spans="2:4" ht="15.75" customHeight="1" x14ac:dyDescent="0.3">
      <c r="B1014" s="152"/>
      <c r="D1014" s="152"/>
    </row>
    <row r="1015" spans="2:4" ht="15.75" customHeight="1" x14ac:dyDescent="0.3">
      <c r="B1015" s="152"/>
      <c r="D1015" s="152"/>
    </row>
    <row r="1016" spans="2:4" ht="15.75" customHeight="1" x14ac:dyDescent="0.3">
      <c r="B1016" s="152"/>
      <c r="D1016" s="152"/>
    </row>
    <row r="1017" spans="2:4" ht="15.75" customHeight="1" x14ac:dyDescent="0.3">
      <c r="B1017" s="152"/>
      <c r="D1017" s="152"/>
    </row>
    <row r="1018" spans="2:4" ht="15.75" customHeight="1" x14ac:dyDescent="0.3">
      <c r="B1018" s="152"/>
      <c r="D1018" s="152"/>
    </row>
    <row r="1019" spans="2:4" ht="15.75" customHeight="1" x14ac:dyDescent="0.3">
      <c r="B1019" s="152"/>
      <c r="D1019" s="152"/>
    </row>
    <row r="1020" spans="2:4" ht="15.75" customHeight="1" x14ac:dyDescent="0.3">
      <c r="B1020" s="152"/>
      <c r="D1020" s="152"/>
    </row>
    <row r="1021" spans="2:4" ht="15.75" customHeight="1" x14ac:dyDescent="0.3">
      <c r="B1021" s="152"/>
      <c r="D1021" s="152"/>
    </row>
    <row r="1022" spans="2:4" ht="15.75" customHeight="1" x14ac:dyDescent="0.3">
      <c r="B1022" s="152"/>
      <c r="D1022" s="152"/>
    </row>
    <row r="1023" spans="2:4" ht="15.75" customHeight="1" x14ac:dyDescent="0.3">
      <c r="B1023" s="152"/>
      <c r="D1023" s="152"/>
    </row>
    <row r="1024" spans="2:4" ht="15.75" customHeight="1" x14ac:dyDescent="0.3">
      <c r="B1024" s="152"/>
      <c r="D1024" s="152"/>
    </row>
    <row r="1025" spans="2:4" ht="15.75" customHeight="1" x14ac:dyDescent="0.3">
      <c r="B1025" s="152"/>
      <c r="D1025" s="152"/>
    </row>
    <row r="1026" spans="2:4" ht="15.75" customHeight="1" x14ac:dyDescent="0.3">
      <c r="B1026" s="152"/>
      <c r="D1026" s="152"/>
    </row>
    <row r="1027" spans="2:4" ht="15.75" customHeight="1" x14ac:dyDescent="0.3">
      <c r="B1027" s="152"/>
      <c r="D1027" s="152"/>
    </row>
    <row r="1028" spans="2:4" ht="15.75" customHeight="1" x14ac:dyDescent="0.3">
      <c r="B1028" s="152"/>
      <c r="D1028" s="152"/>
    </row>
    <row r="1029" spans="2:4" ht="15.75" customHeight="1" x14ac:dyDescent="0.3">
      <c r="B1029" s="152"/>
      <c r="D1029" s="152"/>
    </row>
    <row r="1030" spans="2:4" ht="15.75" customHeight="1" x14ac:dyDescent="0.3">
      <c r="B1030" s="152"/>
      <c r="D1030" s="152"/>
    </row>
    <row r="1031" spans="2:4" ht="15.75" customHeight="1" x14ac:dyDescent="0.3">
      <c r="B1031" s="152"/>
      <c r="D1031" s="152"/>
    </row>
    <row r="1032" spans="2:4" ht="15.75" customHeight="1" x14ac:dyDescent="0.3">
      <c r="B1032" s="152"/>
      <c r="D1032" s="152"/>
    </row>
    <row r="1033" spans="2:4" ht="15.75" customHeight="1" x14ac:dyDescent="0.3">
      <c r="B1033" s="152"/>
      <c r="D1033" s="152"/>
    </row>
    <row r="1034" spans="2:4" ht="15.75" customHeight="1" x14ac:dyDescent="0.3">
      <c r="B1034" s="152"/>
      <c r="D1034" s="152"/>
    </row>
    <row r="1035" spans="2:4" ht="15.75" customHeight="1" x14ac:dyDescent="0.3">
      <c r="B1035" s="152"/>
      <c r="D1035" s="152"/>
    </row>
    <row r="1036" spans="2:4" ht="15.75" customHeight="1" x14ac:dyDescent="0.3">
      <c r="B1036" s="152"/>
      <c r="D1036" s="152"/>
    </row>
    <row r="1037" spans="2:4" ht="15.75" customHeight="1" x14ac:dyDescent="0.3">
      <c r="B1037" s="152"/>
      <c r="D1037" s="152"/>
    </row>
    <row r="1038" spans="2:4" ht="15.75" customHeight="1" x14ac:dyDescent="0.3">
      <c r="B1038" s="152"/>
      <c r="D1038" s="152"/>
    </row>
    <row r="1039" spans="2:4" ht="15.75" customHeight="1" x14ac:dyDescent="0.3">
      <c r="B1039" s="152"/>
      <c r="D1039" s="152"/>
    </row>
    <row r="1040" spans="2:4" ht="15.75" customHeight="1" x14ac:dyDescent="0.3">
      <c r="B1040" s="152"/>
      <c r="D1040" s="152"/>
    </row>
  </sheetData>
  <mergeCells count="7">
    <mergeCell ref="A2:F2"/>
    <mergeCell ref="A3:B3"/>
    <mergeCell ref="A5:A6"/>
    <mergeCell ref="B5:B6"/>
    <mergeCell ref="C5:C6"/>
    <mergeCell ref="D5:D6"/>
    <mergeCell ref="E5:G5"/>
  </mergeCells>
  <pageMargins left="0.7" right="0.7" top="0.75" bottom="0.75" header="0" footer="0"/>
  <pageSetup paperSize="9" scale="97" orientation="portrait"/>
  <headerFooter>
    <oddFooter>&amp;L000000Open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topLeftCell="A56" workbookViewId="0">
      <selection activeCell="C68" sqref="C68"/>
    </sheetView>
  </sheetViews>
  <sheetFormatPr defaultColWidth="14.44140625" defaultRowHeight="15" customHeight="1" x14ac:dyDescent="0.3"/>
  <cols>
    <col min="1" max="1" width="7.44140625" style="148" customWidth="1"/>
    <col min="2" max="2" width="8.77734375" style="148" customWidth="1"/>
    <col min="3" max="3" width="31.88671875" customWidth="1"/>
    <col min="4" max="4" width="13.44140625" style="148" customWidth="1"/>
    <col min="5" max="5" width="10" customWidth="1"/>
    <col min="6" max="6" width="6.88671875" customWidth="1"/>
    <col min="7" max="7" width="5.6640625" customWidth="1"/>
    <col min="8" max="8" width="4.44140625" customWidth="1"/>
    <col min="9" max="9" width="4.109375" customWidth="1"/>
    <col min="10" max="10" width="5.109375" customWidth="1"/>
    <col min="11" max="11" width="4.33203125" customWidth="1"/>
    <col min="12" max="12" width="3.88671875" customWidth="1"/>
    <col min="13" max="14" width="4.88671875" customWidth="1"/>
    <col min="15" max="15" width="5" customWidth="1"/>
    <col min="16" max="16" width="4.6640625" customWidth="1"/>
    <col min="17" max="17" width="5" customWidth="1"/>
    <col min="18" max="18" width="6.88671875" customWidth="1"/>
    <col min="19" max="19" width="10.6640625" style="148" customWidth="1"/>
    <col min="20" max="26" width="10.6640625" customWidth="1"/>
  </cols>
  <sheetData>
    <row r="1" spans="1:26" ht="14.4" x14ac:dyDescent="0.3">
      <c r="B1" s="152"/>
      <c r="D1" s="152"/>
    </row>
    <row r="2" spans="1:26" ht="21" x14ac:dyDescent="0.4">
      <c r="A2" s="376" t="s">
        <v>686</v>
      </c>
      <c r="B2" s="377"/>
      <c r="C2" s="377"/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40"/>
    </row>
    <row r="3" spans="1:26" ht="21" x14ac:dyDescent="0.4">
      <c r="A3" s="376" t="s">
        <v>687</v>
      </c>
      <c r="B3" s="377"/>
      <c r="C3" s="41">
        <f>E143+R143</f>
        <v>5420</v>
      </c>
      <c r="D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U3" t="s">
        <v>1137</v>
      </c>
      <c r="V3" s="20" t="e">
        <f>#REF!</f>
        <v>#REF!</v>
      </c>
      <c r="W3" s="42" t="e">
        <f>V3-C3</f>
        <v>#REF!</v>
      </c>
      <c r="Y3" s="20">
        <v>4360</v>
      </c>
    </row>
    <row r="4" spans="1:26" ht="14.4" x14ac:dyDescent="0.3">
      <c r="B4" s="152"/>
      <c r="D4" s="152"/>
      <c r="Y4" s="20">
        <v>408</v>
      </c>
    </row>
    <row r="5" spans="1:26" ht="14.4" x14ac:dyDescent="0.3">
      <c r="A5" s="378" t="s">
        <v>3</v>
      </c>
      <c r="B5" s="380" t="s">
        <v>688</v>
      </c>
      <c r="C5" s="378" t="s">
        <v>689</v>
      </c>
      <c r="D5" s="380" t="s">
        <v>690</v>
      </c>
      <c r="E5" s="385" t="s">
        <v>691</v>
      </c>
      <c r="F5" s="382" t="s">
        <v>692</v>
      </c>
      <c r="G5" s="383"/>
      <c r="H5" s="383"/>
      <c r="I5" s="383"/>
      <c r="J5" s="383"/>
      <c r="K5" s="383"/>
      <c r="L5" s="383"/>
      <c r="M5" s="383"/>
      <c r="N5" s="383"/>
      <c r="O5" s="383"/>
      <c r="P5" s="383"/>
      <c r="Q5" s="383"/>
      <c r="R5" s="384"/>
      <c r="S5" s="63"/>
    </row>
    <row r="6" spans="1:26" ht="14.4" x14ac:dyDescent="0.3">
      <c r="A6" s="381"/>
      <c r="B6" s="381"/>
      <c r="C6" s="379"/>
      <c r="D6" s="381"/>
      <c r="E6" s="386"/>
      <c r="F6" s="43" t="s">
        <v>693</v>
      </c>
      <c r="G6" s="43" t="s">
        <v>694</v>
      </c>
      <c r="H6" s="43" t="s">
        <v>695</v>
      </c>
      <c r="I6" s="43" t="s">
        <v>696</v>
      </c>
      <c r="J6" s="43" t="s">
        <v>697</v>
      </c>
      <c r="K6" s="43" t="s">
        <v>698</v>
      </c>
      <c r="L6" s="43" t="s">
        <v>699</v>
      </c>
      <c r="M6" s="43" t="s">
        <v>700</v>
      </c>
      <c r="N6" s="43" t="s">
        <v>701</v>
      </c>
      <c r="O6" s="43" t="s">
        <v>702</v>
      </c>
      <c r="P6" s="43" t="s">
        <v>703</v>
      </c>
      <c r="Q6" s="43" t="s">
        <v>704</v>
      </c>
      <c r="R6" s="43" t="s">
        <v>705</v>
      </c>
      <c r="S6" s="63"/>
      <c r="Y6" s="20">
        <f>Y3+Y4+Y5</f>
        <v>4768</v>
      </c>
    </row>
    <row r="7" spans="1:26" ht="14.4" x14ac:dyDescent="0.3">
      <c r="A7" s="337">
        <v>1</v>
      </c>
      <c r="B7" s="366" t="s">
        <v>636</v>
      </c>
      <c r="C7" s="271" t="s">
        <v>638</v>
      </c>
      <c r="D7" s="262" t="s">
        <v>706</v>
      </c>
      <c r="E7" s="263"/>
      <c r="F7" s="233">
        <v>10</v>
      </c>
      <c r="G7" s="234">
        <v>10</v>
      </c>
      <c r="H7" s="234">
        <v>10</v>
      </c>
      <c r="I7" s="234">
        <v>10</v>
      </c>
      <c r="J7" s="234">
        <v>10</v>
      </c>
      <c r="K7" s="234">
        <v>10</v>
      </c>
      <c r="L7" s="234">
        <v>10</v>
      </c>
      <c r="M7" s="234">
        <v>10</v>
      </c>
      <c r="N7" s="234">
        <v>10</v>
      </c>
      <c r="O7" s="234">
        <v>10</v>
      </c>
      <c r="P7" s="234">
        <v>10</v>
      </c>
      <c r="Q7" s="234">
        <v>10</v>
      </c>
      <c r="R7" s="234">
        <v>120</v>
      </c>
      <c r="S7" s="235"/>
      <c r="T7" s="236" t="s">
        <v>1033</v>
      </c>
      <c r="U7" s="236"/>
      <c r="V7" s="272"/>
      <c r="W7" s="245"/>
      <c r="Y7" s="20">
        <v>276.8</v>
      </c>
    </row>
    <row r="8" spans="1:26" ht="14.4" x14ac:dyDescent="0.3">
      <c r="A8" s="120">
        <v>2</v>
      </c>
      <c r="B8" s="206" t="s">
        <v>455</v>
      </c>
      <c r="C8" s="44" t="s">
        <v>708</v>
      </c>
      <c r="D8" s="153" t="s">
        <v>709</v>
      </c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65"/>
      <c r="S8" s="149"/>
      <c r="Y8" s="20">
        <f>Y6-Y7</f>
        <v>4491.2</v>
      </c>
    </row>
    <row r="9" spans="1:26" ht="14.4" x14ac:dyDescent="0.3">
      <c r="A9" s="337">
        <v>3</v>
      </c>
      <c r="B9" s="262" t="s">
        <v>103</v>
      </c>
      <c r="C9" s="263" t="s">
        <v>936</v>
      </c>
      <c r="D9" s="262" t="s">
        <v>711</v>
      </c>
      <c r="E9" s="263"/>
      <c r="F9" s="265">
        <v>10</v>
      </c>
      <c r="G9" s="266">
        <v>10</v>
      </c>
      <c r="H9" s="266">
        <v>10</v>
      </c>
      <c r="I9" s="266">
        <v>10</v>
      </c>
      <c r="J9" s="266">
        <v>10</v>
      </c>
      <c r="K9" s="266">
        <v>10</v>
      </c>
      <c r="L9" s="266">
        <v>10</v>
      </c>
      <c r="M9" s="266">
        <v>10</v>
      </c>
      <c r="N9" s="266">
        <v>10</v>
      </c>
      <c r="O9" s="266">
        <v>10</v>
      </c>
      <c r="P9" s="266">
        <v>10</v>
      </c>
      <c r="Q9" s="266">
        <v>10</v>
      </c>
      <c r="R9" s="266">
        <v>120</v>
      </c>
      <c r="S9" s="267">
        <v>480</v>
      </c>
      <c r="T9" s="268" t="s">
        <v>1136</v>
      </c>
      <c r="U9" s="269"/>
      <c r="V9" s="270"/>
      <c r="W9" s="245"/>
    </row>
    <row r="10" spans="1:26" ht="14.4" x14ac:dyDescent="0.3">
      <c r="A10" s="338">
        <v>4</v>
      </c>
      <c r="B10" s="232" t="s">
        <v>283</v>
      </c>
      <c r="C10" s="231" t="s">
        <v>712</v>
      </c>
      <c r="D10" s="232" t="s">
        <v>713</v>
      </c>
      <c r="E10" s="231"/>
      <c r="F10" s="231">
        <v>10</v>
      </c>
      <c r="G10" s="231">
        <v>10</v>
      </c>
      <c r="H10" s="231">
        <v>10</v>
      </c>
      <c r="I10" s="231">
        <v>10</v>
      </c>
      <c r="J10" s="231">
        <v>10</v>
      </c>
      <c r="K10" s="231">
        <v>10</v>
      </c>
      <c r="L10" s="231">
        <v>10</v>
      </c>
      <c r="M10" s="231">
        <v>10</v>
      </c>
      <c r="N10" s="231">
        <v>10</v>
      </c>
      <c r="O10" s="231">
        <v>10</v>
      </c>
      <c r="P10" s="231">
        <v>10</v>
      </c>
      <c r="Q10" s="231">
        <v>10</v>
      </c>
      <c r="R10" s="231">
        <f>SUM(F10:Q10)</f>
        <v>120</v>
      </c>
      <c r="S10" s="235"/>
      <c r="T10" s="236" t="s">
        <v>1034</v>
      </c>
      <c r="U10" s="236"/>
      <c r="V10" s="258"/>
      <c r="W10" s="245"/>
    </row>
    <row r="11" spans="1:26" ht="14.4" x14ac:dyDescent="0.3">
      <c r="A11" s="120">
        <v>5</v>
      </c>
      <c r="B11" s="153" t="s">
        <v>39</v>
      </c>
      <c r="C11" s="14" t="s">
        <v>715</v>
      </c>
      <c r="D11" s="153" t="s">
        <v>716</v>
      </c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65"/>
      <c r="S11" s="149"/>
    </row>
    <row r="12" spans="1:26" ht="14.4" x14ac:dyDescent="0.3">
      <c r="A12" s="338">
        <v>6</v>
      </c>
      <c r="B12" s="232" t="s">
        <v>200</v>
      </c>
      <c r="C12" s="260" t="s">
        <v>202</v>
      </c>
      <c r="D12" s="232" t="s">
        <v>718</v>
      </c>
      <c r="E12" s="231"/>
      <c r="F12" s="231">
        <v>10</v>
      </c>
      <c r="G12" s="231">
        <v>10</v>
      </c>
      <c r="H12" s="231">
        <v>10</v>
      </c>
      <c r="I12" s="231">
        <v>10</v>
      </c>
      <c r="J12" s="231">
        <v>10</v>
      </c>
      <c r="K12" s="231">
        <v>10</v>
      </c>
      <c r="L12" s="231">
        <v>10</v>
      </c>
      <c r="M12" s="231">
        <v>10</v>
      </c>
      <c r="N12" s="231">
        <v>10</v>
      </c>
      <c r="O12" s="231">
        <v>10</v>
      </c>
      <c r="P12" s="231">
        <v>10</v>
      </c>
      <c r="Q12" s="231">
        <v>10</v>
      </c>
      <c r="R12" s="231">
        <f>SUM(F12:Q12)</f>
        <v>120</v>
      </c>
      <c r="S12" s="235"/>
      <c r="T12" s="236" t="s">
        <v>1035</v>
      </c>
      <c r="U12" s="236"/>
      <c r="V12" s="236"/>
      <c r="W12" s="245"/>
    </row>
    <row r="13" spans="1:26" ht="14.4" x14ac:dyDescent="0.3">
      <c r="A13" s="339">
        <v>7</v>
      </c>
      <c r="B13" s="255" t="s">
        <v>402</v>
      </c>
      <c r="C13" s="253" t="s">
        <v>720</v>
      </c>
      <c r="D13" s="255" t="s">
        <v>963</v>
      </c>
      <c r="E13" s="253"/>
      <c r="F13" s="253">
        <v>10</v>
      </c>
      <c r="G13" s="253">
        <v>10</v>
      </c>
      <c r="H13" s="253">
        <v>10</v>
      </c>
      <c r="I13" s="253">
        <v>10</v>
      </c>
      <c r="J13" s="253">
        <v>10</v>
      </c>
      <c r="K13" s="253">
        <v>10</v>
      </c>
      <c r="L13" s="253">
        <v>10</v>
      </c>
      <c r="M13" s="253">
        <v>10</v>
      </c>
      <c r="N13" s="253">
        <v>10</v>
      </c>
      <c r="O13" s="253">
        <v>10</v>
      </c>
      <c r="P13" s="253">
        <v>10</v>
      </c>
      <c r="Q13" s="253">
        <v>10</v>
      </c>
      <c r="R13" s="253">
        <f>SUM(F13:Q13)</f>
        <v>120</v>
      </c>
      <c r="S13" s="256"/>
      <c r="T13" s="257" t="s">
        <v>1140</v>
      </c>
      <c r="U13" s="246"/>
      <c r="V13" s="246"/>
      <c r="W13" s="245"/>
    </row>
    <row r="14" spans="1:26" ht="14.4" x14ac:dyDescent="0.3">
      <c r="A14" s="339">
        <v>8</v>
      </c>
      <c r="B14" s="255" t="s">
        <v>54</v>
      </c>
      <c r="C14" s="254" t="s">
        <v>1017</v>
      </c>
      <c r="D14" s="255" t="s">
        <v>722</v>
      </c>
      <c r="E14" s="253"/>
      <c r="F14" s="253">
        <v>10</v>
      </c>
      <c r="G14" s="253">
        <v>10</v>
      </c>
      <c r="H14" s="253">
        <v>10</v>
      </c>
      <c r="I14" s="253">
        <v>10</v>
      </c>
      <c r="J14" s="253">
        <v>10</v>
      </c>
      <c r="K14" s="253">
        <v>10</v>
      </c>
      <c r="L14" s="253">
        <v>10</v>
      </c>
      <c r="M14" s="253">
        <v>10</v>
      </c>
      <c r="N14" s="253">
        <v>10</v>
      </c>
      <c r="O14" s="253">
        <v>10</v>
      </c>
      <c r="P14" s="253">
        <v>10</v>
      </c>
      <c r="Q14" s="253">
        <v>10</v>
      </c>
      <c r="R14" s="253">
        <f>SUM(F14:Q14)</f>
        <v>120</v>
      </c>
      <c r="S14" s="256"/>
      <c r="T14" s="257" t="s">
        <v>1130</v>
      </c>
      <c r="U14" s="246"/>
      <c r="V14" s="246"/>
      <c r="W14" s="246"/>
      <c r="X14" s="53"/>
      <c r="Y14" s="53"/>
      <c r="Z14" s="53"/>
    </row>
    <row r="15" spans="1:26" ht="14.4" x14ac:dyDescent="0.3">
      <c r="A15" s="120">
        <v>9</v>
      </c>
      <c r="B15" s="153" t="s">
        <v>423</v>
      </c>
      <c r="C15" s="44" t="s">
        <v>425</v>
      </c>
      <c r="D15" s="153" t="s">
        <v>723</v>
      </c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65"/>
      <c r="S15" s="149"/>
    </row>
    <row r="16" spans="1:26" ht="14.4" x14ac:dyDescent="0.3">
      <c r="A16" s="120">
        <v>10</v>
      </c>
      <c r="B16" s="153" t="s">
        <v>430</v>
      </c>
      <c r="C16" s="14" t="s">
        <v>1018</v>
      </c>
      <c r="D16" s="153" t="s">
        <v>724</v>
      </c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149"/>
      <c r="T16" s="53"/>
      <c r="U16" s="53"/>
      <c r="V16" s="53"/>
    </row>
    <row r="17" spans="1:23" ht="14.4" x14ac:dyDescent="0.3">
      <c r="A17" s="120">
        <v>11</v>
      </c>
      <c r="B17" s="153" t="s">
        <v>72</v>
      </c>
      <c r="C17" s="14" t="s">
        <v>74</v>
      </c>
      <c r="D17" s="153" t="s">
        <v>725</v>
      </c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149"/>
    </row>
    <row r="18" spans="1:23" ht="14.4" x14ac:dyDescent="0.3">
      <c r="A18" s="120">
        <v>12</v>
      </c>
      <c r="B18" s="153" t="s">
        <v>335</v>
      </c>
      <c r="C18" s="14" t="s">
        <v>337</v>
      </c>
      <c r="D18" s="153" t="s">
        <v>726</v>
      </c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65"/>
      <c r="S18" s="149"/>
    </row>
    <row r="19" spans="1:23" ht="14.4" x14ac:dyDescent="0.3">
      <c r="A19" s="337">
        <v>13</v>
      </c>
      <c r="B19" s="262" t="s">
        <v>519</v>
      </c>
      <c r="C19" s="263" t="s">
        <v>521</v>
      </c>
      <c r="D19" s="262" t="s">
        <v>727</v>
      </c>
      <c r="E19" s="263"/>
      <c r="F19" s="233">
        <v>10</v>
      </c>
      <c r="G19" s="234">
        <v>10</v>
      </c>
      <c r="H19" s="234">
        <v>10</v>
      </c>
      <c r="I19" s="234">
        <v>10</v>
      </c>
      <c r="J19" s="234">
        <v>10</v>
      </c>
      <c r="K19" s="234">
        <v>10</v>
      </c>
      <c r="L19" s="234">
        <v>10</v>
      </c>
      <c r="M19" s="234">
        <v>10</v>
      </c>
      <c r="N19" s="234">
        <v>10</v>
      </c>
      <c r="O19" s="234">
        <v>10</v>
      </c>
      <c r="P19" s="234">
        <v>10</v>
      </c>
      <c r="Q19" s="234">
        <v>10</v>
      </c>
      <c r="R19" s="234">
        <v>120</v>
      </c>
      <c r="S19" s="235"/>
      <c r="T19" s="236" t="s">
        <v>1033</v>
      </c>
      <c r="U19" s="236"/>
      <c r="V19" s="246"/>
      <c r="W19" s="245"/>
    </row>
    <row r="20" spans="1:23" ht="14.4" x14ac:dyDescent="0.3">
      <c r="A20" s="338">
        <v>14</v>
      </c>
      <c r="B20" s="238" t="s">
        <v>372</v>
      </c>
      <c r="C20" s="237" t="s">
        <v>374</v>
      </c>
      <c r="D20" s="238" t="s">
        <v>729</v>
      </c>
      <c r="E20" s="239"/>
      <c r="F20" s="231">
        <v>10</v>
      </c>
      <c r="G20" s="231">
        <v>10</v>
      </c>
      <c r="H20" s="231">
        <v>10</v>
      </c>
      <c r="I20" s="231">
        <v>10</v>
      </c>
      <c r="J20" s="231">
        <v>10</v>
      </c>
      <c r="K20" s="231">
        <v>10</v>
      </c>
      <c r="L20" s="231">
        <v>10</v>
      </c>
      <c r="M20" s="231">
        <v>10</v>
      </c>
      <c r="N20" s="231">
        <v>10</v>
      </c>
      <c r="O20" s="231">
        <v>10</v>
      </c>
      <c r="P20" s="231">
        <v>10</v>
      </c>
      <c r="Q20" s="231">
        <v>10</v>
      </c>
      <c r="R20" s="231">
        <v>120</v>
      </c>
      <c r="S20" s="235"/>
      <c r="T20" s="236" t="s">
        <v>1036</v>
      </c>
      <c r="U20" s="236"/>
      <c r="V20" s="246"/>
      <c r="W20" s="245"/>
    </row>
    <row r="21" spans="1:23" ht="15.75" customHeight="1" x14ac:dyDescent="0.3">
      <c r="A21" s="338">
        <v>15</v>
      </c>
      <c r="B21" s="232" t="s">
        <v>79</v>
      </c>
      <c r="C21" s="231" t="s">
        <v>1037</v>
      </c>
      <c r="D21" s="232" t="s">
        <v>730</v>
      </c>
      <c r="E21" s="231"/>
      <c r="F21" s="231">
        <v>10</v>
      </c>
      <c r="G21" s="231">
        <v>10</v>
      </c>
      <c r="H21" s="231">
        <v>10</v>
      </c>
      <c r="I21" s="231">
        <v>10</v>
      </c>
      <c r="J21" s="231">
        <v>10</v>
      </c>
      <c r="K21" s="231">
        <v>10</v>
      </c>
      <c r="L21" s="231">
        <v>10</v>
      </c>
      <c r="M21" s="231">
        <v>10</v>
      </c>
      <c r="N21" s="231">
        <v>10</v>
      </c>
      <c r="O21" s="231">
        <v>10</v>
      </c>
      <c r="P21" s="231">
        <v>10</v>
      </c>
      <c r="Q21" s="231">
        <v>10</v>
      </c>
      <c r="R21" s="231">
        <v>120</v>
      </c>
      <c r="S21" s="235"/>
      <c r="T21" s="236" t="s">
        <v>1038</v>
      </c>
      <c r="U21" s="236"/>
      <c r="V21" s="246"/>
      <c r="W21" s="245"/>
    </row>
    <row r="22" spans="1:23" ht="15.75" customHeight="1" x14ac:dyDescent="0.3">
      <c r="A22" s="120">
        <v>16</v>
      </c>
      <c r="B22" s="153" t="s">
        <v>232</v>
      </c>
      <c r="C22" s="14" t="s">
        <v>234</v>
      </c>
      <c r="D22" s="153" t="s">
        <v>731</v>
      </c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149"/>
    </row>
    <row r="23" spans="1:23" ht="15.75" customHeight="1" x14ac:dyDescent="0.3">
      <c r="A23" s="120">
        <v>17</v>
      </c>
      <c r="B23" s="153" t="s">
        <v>503</v>
      </c>
      <c r="C23" s="14" t="s">
        <v>1020</v>
      </c>
      <c r="D23" s="153" t="s">
        <v>732</v>
      </c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149">
        <v>2019</v>
      </c>
      <c r="T23">
        <v>2</v>
      </c>
    </row>
    <row r="24" spans="1:23" ht="15.75" customHeight="1" x14ac:dyDescent="0.3">
      <c r="A24" s="339">
        <v>18</v>
      </c>
      <c r="B24" s="255" t="s">
        <v>556</v>
      </c>
      <c r="C24" s="276" t="s">
        <v>558</v>
      </c>
      <c r="D24" s="255" t="s">
        <v>734</v>
      </c>
      <c r="E24" s="253"/>
      <c r="F24" s="253">
        <v>10</v>
      </c>
      <c r="G24" s="253">
        <v>10</v>
      </c>
      <c r="H24" s="253">
        <v>10</v>
      </c>
      <c r="I24" s="253">
        <v>10</v>
      </c>
      <c r="J24" s="253">
        <v>10</v>
      </c>
      <c r="K24" s="253">
        <v>10</v>
      </c>
      <c r="L24" s="253">
        <v>10</v>
      </c>
      <c r="M24" s="253">
        <v>10</v>
      </c>
      <c r="N24" s="253">
        <v>10</v>
      </c>
      <c r="O24" s="253">
        <v>10</v>
      </c>
      <c r="P24" s="253">
        <v>10</v>
      </c>
      <c r="Q24" s="253">
        <v>10</v>
      </c>
      <c r="R24" s="253">
        <f>SUM(F24:Q24)</f>
        <v>120</v>
      </c>
      <c r="S24" s="256">
        <v>2020</v>
      </c>
      <c r="T24" s="246">
        <v>3</v>
      </c>
      <c r="U24" s="257" t="s">
        <v>1139</v>
      </c>
      <c r="V24" s="246"/>
      <c r="W24" s="245"/>
    </row>
    <row r="25" spans="1:23" ht="15.75" customHeight="1" x14ac:dyDescent="0.3">
      <c r="A25" s="339">
        <v>19</v>
      </c>
      <c r="B25" s="255" t="s">
        <v>595</v>
      </c>
      <c r="C25" s="253" t="s">
        <v>735</v>
      </c>
      <c r="D25" s="255" t="s">
        <v>736</v>
      </c>
      <c r="E25" s="253"/>
      <c r="F25" s="253">
        <v>10</v>
      </c>
      <c r="G25" s="253">
        <v>10</v>
      </c>
      <c r="H25" s="253">
        <v>10</v>
      </c>
      <c r="I25" s="253">
        <v>10</v>
      </c>
      <c r="J25" s="253">
        <v>10</v>
      </c>
      <c r="K25" s="253">
        <v>10</v>
      </c>
      <c r="L25" s="253">
        <v>10</v>
      </c>
      <c r="M25" s="253">
        <v>10</v>
      </c>
      <c r="N25" s="253">
        <v>10</v>
      </c>
      <c r="O25" s="253">
        <v>10</v>
      </c>
      <c r="P25" s="253">
        <v>10</v>
      </c>
      <c r="Q25" s="253">
        <v>10</v>
      </c>
      <c r="R25" s="253">
        <f>SUM(F25:Q25)</f>
        <v>120</v>
      </c>
      <c r="S25" s="256">
        <v>2021</v>
      </c>
      <c r="T25" s="245">
        <v>4</v>
      </c>
      <c r="U25" s="257" t="s">
        <v>1141</v>
      </c>
      <c r="V25" s="245"/>
      <c r="W25" s="245"/>
    </row>
    <row r="26" spans="1:23" ht="15.75" customHeight="1" x14ac:dyDescent="0.3">
      <c r="A26" s="339">
        <v>20</v>
      </c>
      <c r="B26" s="255" t="s">
        <v>524</v>
      </c>
      <c r="C26" s="254" t="s">
        <v>526</v>
      </c>
      <c r="D26" s="255" t="s">
        <v>737</v>
      </c>
      <c r="E26" s="253"/>
      <c r="F26" s="274">
        <v>10</v>
      </c>
      <c r="G26" s="275">
        <v>10</v>
      </c>
      <c r="H26" s="275">
        <v>10</v>
      </c>
      <c r="I26" s="275">
        <v>10</v>
      </c>
      <c r="J26" s="275">
        <v>10</v>
      </c>
      <c r="K26" s="275">
        <v>10</v>
      </c>
      <c r="L26" s="275">
        <v>10</v>
      </c>
      <c r="M26" s="275">
        <v>10</v>
      </c>
      <c r="N26" s="275">
        <v>10</v>
      </c>
      <c r="O26" s="275">
        <v>10</v>
      </c>
      <c r="P26" s="275">
        <v>10</v>
      </c>
      <c r="Q26" s="275">
        <v>10</v>
      </c>
      <c r="R26" s="275">
        <f>SUM(F26:Q26)</f>
        <v>120</v>
      </c>
      <c r="S26" s="256"/>
      <c r="T26" s="257" t="s">
        <v>1144</v>
      </c>
      <c r="U26" s="246"/>
      <c r="V26" s="246"/>
      <c r="W26" s="245"/>
    </row>
    <row r="27" spans="1:23" ht="15.75" customHeight="1" x14ac:dyDescent="0.3">
      <c r="A27" s="120">
        <v>21</v>
      </c>
      <c r="B27" s="153" t="s">
        <v>532</v>
      </c>
      <c r="C27" s="14" t="s">
        <v>534</v>
      </c>
      <c r="D27" s="153" t="s">
        <v>738</v>
      </c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65"/>
      <c r="S27" s="149"/>
    </row>
    <row r="28" spans="1:23" ht="15.75" customHeight="1" x14ac:dyDescent="0.3">
      <c r="A28" s="120">
        <v>22</v>
      </c>
      <c r="B28" s="153" t="s">
        <v>653</v>
      </c>
      <c r="C28" s="14" t="s">
        <v>1021</v>
      </c>
      <c r="D28" s="153" t="s">
        <v>739</v>
      </c>
      <c r="E28" s="44"/>
      <c r="F28" s="117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49"/>
      <c r="T28" s="53"/>
      <c r="U28" s="53"/>
      <c r="V28" s="53"/>
    </row>
    <row r="29" spans="1:23" ht="15.75" customHeight="1" x14ac:dyDescent="0.3">
      <c r="A29" s="337">
        <v>23</v>
      </c>
      <c r="B29" s="262" t="s">
        <v>678</v>
      </c>
      <c r="C29" s="271" t="s">
        <v>681</v>
      </c>
      <c r="D29" s="262" t="s">
        <v>740</v>
      </c>
      <c r="E29" s="263"/>
      <c r="F29" s="233">
        <v>10</v>
      </c>
      <c r="G29" s="234">
        <v>10</v>
      </c>
      <c r="H29" s="234">
        <v>10</v>
      </c>
      <c r="I29" s="234">
        <v>10</v>
      </c>
      <c r="J29" s="234">
        <v>10</v>
      </c>
      <c r="K29" s="234">
        <v>10</v>
      </c>
      <c r="L29" s="234">
        <v>10</v>
      </c>
      <c r="M29" s="234">
        <v>10</v>
      </c>
      <c r="N29" s="234">
        <v>10</v>
      </c>
      <c r="O29" s="234">
        <v>10</v>
      </c>
      <c r="P29" s="234">
        <v>10</v>
      </c>
      <c r="Q29" s="234">
        <v>10</v>
      </c>
      <c r="R29" s="234">
        <v>120</v>
      </c>
      <c r="S29" s="235"/>
      <c r="T29" s="236" t="s">
        <v>1033</v>
      </c>
      <c r="U29" s="236"/>
      <c r="V29" s="245"/>
      <c r="W29" s="245"/>
    </row>
    <row r="30" spans="1:23" ht="15.75" customHeight="1" x14ac:dyDescent="0.3">
      <c r="A30" s="338">
        <v>24</v>
      </c>
      <c r="B30" s="232" t="s">
        <v>356</v>
      </c>
      <c r="C30" s="231" t="s">
        <v>986</v>
      </c>
      <c r="D30" s="232" t="s">
        <v>742</v>
      </c>
      <c r="E30" s="231"/>
      <c r="F30" s="233">
        <v>10</v>
      </c>
      <c r="G30" s="234">
        <v>10</v>
      </c>
      <c r="H30" s="234">
        <v>10</v>
      </c>
      <c r="I30" s="234">
        <v>10</v>
      </c>
      <c r="J30" s="234">
        <v>10</v>
      </c>
      <c r="K30" s="234">
        <v>10</v>
      </c>
      <c r="L30" s="234">
        <v>10</v>
      </c>
      <c r="M30" s="234">
        <v>10</v>
      </c>
      <c r="N30" s="234">
        <v>10</v>
      </c>
      <c r="O30" s="234">
        <v>10</v>
      </c>
      <c r="P30" s="234">
        <v>10</v>
      </c>
      <c r="Q30" s="234">
        <v>10</v>
      </c>
      <c r="R30" s="234">
        <v>120</v>
      </c>
      <c r="S30" s="235"/>
      <c r="T30" s="236" t="s">
        <v>1039</v>
      </c>
      <c r="U30" s="236"/>
      <c r="V30" s="236"/>
      <c r="W30" s="245"/>
    </row>
    <row r="31" spans="1:23" ht="15.75" customHeight="1" x14ac:dyDescent="0.3">
      <c r="A31" s="339">
        <v>25</v>
      </c>
      <c r="B31" s="255" t="s">
        <v>462</v>
      </c>
      <c r="C31" s="253" t="s">
        <v>743</v>
      </c>
      <c r="D31" s="255" t="s">
        <v>744</v>
      </c>
      <c r="E31" s="253"/>
      <c r="F31" s="274">
        <v>10</v>
      </c>
      <c r="G31" s="275">
        <v>10</v>
      </c>
      <c r="H31" s="275">
        <v>10</v>
      </c>
      <c r="I31" s="275">
        <v>10</v>
      </c>
      <c r="J31" s="275">
        <v>10</v>
      </c>
      <c r="K31" s="275">
        <v>10</v>
      </c>
      <c r="L31" s="275">
        <v>10</v>
      </c>
      <c r="M31" s="275">
        <v>10</v>
      </c>
      <c r="N31" s="275">
        <v>10</v>
      </c>
      <c r="O31" s="275">
        <v>10</v>
      </c>
      <c r="P31" s="275">
        <v>10</v>
      </c>
      <c r="Q31" s="275">
        <v>10</v>
      </c>
      <c r="R31" s="275">
        <f>SUM(F31:Q31)</f>
        <v>120</v>
      </c>
      <c r="S31" s="256"/>
      <c r="T31" s="257" t="s">
        <v>1129</v>
      </c>
      <c r="U31" s="246"/>
      <c r="V31" s="246"/>
      <c r="W31" s="245"/>
    </row>
    <row r="32" spans="1:23" ht="15.75" customHeight="1" x14ac:dyDescent="0.3">
      <c r="A32" s="120">
        <v>26</v>
      </c>
      <c r="B32" s="153" t="s">
        <v>224</v>
      </c>
      <c r="C32" s="44" t="s">
        <v>745</v>
      </c>
      <c r="D32" s="153" t="s">
        <v>746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149"/>
    </row>
    <row r="33" spans="1:26" ht="15.75" customHeight="1" x14ac:dyDescent="0.3">
      <c r="A33" s="338">
        <v>27</v>
      </c>
      <c r="B33" s="238" t="s">
        <v>328</v>
      </c>
      <c r="C33" s="239" t="s">
        <v>329</v>
      </c>
      <c r="D33" s="238" t="s">
        <v>747</v>
      </c>
      <c r="E33" s="239"/>
      <c r="F33" s="233">
        <v>10</v>
      </c>
      <c r="G33" s="234">
        <v>10</v>
      </c>
      <c r="H33" s="234">
        <v>10</v>
      </c>
      <c r="I33" s="234">
        <v>10</v>
      </c>
      <c r="J33" s="234">
        <v>10</v>
      </c>
      <c r="K33" s="234">
        <v>10</v>
      </c>
      <c r="L33" s="234">
        <v>10</v>
      </c>
      <c r="M33" s="234">
        <v>10</v>
      </c>
      <c r="N33" s="234">
        <v>10</v>
      </c>
      <c r="O33" s="234">
        <v>10</v>
      </c>
      <c r="P33" s="234">
        <v>10</v>
      </c>
      <c r="Q33" s="234">
        <v>10</v>
      </c>
      <c r="R33" s="234">
        <v>120</v>
      </c>
      <c r="S33" s="235"/>
      <c r="T33" s="236" t="s">
        <v>1040</v>
      </c>
      <c r="U33" s="236"/>
      <c r="V33" s="244"/>
      <c r="W33" s="245"/>
    </row>
    <row r="34" spans="1:26" ht="15.75" customHeight="1" x14ac:dyDescent="0.3">
      <c r="A34" s="338">
        <v>28</v>
      </c>
      <c r="B34" s="232" t="s">
        <v>172</v>
      </c>
      <c r="C34" s="231" t="s">
        <v>174</v>
      </c>
      <c r="D34" s="232" t="s">
        <v>748</v>
      </c>
      <c r="E34" s="231"/>
      <c r="F34" s="233">
        <v>10</v>
      </c>
      <c r="G34" s="234">
        <v>10</v>
      </c>
      <c r="H34" s="234">
        <v>10</v>
      </c>
      <c r="I34" s="234">
        <v>10</v>
      </c>
      <c r="J34" s="234">
        <v>10</v>
      </c>
      <c r="K34" s="234">
        <v>10</v>
      </c>
      <c r="L34" s="234">
        <v>10</v>
      </c>
      <c r="M34" s="234">
        <v>10</v>
      </c>
      <c r="N34" s="234">
        <v>10</v>
      </c>
      <c r="O34" s="234">
        <v>10</v>
      </c>
      <c r="P34" s="234">
        <v>10</v>
      </c>
      <c r="Q34" s="234">
        <v>10</v>
      </c>
      <c r="R34" s="234">
        <v>120</v>
      </c>
      <c r="S34" s="235"/>
      <c r="T34" s="236" t="s">
        <v>1041</v>
      </c>
      <c r="U34" s="236"/>
      <c r="V34" s="244"/>
      <c r="W34" s="259"/>
    </row>
    <row r="35" spans="1:26" ht="15.75" customHeight="1" x14ac:dyDescent="0.3">
      <c r="A35" s="120">
        <v>29</v>
      </c>
      <c r="B35" s="153" t="s">
        <v>348</v>
      </c>
      <c r="C35" s="14" t="s">
        <v>749</v>
      </c>
      <c r="D35" s="153" t="s">
        <v>750</v>
      </c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149"/>
    </row>
    <row r="36" spans="1:26" ht="15.75" customHeight="1" x14ac:dyDescent="0.3">
      <c r="A36" s="339">
        <v>30</v>
      </c>
      <c r="B36" s="262" t="s">
        <v>85</v>
      </c>
      <c r="C36" s="263" t="s">
        <v>751</v>
      </c>
      <c r="D36" s="262" t="s">
        <v>752</v>
      </c>
      <c r="E36" s="263"/>
      <c r="F36" s="233">
        <v>10</v>
      </c>
      <c r="G36" s="234">
        <v>10</v>
      </c>
      <c r="H36" s="234">
        <v>10</v>
      </c>
      <c r="I36" s="234">
        <v>10</v>
      </c>
      <c r="J36" s="234">
        <v>10</v>
      </c>
      <c r="K36" s="234">
        <v>10</v>
      </c>
      <c r="L36" s="234">
        <v>10</v>
      </c>
      <c r="M36" s="234">
        <v>10</v>
      </c>
      <c r="N36" s="234">
        <v>10</v>
      </c>
      <c r="O36" s="234">
        <v>10</v>
      </c>
      <c r="P36" s="234">
        <v>10</v>
      </c>
      <c r="Q36" s="234">
        <v>10</v>
      </c>
      <c r="R36" s="234">
        <v>120</v>
      </c>
      <c r="S36" s="235"/>
      <c r="T36" s="236" t="s">
        <v>1033</v>
      </c>
      <c r="U36" s="236"/>
      <c r="V36" s="270"/>
      <c r="W36" s="245"/>
    </row>
    <row r="37" spans="1:26" ht="15.75" customHeight="1" x14ac:dyDescent="0.3">
      <c r="A37" s="120">
        <v>31</v>
      </c>
      <c r="B37" s="153" t="s">
        <v>577</v>
      </c>
      <c r="C37" s="14" t="s">
        <v>579</v>
      </c>
      <c r="D37" s="153" t="s">
        <v>753</v>
      </c>
      <c r="E37" s="44"/>
      <c r="F37" s="117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49"/>
      <c r="T37" s="53"/>
      <c r="U37" s="53"/>
      <c r="V37" s="53"/>
    </row>
    <row r="38" spans="1:26" ht="15.75" customHeight="1" x14ac:dyDescent="0.3">
      <c r="A38" s="338">
        <v>32</v>
      </c>
      <c r="B38" s="238" t="s">
        <v>31</v>
      </c>
      <c r="C38" s="251" t="s">
        <v>33</v>
      </c>
      <c r="D38" s="238" t="s">
        <v>755</v>
      </c>
      <c r="E38" s="239"/>
      <c r="F38" s="252">
        <v>10</v>
      </c>
      <c r="G38" s="234">
        <v>10</v>
      </c>
      <c r="H38" s="234">
        <v>10</v>
      </c>
      <c r="I38" s="234">
        <v>10</v>
      </c>
      <c r="J38" s="234">
        <v>10</v>
      </c>
      <c r="K38" s="234">
        <v>10</v>
      </c>
      <c r="L38" s="234">
        <v>10</v>
      </c>
      <c r="M38" s="234">
        <v>10</v>
      </c>
      <c r="N38" s="234">
        <v>10</v>
      </c>
      <c r="O38" s="234">
        <v>10</v>
      </c>
      <c r="P38" s="234">
        <v>10</v>
      </c>
      <c r="Q38" s="234">
        <v>10</v>
      </c>
      <c r="R38" s="234">
        <v>120</v>
      </c>
      <c r="S38" s="235"/>
      <c r="T38" s="236" t="s">
        <v>1042</v>
      </c>
      <c r="U38" s="236"/>
      <c r="V38" s="250"/>
      <c r="W38" s="245"/>
    </row>
    <row r="39" spans="1:26" ht="15.75" customHeight="1" x14ac:dyDescent="0.3">
      <c r="A39" s="338">
        <v>33</v>
      </c>
      <c r="B39" s="238" t="s">
        <v>117</v>
      </c>
      <c r="C39" s="239" t="s">
        <v>119</v>
      </c>
      <c r="D39" s="238" t="s">
        <v>756</v>
      </c>
      <c r="E39" s="239"/>
      <c r="F39" s="252">
        <v>10</v>
      </c>
      <c r="G39" s="234">
        <v>10</v>
      </c>
      <c r="H39" s="234">
        <v>10</v>
      </c>
      <c r="I39" s="234">
        <v>10</v>
      </c>
      <c r="J39" s="234">
        <v>10</v>
      </c>
      <c r="K39" s="234">
        <v>10</v>
      </c>
      <c r="L39" s="234">
        <v>10</v>
      </c>
      <c r="M39" s="234">
        <v>10</v>
      </c>
      <c r="N39" s="234">
        <v>10</v>
      </c>
      <c r="O39" s="234">
        <v>10</v>
      </c>
      <c r="P39" s="234">
        <v>10</v>
      </c>
      <c r="Q39" s="234">
        <v>10</v>
      </c>
      <c r="R39" s="234">
        <v>120</v>
      </c>
      <c r="S39" s="235"/>
      <c r="T39" s="236" t="s">
        <v>1043</v>
      </c>
      <c r="U39" s="236"/>
      <c r="V39" s="250"/>
      <c r="W39" s="245"/>
    </row>
    <row r="40" spans="1:26" ht="15.75" customHeight="1" x14ac:dyDescent="0.3">
      <c r="A40" s="339">
        <v>34</v>
      </c>
      <c r="B40" s="255" t="s">
        <v>444</v>
      </c>
      <c r="C40" s="253" t="s">
        <v>1044</v>
      </c>
      <c r="D40" s="255" t="s">
        <v>757</v>
      </c>
      <c r="E40" s="253"/>
      <c r="F40" s="253">
        <v>10</v>
      </c>
      <c r="G40" s="253">
        <v>10</v>
      </c>
      <c r="H40" s="253">
        <v>10</v>
      </c>
      <c r="I40" s="253">
        <v>10</v>
      </c>
      <c r="J40" s="253">
        <v>10</v>
      </c>
      <c r="K40" s="253">
        <v>10</v>
      </c>
      <c r="L40" s="253">
        <v>10</v>
      </c>
      <c r="M40" s="253">
        <v>10</v>
      </c>
      <c r="N40" s="253">
        <v>10</v>
      </c>
      <c r="O40" s="253">
        <v>10</v>
      </c>
      <c r="P40" s="253">
        <v>10</v>
      </c>
      <c r="Q40" s="253">
        <v>10</v>
      </c>
      <c r="R40" s="253">
        <f>SUM(F40:Q40)</f>
        <v>120</v>
      </c>
      <c r="S40" s="256">
        <v>600</v>
      </c>
      <c r="T40" s="257" t="s">
        <v>1135</v>
      </c>
      <c r="U40" s="245"/>
      <c r="V40" s="245"/>
      <c r="W40" s="245"/>
    </row>
    <row r="41" spans="1:26" ht="15.75" customHeight="1" x14ac:dyDescent="0.3">
      <c r="A41" s="339">
        <v>35</v>
      </c>
      <c r="B41" s="255" t="s">
        <v>265</v>
      </c>
      <c r="C41" s="254" t="s">
        <v>1045</v>
      </c>
      <c r="D41" s="255" t="s">
        <v>758</v>
      </c>
      <c r="E41" s="253"/>
      <c r="F41" s="253">
        <v>10</v>
      </c>
      <c r="G41" s="253">
        <v>10</v>
      </c>
      <c r="H41" s="253">
        <v>10</v>
      </c>
      <c r="I41" s="253">
        <v>10</v>
      </c>
      <c r="J41" s="253">
        <v>10</v>
      </c>
      <c r="K41" s="253">
        <v>10</v>
      </c>
      <c r="L41" s="253">
        <v>10</v>
      </c>
      <c r="M41" s="253">
        <v>10</v>
      </c>
      <c r="N41" s="253">
        <v>10</v>
      </c>
      <c r="O41" s="253">
        <v>10</v>
      </c>
      <c r="P41" s="253">
        <v>10</v>
      </c>
      <c r="Q41" s="253">
        <v>10</v>
      </c>
      <c r="R41" s="253">
        <f>SUM(F41:Q41)</f>
        <v>120</v>
      </c>
      <c r="S41" s="256"/>
      <c r="T41" s="257" t="s">
        <v>1138</v>
      </c>
      <c r="U41" s="246"/>
      <c r="V41" s="246"/>
      <c r="W41" s="245"/>
    </row>
    <row r="42" spans="1:26" ht="15.75" customHeight="1" x14ac:dyDescent="0.3">
      <c r="A42" s="120">
        <v>36</v>
      </c>
      <c r="B42" s="153" t="s">
        <v>63</v>
      </c>
      <c r="C42" s="14" t="s">
        <v>65</v>
      </c>
      <c r="D42" s="153" t="s">
        <v>759</v>
      </c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149"/>
    </row>
    <row r="43" spans="1:26" ht="15.75" customHeight="1" x14ac:dyDescent="0.3">
      <c r="A43" s="338">
        <v>37</v>
      </c>
      <c r="B43" s="238" t="s">
        <v>47</v>
      </c>
      <c r="C43" s="237" t="s">
        <v>49</v>
      </c>
      <c r="D43" s="238" t="s">
        <v>761</v>
      </c>
      <c r="E43" s="239"/>
      <c r="F43" s="233">
        <v>10</v>
      </c>
      <c r="G43" s="234">
        <v>10</v>
      </c>
      <c r="H43" s="234">
        <v>10</v>
      </c>
      <c r="I43" s="234">
        <v>10</v>
      </c>
      <c r="J43" s="234">
        <v>10</v>
      </c>
      <c r="K43" s="234">
        <v>10</v>
      </c>
      <c r="L43" s="234">
        <v>10</v>
      </c>
      <c r="M43" s="234">
        <v>10</v>
      </c>
      <c r="N43" s="234">
        <v>10</v>
      </c>
      <c r="O43" s="234">
        <v>10</v>
      </c>
      <c r="P43" s="234">
        <v>10</v>
      </c>
      <c r="Q43" s="234">
        <v>10</v>
      </c>
      <c r="R43" s="240">
        <v>120</v>
      </c>
      <c r="S43" s="241">
        <v>240</v>
      </c>
      <c r="T43" s="242" t="s">
        <v>989</v>
      </c>
      <c r="U43" s="242"/>
      <c r="V43" s="243" t="s">
        <v>1046</v>
      </c>
      <c r="W43" s="243"/>
    </row>
    <row r="44" spans="1:26" ht="15.75" customHeight="1" x14ac:dyDescent="0.3">
      <c r="A44" s="120">
        <v>38</v>
      </c>
      <c r="B44" s="153" t="s">
        <v>380</v>
      </c>
      <c r="C44" s="14" t="s">
        <v>382</v>
      </c>
      <c r="D44" s="153" t="s">
        <v>762</v>
      </c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149"/>
      <c r="T44" s="53"/>
      <c r="U44" s="53"/>
      <c r="V44" s="53"/>
    </row>
    <row r="45" spans="1:26" ht="15.75" customHeight="1" x14ac:dyDescent="0.3">
      <c r="A45" s="196">
        <v>39</v>
      </c>
      <c r="B45" s="179" t="s">
        <v>511</v>
      </c>
      <c r="C45" s="178" t="s">
        <v>513</v>
      </c>
      <c r="D45" s="179" t="s">
        <v>763</v>
      </c>
      <c r="E45" s="156"/>
      <c r="F45" s="156">
        <v>10</v>
      </c>
      <c r="G45" s="156">
        <v>10</v>
      </c>
      <c r="H45" s="156">
        <v>10</v>
      </c>
      <c r="I45" s="156">
        <v>10</v>
      </c>
      <c r="J45" s="156">
        <v>10</v>
      </c>
      <c r="K45" s="156">
        <v>10</v>
      </c>
      <c r="L45" s="156">
        <v>10</v>
      </c>
      <c r="M45" s="156">
        <v>10</v>
      </c>
      <c r="N45" s="156">
        <v>10</v>
      </c>
      <c r="O45" s="156">
        <v>10</v>
      </c>
      <c r="P45" s="156">
        <v>10</v>
      </c>
      <c r="Q45" s="156">
        <v>10</v>
      </c>
      <c r="R45" s="156">
        <f>SUM(F45:Q45)</f>
        <v>120</v>
      </c>
      <c r="S45" s="324"/>
      <c r="T45" s="166" t="s">
        <v>1219</v>
      </c>
      <c r="U45" s="159"/>
      <c r="V45" s="159"/>
      <c r="W45" s="161"/>
    </row>
    <row r="46" spans="1:26" ht="15.75" customHeight="1" x14ac:dyDescent="0.3">
      <c r="A46" s="339">
        <v>40</v>
      </c>
      <c r="B46" s="255" t="s">
        <v>157</v>
      </c>
      <c r="C46" s="254" t="s">
        <v>159</v>
      </c>
      <c r="D46" s="255" t="s">
        <v>764</v>
      </c>
      <c r="E46" s="253"/>
      <c r="F46" s="253">
        <v>10</v>
      </c>
      <c r="G46" s="253">
        <v>10</v>
      </c>
      <c r="H46" s="253">
        <v>10</v>
      </c>
      <c r="I46" s="253">
        <v>10</v>
      </c>
      <c r="J46" s="253">
        <v>10</v>
      </c>
      <c r="K46" s="253">
        <v>10</v>
      </c>
      <c r="L46" s="253">
        <v>10</v>
      </c>
      <c r="M46" s="253">
        <v>10</v>
      </c>
      <c r="N46" s="253">
        <v>10</v>
      </c>
      <c r="O46" s="253">
        <v>10</v>
      </c>
      <c r="P46" s="253">
        <v>10</v>
      </c>
      <c r="Q46" s="253">
        <v>10</v>
      </c>
      <c r="R46" s="253">
        <f>SUM(F46:Q46)</f>
        <v>120</v>
      </c>
      <c r="S46" s="256"/>
      <c r="T46" s="257" t="s">
        <v>1194</v>
      </c>
      <c r="U46" s="246"/>
      <c r="V46" s="246"/>
      <c r="W46" s="246"/>
      <c r="X46" s="53"/>
      <c r="Y46" s="53"/>
      <c r="Z46" s="53"/>
    </row>
    <row r="47" spans="1:26" ht="15.75" customHeight="1" x14ac:dyDescent="0.3">
      <c r="A47" s="120">
        <v>41</v>
      </c>
      <c r="B47" s="153" t="s">
        <v>590</v>
      </c>
      <c r="C47" s="44" t="s">
        <v>990</v>
      </c>
      <c r="D47" s="153" t="s">
        <v>766</v>
      </c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149"/>
      <c r="T47" s="53"/>
      <c r="U47" s="53"/>
      <c r="V47" s="53"/>
    </row>
    <row r="48" spans="1:26" ht="15.75" customHeight="1" x14ac:dyDescent="0.3">
      <c r="A48" s="337">
        <v>42</v>
      </c>
      <c r="B48" s="262" t="s">
        <v>614</v>
      </c>
      <c r="C48" s="273" t="s">
        <v>616</v>
      </c>
      <c r="D48" s="262" t="s">
        <v>768</v>
      </c>
      <c r="E48" s="263"/>
      <c r="F48" s="233">
        <v>10</v>
      </c>
      <c r="G48" s="234">
        <v>10</v>
      </c>
      <c r="H48" s="234">
        <v>10</v>
      </c>
      <c r="I48" s="234">
        <v>10</v>
      </c>
      <c r="J48" s="234">
        <v>10</v>
      </c>
      <c r="K48" s="234">
        <v>10</v>
      </c>
      <c r="L48" s="234">
        <v>10</v>
      </c>
      <c r="M48" s="234">
        <v>10</v>
      </c>
      <c r="N48" s="234">
        <v>10</v>
      </c>
      <c r="O48" s="234">
        <v>10</v>
      </c>
      <c r="P48" s="234">
        <v>10</v>
      </c>
      <c r="Q48" s="234">
        <v>10</v>
      </c>
      <c r="R48" s="234">
        <v>120</v>
      </c>
      <c r="S48" s="235"/>
      <c r="T48" s="236" t="s">
        <v>1033</v>
      </c>
      <c r="U48" s="236"/>
      <c r="V48" s="264"/>
      <c r="W48" s="245"/>
    </row>
    <row r="49" spans="1:26" ht="15.75" customHeight="1" x14ac:dyDescent="0.3">
      <c r="A49" s="339">
        <v>43</v>
      </c>
      <c r="B49" s="279" t="s">
        <v>22</v>
      </c>
      <c r="C49" s="278" t="s">
        <v>1023</v>
      </c>
      <c r="D49" s="279" t="s">
        <v>770</v>
      </c>
      <c r="E49" s="253"/>
      <c r="F49" s="253">
        <v>10</v>
      </c>
      <c r="G49" s="253">
        <v>10</v>
      </c>
      <c r="H49" s="253">
        <v>10</v>
      </c>
      <c r="I49" s="253">
        <v>10</v>
      </c>
      <c r="J49" s="253">
        <v>10</v>
      </c>
      <c r="K49" s="253">
        <v>10</v>
      </c>
      <c r="L49" s="253">
        <v>10</v>
      </c>
      <c r="M49" s="253">
        <v>10</v>
      </c>
      <c r="N49" s="253">
        <v>10</v>
      </c>
      <c r="O49" s="253">
        <v>10</v>
      </c>
      <c r="P49" s="253">
        <v>10</v>
      </c>
      <c r="Q49" s="253">
        <v>10</v>
      </c>
      <c r="R49" s="253">
        <f>SUM(F49:Q49)</f>
        <v>120</v>
      </c>
      <c r="S49" s="280">
        <v>240</v>
      </c>
      <c r="T49" s="281" t="s">
        <v>1047</v>
      </c>
      <c r="U49" s="281"/>
      <c r="V49" s="243" t="s">
        <v>1196</v>
      </c>
      <c r="W49" s="281"/>
    </row>
    <row r="50" spans="1:26" ht="15.75" customHeight="1" x14ac:dyDescent="0.3">
      <c r="A50" s="120">
        <v>44</v>
      </c>
      <c r="B50" s="153" t="s">
        <v>110</v>
      </c>
      <c r="C50" s="44" t="s">
        <v>112</v>
      </c>
      <c r="D50" s="153" t="s">
        <v>771</v>
      </c>
      <c r="E50" s="44"/>
      <c r="F50" s="117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49"/>
      <c r="T50" s="53"/>
      <c r="U50" s="53"/>
      <c r="V50" s="53"/>
    </row>
    <row r="51" spans="1:26" ht="15.75" customHeight="1" x14ac:dyDescent="0.3">
      <c r="A51" s="120">
        <v>45</v>
      </c>
      <c r="B51" s="153" t="s">
        <v>134</v>
      </c>
      <c r="C51" s="3" t="s">
        <v>136</v>
      </c>
      <c r="D51" s="153" t="s">
        <v>772</v>
      </c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149"/>
    </row>
    <row r="52" spans="1:26" ht="15.75" customHeight="1" x14ac:dyDescent="0.3">
      <c r="A52" s="338">
        <v>46</v>
      </c>
      <c r="B52" s="232" t="s">
        <v>192</v>
      </c>
      <c r="C52" s="231" t="s">
        <v>773</v>
      </c>
      <c r="D52" s="232" t="s">
        <v>774</v>
      </c>
      <c r="E52" s="231"/>
      <c r="F52" s="233">
        <v>10</v>
      </c>
      <c r="G52" s="234">
        <v>10</v>
      </c>
      <c r="H52" s="234">
        <v>10</v>
      </c>
      <c r="I52" s="234">
        <v>10</v>
      </c>
      <c r="J52" s="234">
        <v>10</v>
      </c>
      <c r="K52" s="234">
        <v>10</v>
      </c>
      <c r="L52" s="234">
        <v>10</v>
      </c>
      <c r="M52" s="234">
        <v>10</v>
      </c>
      <c r="N52" s="234">
        <v>10</v>
      </c>
      <c r="O52" s="234">
        <v>10</v>
      </c>
      <c r="P52" s="234">
        <v>10</v>
      </c>
      <c r="Q52" s="234">
        <v>10</v>
      </c>
      <c r="R52" s="234">
        <v>120</v>
      </c>
      <c r="S52" s="235"/>
      <c r="T52" s="236" t="s">
        <v>1048</v>
      </c>
      <c r="U52" s="236"/>
      <c r="V52" s="236"/>
      <c r="W52" s="245"/>
    </row>
    <row r="53" spans="1:26" ht="15.75" customHeight="1" x14ac:dyDescent="0.3">
      <c r="A53" s="120">
        <v>47</v>
      </c>
      <c r="B53" s="153" t="s">
        <v>321</v>
      </c>
      <c r="C53" s="3" t="s">
        <v>323</v>
      </c>
      <c r="D53" s="153" t="s">
        <v>775</v>
      </c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149"/>
    </row>
    <row r="54" spans="1:26" ht="15.75" customHeight="1" x14ac:dyDescent="0.3">
      <c r="A54" s="340">
        <v>48</v>
      </c>
      <c r="B54" s="291" t="s">
        <v>450</v>
      </c>
      <c r="C54" s="290" t="s">
        <v>452</v>
      </c>
      <c r="D54" s="291" t="s">
        <v>776</v>
      </c>
      <c r="E54" s="292"/>
      <c r="F54" s="293">
        <v>10</v>
      </c>
      <c r="G54" s="294">
        <v>10</v>
      </c>
      <c r="H54" s="294">
        <v>10</v>
      </c>
      <c r="I54" s="294">
        <v>10</v>
      </c>
      <c r="J54" s="294">
        <v>10</v>
      </c>
      <c r="K54" s="294">
        <v>10</v>
      </c>
      <c r="L54" s="294">
        <v>10</v>
      </c>
      <c r="M54" s="294">
        <v>10</v>
      </c>
      <c r="N54" s="294">
        <v>10</v>
      </c>
      <c r="O54" s="294">
        <v>10</v>
      </c>
      <c r="P54" s="294">
        <v>10</v>
      </c>
      <c r="Q54" s="294">
        <v>10</v>
      </c>
      <c r="R54" s="294">
        <f>SUM(F54:Q54)</f>
        <v>120</v>
      </c>
      <c r="S54" s="295"/>
      <c r="T54" s="296" t="s">
        <v>1049</v>
      </c>
      <c r="U54" s="296"/>
      <c r="V54" s="325" t="s">
        <v>1222</v>
      </c>
      <c r="W54" s="289"/>
    </row>
    <row r="55" spans="1:26" ht="15.75" customHeight="1" x14ac:dyDescent="0.3">
      <c r="A55" s="120">
        <v>49</v>
      </c>
      <c r="B55" s="153" t="s">
        <v>669</v>
      </c>
      <c r="C55" s="14" t="s">
        <v>672</v>
      </c>
      <c r="D55" s="153" t="s">
        <v>777</v>
      </c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149"/>
      <c r="T55" s="53"/>
      <c r="U55" s="53"/>
      <c r="V55" s="53"/>
      <c r="W55" s="53"/>
      <c r="X55" s="53"/>
      <c r="Y55" s="53"/>
      <c r="Z55" s="53"/>
    </row>
    <row r="56" spans="1:26" ht="15.75" customHeight="1" x14ac:dyDescent="0.3">
      <c r="A56" s="120">
        <v>50</v>
      </c>
      <c r="B56" s="153" t="s">
        <v>257</v>
      </c>
      <c r="C56" s="3" t="s">
        <v>259</v>
      </c>
      <c r="D56" s="153" t="s">
        <v>778</v>
      </c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149"/>
      <c r="T56" s="53"/>
      <c r="U56" s="53"/>
      <c r="V56" s="53"/>
      <c r="W56" s="53"/>
      <c r="X56" s="53"/>
      <c r="Y56" s="53"/>
      <c r="Z56" s="53"/>
    </row>
    <row r="57" spans="1:26" ht="15.75" customHeight="1" x14ac:dyDescent="0.3">
      <c r="A57" s="337">
        <v>51</v>
      </c>
      <c r="B57" s="262" t="s">
        <v>364</v>
      </c>
      <c r="C57" s="263" t="s">
        <v>366</v>
      </c>
      <c r="D57" s="262" t="s">
        <v>779</v>
      </c>
      <c r="E57" s="263"/>
      <c r="F57" s="233">
        <v>10</v>
      </c>
      <c r="G57" s="234">
        <v>10</v>
      </c>
      <c r="H57" s="234">
        <v>10</v>
      </c>
      <c r="I57" s="234">
        <v>10</v>
      </c>
      <c r="J57" s="234">
        <v>10</v>
      </c>
      <c r="K57" s="234">
        <v>10</v>
      </c>
      <c r="L57" s="234">
        <v>10</v>
      </c>
      <c r="M57" s="234">
        <v>10</v>
      </c>
      <c r="N57" s="234">
        <v>10</v>
      </c>
      <c r="O57" s="234">
        <v>10</v>
      </c>
      <c r="P57" s="234">
        <v>10</v>
      </c>
      <c r="Q57" s="234">
        <v>10</v>
      </c>
      <c r="R57" s="234">
        <v>120</v>
      </c>
      <c r="S57" s="235"/>
      <c r="T57" s="236" t="s">
        <v>1033</v>
      </c>
      <c r="U57" s="236"/>
      <c r="V57" s="264"/>
      <c r="W57" s="246"/>
      <c r="X57" s="53"/>
      <c r="Y57" s="53"/>
      <c r="Z57" s="53"/>
    </row>
    <row r="58" spans="1:26" ht="15.75" customHeight="1" x14ac:dyDescent="0.3">
      <c r="A58" s="339">
        <v>52</v>
      </c>
      <c r="B58" s="255" t="s">
        <v>489</v>
      </c>
      <c r="C58" s="254" t="s">
        <v>491</v>
      </c>
      <c r="D58" s="255" t="s">
        <v>780</v>
      </c>
      <c r="E58" s="253"/>
      <c r="F58" s="274">
        <v>10</v>
      </c>
      <c r="G58" s="275">
        <v>10</v>
      </c>
      <c r="H58" s="275">
        <v>10</v>
      </c>
      <c r="I58" s="275">
        <v>10</v>
      </c>
      <c r="J58" s="275">
        <v>10</v>
      </c>
      <c r="K58" s="275">
        <v>10</v>
      </c>
      <c r="L58" s="275">
        <v>10</v>
      </c>
      <c r="M58" s="275">
        <v>10</v>
      </c>
      <c r="N58" s="275">
        <v>10</v>
      </c>
      <c r="O58" s="275">
        <v>10</v>
      </c>
      <c r="P58" s="275">
        <v>10</v>
      </c>
      <c r="Q58" s="275">
        <v>10</v>
      </c>
      <c r="R58" s="275">
        <f>SUM(F58:Q58)</f>
        <v>120</v>
      </c>
      <c r="S58" s="256"/>
      <c r="T58" s="257" t="s">
        <v>1143</v>
      </c>
      <c r="U58" s="246"/>
      <c r="V58" s="246"/>
      <c r="W58" s="246"/>
      <c r="X58" s="53"/>
      <c r="Y58" s="53"/>
      <c r="Z58" s="53"/>
    </row>
    <row r="59" spans="1:26" ht="15.75" customHeight="1" x14ac:dyDescent="0.3">
      <c r="A59" s="339">
        <v>53</v>
      </c>
      <c r="B59" s="255" t="s">
        <v>126</v>
      </c>
      <c r="C59" s="254" t="s">
        <v>128</v>
      </c>
      <c r="D59" s="255" t="s">
        <v>781</v>
      </c>
      <c r="E59" s="253"/>
      <c r="F59" s="274">
        <v>10</v>
      </c>
      <c r="G59" s="275">
        <v>10</v>
      </c>
      <c r="H59" s="275">
        <v>10</v>
      </c>
      <c r="I59" s="275">
        <v>10</v>
      </c>
      <c r="J59" s="275">
        <v>10</v>
      </c>
      <c r="K59" s="275">
        <v>10</v>
      </c>
      <c r="L59" s="275">
        <v>10</v>
      </c>
      <c r="M59" s="275">
        <v>10</v>
      </c>
      <c r="N59" s="275">
        <v>10</v>
      </c>
      <c r="O59" s="275">
        <v>10</v>
      </c>
      <c r="P59" s="275">
        <v>10</v>
      </c>
      <c r="Q59" s="275">
        <v>10</v>
      </c>
      <c r="R59" s="275">
        <f>SUM(F59:Q59)</f>
        <v>120</v>
      </c>
      <c r="S59" s="256"/>
      <c r="T59" s="257" t="s">
        <v>1132</v>
      </c>
      <c r="U59" s="246"/>
      <c r="V59" s="246"/>
      <c r="W59" s="246"/>
      <c r="X59" s="53"/>
      <c r="Y59" s="53"/>
      <c r="Z59" s="53"/>
    </row>
    <row r="60" spans="1:26" ht="15.75" customHeight="1" x14ac:dyDescent="0.3">
      <c r="A60" s="337">
        <v>54</v>
      </c>
      <c r="B60" s="262" t="s">
        <v>239</v>
      </c>
      <c r="C60" s="263" t="s">
        <v>957</v>
      </c>
      <c r="D60" s="262" t="s">
        <v>783</v>
      </c>
      <c r="E60" s="263"/>
      <c r="F60" s="233">
        <v>10</v>
      </c>
      <c r="G60" s="234">
        <v>10</v>
      </c>
      <c r="H60" s="234">
        <v>10</v>
      </c>
      <c r="I60" s="234">
        <v>10</v>
      </c>
      <c r="J60" s="234">
        <v>10</v>
      </c>
      <c r="K60" s="234">
        <v>10</v>
      </c>
      <c r="L60" s="234">
        <v>10</v>
      </c>
      <c r="M60" s="234">
        <v>10</v>
      </c>
      <c r="N60" s="234">
        <v>10</v>
      </c>
      <c r="O60" s="234">
        <v>10</v>
      </c>
      <c r="P60" s="234">
        <v>10</v>
      </c>
      <c r="Q60" s="234">
        <v>10</v>
      </c>
      <c r="R60" s="234">
        <v>120</v>
      </c>
      <c r="S60" s="235"/>
      <c r="T60" s="236" t="s">
        <v>1033</v>
      </c>
      <c r="U60" s="236"/>
      <c r="V60" s="264"/>
      <c r="W60" s="246"/>
      <c r="X60" s="53"/>
      <c r="Y60" s="53"/>
      <c r="Z60" s="53"/>
    </row>
    <row r="61" spans="1:26" ht="15.75" customHeight="1" x14ac:dyDescent="0.3">
      <c r="A61" s="120">
        <v>55</v>
      </c>
      <c r="B61" s="153" t="s">
        <v>249</v>
      </c>
      <c r="C61" s="14" t="s">
        <v>1050</v>
      </c>
      <c r="D61" s="153" t="s">
        <v>785</v>
      </c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149"/>
      <c r="T61" s="53"/>
      <c r="U61" s="53"/>
      <c r="V61" s="53"/>
      <c r="W61" s="53"/>
      <c r="X61" s="53"/>
      <c r="Y61" s="53"/>
      <c r="Z61" s="53"/>
    </row>
    <row r="62" spans="1:26" ht="15.75" customHeight="1" x14ac:dyDescent="0.3">
      <c r="A62" s="120">
        <v>56</v>
      </c>
      <c r="B62" s="153" t="s">
        <v>395</v>
      </c>
      <c r="C62" s="14" t="s">
        <v>1051</v>
      </c>
      <c r="D62" s="153" t="s">
        <v>786</v>
      </c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149"/>
      <c r="T62" s="53"/>
      <c r="U62" s="53"/>
      <c r="V62" s="53"/>
      <c r="W62" s="53"/>
      <c r="X62" s="53"/>
      <c r="Y62" s="53"/>
      <c r="Z62" s="53"/>
    </row>
    <row r="63" spans="1:26" ht="15.75" customHeight="1" x14ac:dyDescent="0.3">
      <c r="A63" s="120">
        <v>57</v>
      </c>
      <c r="B63" s="153" t="s">
        <v>150</v>
      </c>
      <c r="C63" s="14" t="s">
        <v>152</v>
      </c>
      <c r="D63" s="153" t="s">
        <v>789</v>
      </c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149"/>
      <c r="T63" s="53"/>
      <c r="U63" s="53"/>
      <c r="V63" s="53"/>
      <c r="W63" s="53"/>
      <c r="X63" s="53"/>
      <c r="Y63" s="53"/>
      <c r="Z63" s="53"/>
    </row>
    <row r="64" spans="1:26" ht="15.75" customHeight="1" x14ac:dyDescent="0.3">
      <c r="A64" s="120">
        <v>58</v>
      </c>
      <c r="B64" s="153" t="s">
        <v>438</v>
      </c>
      <c r="C64" s="3" t="s">
        <v>440</v>
      </c>
      <c r="D64" s="153" t="s">
        <v>791</v>
      </c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149"/>
      <c r="T64" s="53"/>
      <c r="U64" s="53"/>
      <c r="V64" s="53"/>
      <c r="W64" s="53"/>
      <c r="X64" s="53"/>
      <c r="Y64" s="53"/>
      <c r="Z64" s="53"/>
    </row>
    <row r="65" spans="1:26" ht="15.75" customHeight="1" x14ac:dyDescent="0.3">
      <c r="A65" s="120">
        <v>59</v>
      </c>
      <c r="B65" s="153" t="s">
        <v>307</v>
      </c>
      <c r="C65" s="3" t="s">
        <v>309</v>
      </c>
      <c r="D65" s="153" t="s">
        <v>792</v>
      </c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149"/>
      <c r="T65" s="53"/>
      <c r="U65" s="53"/>
      <c r="V65" s="53"/>
      <c r="W65" s="53"/>
      <c r="X65" s="53"/>
      <c r="Y65" s="53"/>
      <c r="Z65" s="53"/>
    </row>
    <row r="66" spans="1:26" ht="15.75" customHeight="1" x14ac:dyDescent="0.3">
      <c r="A66" s="120">
        <v>60</v>
      </c>
      <c r="B66" s="153" t="s">
        <v>217</v>
      </c>
      <c r="C66" s="3" t="s">
        <v>219</v>
      </c>
      <c r="D66" s="153" t="s">
        <v>793</v>
      </c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149"/>
      <c r="T66" s="53"/>
      <c r="U66" s="53"/>
      <c r="V66" s="53"/>
      <c r="W66" s="53"/>
      <c r="X66" s="53"/>
      <c r="Y66" s="53"/>
      <c r="Z66" s="53"/>
    </row>
    <row r="67" spans="1:26" ht="15.75" customHeight="1" x14ac:dyDescent="0.3">
      <c r="A67" s="120">
        <v>61</v>
      </c>
      <c r="B67" s="153" t="s">
        <v>301</v>
      </c>
      <c r="C67" s="44" t="s">
        <v>794</v>
      </c>
      <c r="D67" s="153" t="s">
        <v>795</v>
      </c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149"/>
      <c r="T67" s="53"/>
      <c r="U67" s="53"/>
      <c r="V67" s="53"/>
      <c r="W67" s="53"/>
      <c r="X67" s="53"/>
      <c r="Y67" s="53"/>
      <c r="Z67" s="53"/>
    </row>
    <row r="68" spans="1:26" ht="15.75" customHeight="1" x14ac:dyDescent="0.3">
      <c r="A68" s="120">
        <v>62</v>
      </c>
      <c r="B68" s="153" t="s">
        <v>342</v>
      </c>
      <c r="C68" s="181" t="s">
        <v>1052</v>
      </c>
      <c r="D68" s="179" t="s">
        <v>796</v>
      </c>
      <c r="E68" s="156"/>
      <c r="F68" s="156">
        <v>10</v>
      </c>
      <c r="G68" s="156">
        <v>10</v>
      </c>
      <c r="H68" s="156">
        <v>10</v>
      </c>
      <c r="I68" s="156">
        <v>10</v>
      </c>
      <c r="J68" s="156">
        <v>10</v>
      </c>
      <c r="K68" s="156">
        <v>10</v>
      </c>
      <c r="L68" s="156">
        <v>10</v>
      </c>
      <c r="M68" s="156">
        <v>10</v>
      </c>
      <c r="N68" s="156">
        <v>10</v>
      </c>
      <c r="O68" s="156">
        <v>10</v>
      </c>
      <c r="P68" s="156">
        <v>10</v>
      </c>
      <c r="Q68" s="156">
        <v>10</v>
      </c>
      <c r="R68" s="210">
        <f>SUM(F68:Q68)</f>
        <v>120</v>
      </c>
      <c r="S68" s="391" t="s">
        <v>1229</v>
      </c>
      <c r="T68" s="392"/>
      <c r="U68" s="392"/>
      <c r="V68" s="53"/>
      <c r="W68" s="53"/>
      <c r="X68" s="53"/>
      <c r="Y68" s="53"/>
      <c r="Z68" s="53"/>
    </row>
    <row r="69" spans="1:26" ht="15.75" customHeight="1" x14ac:dyDescent="0.3">
      <c r="A69" s="120">
        <v>63</v>
      </c>
      <c r="B69" s="153" t="s">
        <v>289</v>
      </c>
      <c r="C69" s="3" t="s">
        <v>291</v>
      </c>
      <c r="D69" s="153" t="s">
        <v>797</v>
      </c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149"/>
      <c r="T69" s="53"/>
      <c r="U69" s="53"/>
      <c r="V69" s="53"/>
      <c r="W69" s="53"/>
      <c r="X69" s="53"/>
      <c r="Y69" s="53"/>
      <c r="Z69" s="53"/>
    </row>
    <row r="70" spans="1:26" ht="15.75" customHeight="1" x14ac:dyDescent="0.3">
      <c r="A70" s="120">
        <v>64</v>
      </c>
      <c r="B70" s="153" t="s">
        <v>608</v>
      </c>
      <c r="C70" s="44" t="s">
        <v>798</v>
      </c>
      <c r="D70" s="153" t="s">
        <v>799</v>
      </c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149"/>
      <c r="T70" s="53"/>
      <c r="U70" s="53"/>
      <c r="V70" s="53"/>
      <c r="W70" s="53"/>
      <c r="X70" s="53"/>
      <c r="Y70" s="53"/>
      <c r="Z70" s="53"/>
    </row>
    <row r="71" spans="1:26" ht="15.75" customHeight="1" x14ac:dyDescent="0.3">
      <c r="A71" s="120">
        <v>65</v>
      </c>
      <c r="B71" s="153" t="s">
        <v>548</v>
      </c>
      <c r="C71" s="14" t="s">
        <v>1053</v>
      </c>
      <c r="D71" s="153" t="s">
        <v>800</v>
      </c>
      <c r="E71" s="44"/>
      <c r="F71" s="117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49"/>
      <c r="T71" s="53"/>
      <c r="U71" s="53"/>
      <c r="V71" s="53"/>
      <c r="W71" s="53"/>
      <c r="X71" s="53"/>
      <c r="Y71" s="53"/>
      <c r="Z71" s="53"/>
    </row>
    <row r="72" spans="1:26" ht="15.75" customHeight="1" x14ac:dyDescent="0.3">
      <c r="A72" s="120">
        <v>66</v>
      </c>
      <c r="B72" s="153" t="s">
        <v>482</v>
      </c>
      <c r="C72" s="44" t="s">
        <v>999</v>
      </c>
      <c r="D72" s="153" t="s">
        <v>802</v>
      </c>
      <c r="E72" s="44"/>
      <c r="F72" s="117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49"/>
      <c r="T72" s="53"/>
      <c r="U72" s="53"/>
      <c r="V72" s="53"/>
    </row>
    <row r="73" spans="1:26" ht="15.75" customHeight="1" x14ac:dyDescent="0.3">
      <c r="A73" s="339">
        <v>67</v>
      </c>
      <c r="B73" s="262" t="s">
        <v>185</v>
      </c>
      <c r="C73" s="261" t="s">
        <v>1025</v>
      </c>
      <c r="D73" s="262" t="s">
        <v>804</v>
      </c>
      <c r="E73" s="263"/>
      <c r="F73" s="233">
        <v>10</v>
      </c>
      <c r="G73" s="234">
        <v>10</v>
      </c>
      <c r="H73" s="234">
        <v>10</v>
      </c>
      <c r="I73" s="234">
        <v>10</v>
      </c>
      <c r="J73" s="234">
        <v>10</v>
      </c>
      <c r="K73" s="234">
        <v>10</v>
      </c>
      <c r="L73" s="234">
        <v>10</v>
      </c>
      <c r="M73" s="234">
        <v>10</v>
      </c>
      <c r="N73" s="234">
        <v>10</v>
      </c>
      <c r="O73" s="234">
        <v>10</v>
      </c>
      <c r="P73" s="234">
        <v>10</v>
      </c>
      <c r="Q73" s="234">
        <v>10</v>
      </c>
      <c r="R73" s="234">
        <v>120</v>
      </c>
      <c r="S73" s="235"/>
      <c r="T73" s="236" t="s">
        <v>1033</v>
      </c>
      <c r="U73" s="236"/>
      <c r="V73" s="264"/>
      <c r="W73" s="245"/>
    </row>
    <row r="74" spans="1:26" ht="15.75" customHeight="1" x14ac:dyDescent="0.3">
      <c r="A74" s="120">
        <v>68</v>
      </c>
      <c r="B74" s="153" t="s">
        <v>276</v>
      </c>
      <c r="C74" s="44" t="s">
        <v>1000</v>
      </c>
      <c r="D74" s="153" t="s">
        <v>806</v>
      </c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149"/>
      <c r="T74" s="53"/>
      <c r="U74" s="53"/>
      <c r="V74" s="53"/>
    </row>
    <row r="75" spans="1:26" ht="15.75" customHeight="1" x14ac:dyDescent="0.3">
      <c r="A75" s="120">
        <v>69</v>
      </c>
      <c r="B75" s="153" t="s">
        <v>564</v>
      </c>
      <c r="C75" s="3" t="s">
        <v>566</v>
      </c>
      <c r="D75" s="153" t="s">
        <v>808</v>
      </c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149"/>
    </row>
    <row r="76" spans="1:26" ht="15.75" customHeight="1" x14ac:dyDescent="0.3">
      <c r="A76" s="120">
        <v>70</v>
      </c>
      <c r="B76" s="153" t="s">
        <v>629</v>
      </c>
      <c r="C76" s="3" t="s">
        <v>631</v>
      </c>
      <c r="D76" s="153" t="s">
        <v>809</v>
      </c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149"/>
    </row>
    <row r="77" spans="1:26" ht="15.75" customHeight="1" x14ac:dyDescent="0.3">
      <c r="A77" s="120">
        <v>71</v>
      </c>
      <c r="B77" s="153" t="s">
        <v>810</v>
      </c>
      <c r="C77" s="44" t="s">
        <v>811</v>
      </c>
      <c r="D77" s="153" t="s">
        <v>812</v>
      </c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149"/>
    </row>
    <row r="78" spans="1:26" ht="15.75" customHeight="1" x14ac:dyDescent="0.3">
      <c r="A78" s="120">
        <v>72</v>
      </c>
      <c r="B78" s="153" t="s">
        <v>813</v>
      </c>
      <c r="C78" s="44" t="s">
        <v>814</v>
      </c>
      <c r="D78" s="153" t="s">
        <v>815</v>
      </c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149"/>
      <c r="T78" s="53"/>
      <c r="U78" s="53"/>
    </row>
    <row r="79" spans="1:26" ht="15.75" customHeight="1" x14ac:dyDescent="0.3">
      <c r="A79" s="339">
        <v>73</v>
      </c>
      <c r="B79" s="255" t="s">
        <v>816</v>
      </c>
      <c r="C79" s="253" t="s">
        <v>817</v>
      </c>
      <c r="D79" s="255" t="s">
        <v>818</v>
      </c>
      <c r="E79" s="253"/>
      <c r="F79" s="253">
        <v>10</v>
      </c>
      <c r="G79" s="253">
        <v>10</v>
      </c>
      <c r="H79" s="253">
        <v>10</v>
      </c>
      <c r="I79" s="253">
        <v>10</v>
      </c>
      <c r="J79" s="253">
        <v>10</v>
      </c>
      <c r="K79" s="253">
        <v>10</v>
      </c>
      <c r="L79" s="253">
        <v>10</v>
      </c>
      <c r="M79" s="253">
        <v>10</v>
      </c>
      <c r="N79" s="253">
        <v>10</v>
      </c>
      <c r="O79" s="253">
        <v>10</v>
      </c>
      <c r="P79" s="253">
        <v>10</v>
      </c>
      <c r="Q79" s="253">
        <v>10</v>
      </c>
      <c r="R79" s="253">
        <f>SUM(F79:Q79)</f>
        <v>120</v>
      </c>
      <c r="S79" s="256"/>
      <c r="T79" s="257" t="s">
        <v>1139</v>
      </c>
      <c r="U79" s="246"/>
      <c r="V79" s="246"/>
      <c r="W79" s="245"/>
    </row>
    <row r="80" spans="1:26" ht="15.75" customHeight="1" x14ac:dyDescent="0.3">
      <c r="A80" s="120">
        <v>74</v>
      </c>
      <c r="B80" s="153" t="s">
        <v>819</v>
      </c>
      <c r="C80" s="44" t="s">
        <v>820</v>
      </c>
      <c r="D80" s="153" t="s">
        <v>821</v>
      </c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149"/>
    </row>
    <row r="81" spans="1:23" ht="15.75" customHeight="1" x14ac:dyDescent="0.3">
      <c r="A81" s="341">
        <v>75</v>
      </c>
      <c r="B81" s="154" t="s">
        <v>822</v>
      </c>
      <c r="C81" s="143" t="s">
        <v>823</v>
      </c>
      <c r="D81" s="154" t="s">
        <v>824</v>
      </c>
      <c r="E81" s="143"/>
      <c r="F81" s="253">
        <v>10</v>
      </c>
      <c r="G81" s="253">
        <v>10</v>
      </c>
      <c r="H81" s="253">
        <v>10</v>
      </c>
      <c r="I81" s="253">
        <v>10</v>
      </c>
      <c r="J81" s="253">
        <v>10</v>
      </c>
      <c r="K81" s="143">
        <v>10</v>
      </c>
      <c r="L81" s="143">
        <v>10</v>
      </c>
      <c r="M81" s="143">
        <v>10</v>
      </c>
      <c r="N81" s="143">
        <v>10</v>
      </c>
      <c r="O81" s="143">
        <v>10</v>
      </c>
      <c r="P81" s="143">
        <v>10</v>
      </c>
      <c r="Q81" s="143">
        <v>10</v>
      </c>
      <c r="R81" s="143">
        <f>SUM(F81:Q81)</f>
        <v>120</v>
      </c>
      <c r="S81" s="174" t="s">
        <v>1197</v>
      </c>
    </row>
    <row r="82" spans="1:23" ht="15.75" customHeight="1" x14ac:dyDescent="0.3">
      <c r="A82" s="120">
        <v>76</v>
      </c>
      <c r="B82" s="153" t="s">
        <v>825</v>
      </c>
      <c r="C82" s="44" t="s">
        <v>826</v>
      </c>
      <c r="D82" s="153" t="s">
        <v>827</v>
      </c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149"/>
    </row>
    <row r="83" spans="1:23" ht="15.75" customHeight="1" x14ac:dyDescent="0.3">
      <c r="A83" s="120">
        <v>77</v>
      </c>
      <c r="B83" s="153" t="s">
        <v>416</v>
      </c>
      <c r="C83" s="14" t="s">
        <v>418</v>
      </c>
      <c r="D83" s="153" t="s">
        <v>828</v>
      </c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149"/>
    </row>
    <row r="84" spans="1:23" ht="15.75" customHeight="1" x14ac:dyDescent="0.3">
      <c r="A84" s="120">
        <v>78</v>
      </c>
      <c r="B84" s="153" t="s">
        <v>829</v>
      </c>
      <c r="C84" s="44" t="s">
        <v>830</v>
      </c>
      <c r="D84" s="153" t="s">
        <v>831</v>
      </c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149"/>
    </row>
    <row r="85" spans="1:23" ht="15.75" customHeight="1" x14ac:dyDescent="0.3">
      <c r="A85" s="120">
        <v>79</v>
      </c>
      <c r="B85" s="153" t="s">
        <v>832</v>
      </c>
      <c r="C85" s="3" t="s">
        <v>584</v>
      </c>
      <c r="D85" s="153" t="s">
        <v>721</v>
      </c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149"/>
    </row>
    <row r="86" spans="1:23" ht="15.75" customHeight="1" x14ac:dyDescent="0.3">
      <c r="A86" s="120">
        <v>80</v>
      </c>
      <c r="B86" s="153" t="s">
        <v>833</v>
      </c>
      <c r="C86" s="14" t="s">
        <v>1054</v>
      </c>
      <c r="D86" s="153" t="s">
        <v>834</v>
      </c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149"/>
    </row>
    <row r="87" spans="1:23" ht="15.75" customHeight="1" x14ac:dyDescent="0.3">
      <c r="A87" s="120">
        <v>81</v>
      </c>
      <c r="B87" s="153" t="s">
        <v>836</v>
      </c>
      <c r="C87" s="44" t="s">
        <v>919</v>
      </c>
      <c r="D87" s="153" t="s">
        <v>920</v>
      </c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149"/>
    </row>
    <row r="88" spans="1:23" ht="15.75" customHeight="1" x14ac:dyDescent="0.3">
      <c r="A88" s="120">
        <v>82</v>
      </c>
      <c r="B88" s="153" t="s">
        <v>837</v>
      </c>
      <c r="C88" s="44" t="s">
        <v>921</v>
      </c>
      <c r="D88" s="153" t="s">
        <v>922</v>
      </c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149"/>
    </row>
    <row r="89" spans="1:23" ht="15.75" customHeight="1" x14ac:dyDescent="0.3">
      <c r="A89" s="349">
        <v>83</v>
      </c>
      <c r="B89" s="351" t="s">
        <v>142</v>
      </c>
      <c r="C89" s="350" t="s">
        <v>144</v>
      </c>
      <c r="D89" s="351" t="s">
        <v>838</v>
      </c>
      <c r="E89" s="352"/>
      <c r="F89" s="353">
        <v>10</v>
      </c>
      <c r="G89" s="353">
        <v>10</v>
      </c>
      <c r="H89" s="353">
        <v>10</v>
      </c>
      <c r="I89" s="353">
        <v>10</v>
      </c>
      <c r="J89" s="353">
        <v>10</v>
      </c>
      <c r="K89" s="353">
        <v>10</v>
      </c>
      <c r="L89" s="353">
        <v>10</v>
      </c>
      <c r="M89" s="353">
        <v>10</v>
      </c>
      <c r="N89" s="353">
        <v>10</v>
      </c>
      <c r="O89" s="353">
        <v>10</v>
      </c>
      <c r="P89" s="353">
        <v>10</v>
      </c>
      <c r="Q89" s="353">
        <v>10</v>
      </c>
      <c r="R89" s="353">
        <v>120</v>
      </c>
      <c r="S89" s="249"/>
      <c r="T89" s="250" t="s">
        <v>1055</v>
      </c>
      <c r="U89" s="250"/>
      <c r="V89" s="246"/>
      <c r="W89" s="245"/>
    </row>
    <row r="90" spans="1:23" ht="15.75" customHeight="1" x14ac:dyDescent="0.3">
      <c r="A90" s="219">
        <v>84</v>
      </c>
      <c r="B90" s="358" t="s">
        <v>839</v>
      </c>
      <c r="C90" s="357" t="s">
        <v>572</v>
      </c>
      <c r="D90" s="358" t="s">
        <v>923</v>
      </c>
      <c r="E90" s="348"/>
      <c r="F90" s="348"/>
      <c r="G90" s="348"/>
      <c r="H90" s="348"/>
      <c r="I90" s="348"/>
      <c r="J90" s="348"/>
      <c r="K90" s="348"/>
      <c r="L90" s="348"/>
      <c r="M90" s="348"/>
      <c r="N90" s="348"/>
      <c r="O90" s="348"/>
      <c r="P90" s="348"/>
      <c r="Q90" s="348"/>
      <c r="R90" s="348"/>
    </row>
    <row r="91" spans="1:23" ht="15.75" customHeight="1" x14ac:dyDescent="0.3">
      <c r="A91" s="219">
        <v>85</v>
      </c>
      <c r="B91" s="358" t="s">
        <v>840</v>
      </c>
      <c r="C91" s="359"/>
      <c r="D91" s="358"/>
      <c r="E91" s="359"/>
      <c r="F91" s="359"/>
      <c r="G91" s="359"/>
      <c r="H91" s="359"/>
      <c r="I91" s="359"/>
      <c r="J91" s="359"/>
      <c r="K91" s="359"/>
      <c r="L91" s="359"/>
      <c r="M91" s="359"/>
      <c r="N91" s="359"/>
      <c r="O91" s="359"/>
      <c r="P91" s="359"/>
      <c r="Q91" s="359"/>
      <c r="R91" s="359"/>
      <c r="S91" s="149"/>
    </row>
    <row r="92" spans="1:23" ht="15.75" customHeight="1" x14ac:dyDescent="0.3">
      <c r="A92" s="354">
        <v>86</v>
      </c>
      <c r="B92" s="356" t="s">
        <v>841</v>
      </c>
      <c r="C92" s="355" t="s">
        <v>212</v>
      </c>
      <c r="D92" s="356" t="s">
        <v>926</v>
      </c>
      <c r="E92" s="347"/>
      <c r="F92" s="347"/>
      <c r="G92" s="347"/>
      <c r="H92" s="347"/>
      <c r="I92" s="347"/>
      <c r="J92" s="347"/>
      <c r="K92" s="347"/>
      <c r="L92" s="347"/>
      <c r="M92" s="347"/>
      <c r="N92" s="347"/>
      <c r="O92" s="347"/>
      <c r="P92" s="347"/>
      <c r="Q92" s="347"/>
      <c r="R92" s="347"/>
      <c r="S92" s="149"/>
    </row>
    <row r="93" spans="1:23" ht="15.75" customHeight="1" x14ac:dyDescent="0.3">
      <c r="A93" s="120">
        <v>87</v>
      </c>
      <c r="B93" s="153" t="s">
        <v>842</v>
      </c>
      <c r="C93" s="44"/>
      <c r="D93" s="153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149"/>
    </row>
    <row r="94" spans="1:23" ht="15.75" customHeight="1" x14ac:dyDescent="0.3">
      <c r="A94" s="326">
        <v>88</v>
      </c>
      <c r="B94" s="327" t="s">
        <v>644</v>
      </c>
      <c r="C94" s="336" t="s">
        <v>647</v>
      </c>
      <c r="D94" s="327" t="s">
        <v>843</v>
      </c>
      <c r="E94" s="333"/>
      <c r="F94" s="333">
        <v>10</v>
      </c>
      <c r="G94" s="333">
        <v>10</v>
      </c>
      <c r="H94" s="333">
        <v>10</v>
      </c>
      <c r="I94" s="333">
        <v>10</v>
      </c>
      <c r="J94" s="333">
        <v>10</v>
      </c>
      <c r="K94" s="333">
        <v>10</v>
      </c>
      <c r="L94" s="333">
        <v>10</v>
      </c>
      <c r="M94" s="333">
        <v>10</v>
      </c>
      <c r="N94" s="333">
        <v>10</v>
      </c>
      <c r="O94" s="333">
        <v>10</v>
      </c>
      <c r="P94" s="333">
        <v>10</v>
      </c>
      <c r="Q94" s="333">
        <v>10</v>
      </c>
      <c r="R94" s="333">
        <f>SUM(E94:Q94)</f>
        <v>120</v>
      </c>
      <c r="S94" s="344" t="s">
        <v>1226</v>
      </c>
      <c r="T94" s="335"/>
    </row>
    <row r="95" spans="1:23" ht="15.75" customHeight="1" x14ac:dyDescent="0.3">
      <c r="A95" s="120">
        <v>89</v>
      </c>
      <c r="B95" s="153" t="s">
        <v>844</v>
      </c>
      <c r="C95" s="44"/>
      <c r="D95" s="153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149"/>
    </row>
    <row r="96" spans="1:23" ht="15.75" customHeight="1" x14ac:dyDescent="0.3">
      <c r="A96" s="120">
        <v>90</v>
      </c>
      <c r="B96" s="153" t="s">
        <v>845</v>
      </c>
      <c r="C96" s="44"/>
      <c r="D96" s="153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149"/>
      <c r="U96" s="53" t="s">
        <v>1003</v>
      </c>
      <c r="V96" s="53">
        <v>33</v>
      </c>
    </row>
    <row r="97" spans="1:22" ht="15.75" customHeight="1" x14ac:dyDescent="0.3">
      <c r="A97" s="120">
        <v>91</v>
      </c>
      <c r="B97" s="153" t="s">
        <v>846</v>
      </c>
      <c r="C97" s="44"/>
      <c r="D97" s="153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149"/>
      <c r="U97" s="53" t="s">
        <v>1004</v>
      </c>
      <c r="V97" s="53">
        <v>98</v>
      </c>
    </row>
    <row r="98" spans="1:22" ht="15.75" customHeight="1" x14ac:dyDescent="0.3">
      <c r="A98" s="120">
        <v>92</v>
      </c>
      <c r="B98" s="153" t="s">
        <v>847</v>
      </c>
      <c r="C98" s="44"/>
      <c r="D98" s="153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149"/>
    </row>
    <row r="99" spans="1:22" ht="15.75" customHeight="1" x14ac:dyDescent="0.3">
      <c r="A99" s="120">
        <v>93</v>
      </c>
      <c r="B99" s="153" t="s">
        <v>848</v>
      </c>
      <c r="C99" s="44"/>
      <c r="D99" s="153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149"/>
    </row>
    <row r="100" spans="1:22" ht="15.75" customHeight="1" x14ac:dyDescent="0.3">
      <c r="A100" s="120">
        <v>94</v>
      </c>
      <c r="B100" s="153" t="s">
        <v>849</v>
      </c>
      <c r="C100" s="44"/>
      <c r="D100" s="153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149"/>
    </row>
    <row r="101" spans="1:22" ht="15.75" customHeight="1" x14ac:dyDescent="0.3">
      <c r="A101" s="120">
        <v>95</v>
      </c>
      <c r="B101" s="153" t="s">
        <v>850</v>
      </c>
      <c r="C101" s="44"/>
      <c r="D101" s="153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149"/>
    </row>
    <row r="102" spans="1:22" ht="15.75" customHeight="1" x14ac:dyDescent="0.3">
      <c r="A102" s="120">
        <v>96</v>
      </c>
      <c r="B102" s="153" t="s">
        <v>851</v>
      </c>
      <c r="C102" s="44"/>
      <c r="D102" s="153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149"/>
    </row>
    <row r="103" spans="1:22" ht="15.75" customHeight="1" x14ac:dyDescent="0.3">
      <c r="A103" s="120">
        <v>97</v>
      </c>
      <c r="B103" s="153" t="s">
        <v>852</v>
      </c>
      <c r="C103" s="44"/>
      <c r="D103" s="153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149"/>
    </row>
    <row r="104" spans="1:22" ht="15.75" customHeight="1" x14ac:dyDescent="0.3">
      <c r="A104" s="120">
        <v>98</v>
      </c>
      <c r="B104" s="153" t="s">
        <v>853</v>
      </c>
      <c r="C104" s="44"/>
      <c r="D104" s="153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149"/>
    </row>
    <row r="105" spans="1:22" ht="15.75" customHeight="1" x14ac:dyDescent="0.3">
      <c r="A105" s="120">
        <v>99</v>
      </c>
      <c r="B105" s="153" t="s">
        <v>854</v>
      </c>
      <c r="C105" s="44"/>
      <c r="D105" s="153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149"/>
    </row>
    <row r="106" spans="1:22" ht="15.75" customHeight="1" x14ac:dyDescent="0.3">
      <c r="A106" s="120">
        <v>100</v>
      </c>
      <c r="B106" s="153" t="s">
        <v>855</v>
      </c>
      <c r="C106" s="44"/>
      <c r="D106" s="153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149"/>
    </row>
    <row r="107" spans="1:22" ht="15.75" customHeight="1" x14ac:dyDescent="0.3">
      <c r="A107" s="120">
        <v>101</v>
      </c>
      <c r="B107" s="153" t="s">
        <v>856</v>
      </c>
      <c r="C107" s="44"/>
      <c r="D107" s="153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149"/>
    </row>
    <row r="108" spans="1:22" ht="15.75" customHeight="1" x14ac:dyDescent="0.3">
      <c r="A108" s="120">
        <v>102</v>
      </c>
      <c r="B108" s="153" t="s">
        <v>857</v>
      </c>
      <c r="C108" s="44"/>
      <c r="D108" s="153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149"/>
    </row>
    <row r="109" spans="1:22" ht="15.75" customHeight="1" x14ac:dyDescent="0.3">
      <c r="A109" s="120">
        <v>103</v>
      </c>
      <c r="B109" s="153" t="s">
        <v>858</v>
      </c>
      <c r="C109" s="44"/>
      <c r="D109" s="153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149"/>
    </row>
    <row r="110" spans="1:22" ht="15.75" customHeight="1" x14ac:dyDescent="0.3">
      <c r="A110" s="120">
        <v>104</v>
      </c>
      <c r="B110" s="153" t="s">
        <v>859</v>
      </c>
      <c r="C110" s="44"/>
      <c r="D110" s="153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149"/>
    </row>
    <row r="111" spans="1:22" ht="15.75" customHeight="1" x14ac:dyDescent="0.3">
      <c r="A111" s="120">
        <v>105</v>
      </c>
      <c r="B111" s="153" t="s">
        <v>468</v>
      </c>
      <c r="C111" s="44" t="s">
        <v>470</v>
      </c>
      <c r="D111" s="153" t="s">
        <v>860</v>
      </c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149"/>
      <c r="T111" s="53"/>
      <c r="U111" s="53"/>
    </row>
    <row r="112" spans="1:22" ht="15.75" customHeight="1" x14ac:dyDescent="0.3">
      <c r="A112" s="120">
        <v>106</v>
      </c>
      <c r="B112" s="153" t="s">
        <v>861</v>
      </c>
      <c r="C112" s="44"/>
      <c r="D112" s="153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149"/>
    </row>
    <row r="113" spans="1:23" ht="15.75" customHeight="1" x14ac:dyDescent="0.3">
      <c r="A113" s="120">
        <v>107</v>
      </c>
      <c r="B113" s="153" t="s">
        <v>862</v>
      </c>
      <c r="C113" s="44"/>
      <c r="D113" s="153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149"/>
    </row>
    <row r="114" spans="1:23" ht="15.75" customHeight="1" x14ac:dyDescent="0.3">
      <c r="A114" s="120">
        <v>108</v>
      </c>
      <c r="B114" s="153" t="s">
        <v>863</v>
      </c>
      <c r="C114" s="44"/>
      <c r="D114" s="153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149"/>
    </row>
    <row r="115" spans="1:23" ht="15.75" customHeight="1" x14ac:dyDescent="0.3">
      <c r="A115" s="120">
        <v>109</v>
      </c>
      <c r="B115" s="153" t="s">
        <v>864</v>
      </c>
      <c r="C115" s="44"/>
      <c r="D115" s="153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149"/>
    </row>
    <row r="116" spans="1:23" ht="15.75" customHeight="1" x14ac:dyDescent="0.3">
      <c r="A116" s="120">
        <v>110</v>
      </c>
      <c r="B116" s="153" t="s">
        <v>865</v>
      </c>
      <c r="C116" s="44"/>
      <c r="D116" s="153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149"/>
    </row>
    <row r="117" spans="1:23" ht="15.75" customHeight="1" x14ac:dyDescent="0.3">
      <c r="A117" s="196">
        <v>111</v>
      </c>
      <c r="B117" s="179" t="s">
        <v>621</v>
      </c>
      <c r="C117" s="178" t="s">
        <v>623</v>
      </c>
      <c r="D117" s="179" t="s">
        <v>866</v>
      </c>
      <c r="E117" s="156"/>
      <c r="F117" s="156">
        <v>10</v>
      </c>
      <c r="G117" s="156">
        <v>10</v>
      </c>
      <c r="H117" s="156">
        <v>10</v>
      </c>
      <c r="I117" s="156">
        <v>10</v>
      </c>
      <c r="J117" s="156">
        <v>10</v>
      </c>
      <c r="K117" s="156">
        <v>10</v>
      </c>
      <c r="L117" s="156">
        <v>10</v>
      </c>
      <c r="M117" s="156">
        <v>10</v>
      </c>
      <c r="N117" s="156">
        <v>10</v>
      </c>
      <c r="O117" s="156">
        <v>10</v>
      </c>
      <c r="P117" s="156">
        <v>10</v>
      </c>
      <c r="Q117" s="156">
        <v>10</v>
      </c>
      <c r="R117" s="156">
        <f>SUM(F117:Q117)</f>
        <v>120</v>
      </c>
      <c r="S117" s="322"/>
      <c r="T117" s="323" t="s">
        <v>1221</v>
      </c>
      <c r="U117" s="159"/>
      <c r="V117" s="159"/>
      <c r="W117" s="161"/>
    </row>
    <row r="118" spans="1:23" ht="15.75" customHeight="1" x14ac:dyDescent="0.3">
      <c r="A118" s="337">
        <v>112</v>
      </c>
      <c r="B118" s="262" t="s">
        <v>208</v>
      </c>
      <c r="C118" s="263" t="s">
        <v>1006</v>
      </c>
      <c r="D118" s="262" t="s">
        <v>1007</v>
      </c>
      <c r="E118" s="263"/>
      <c r="F118" s="233">
        <v>10</v>
      </c>
      <c r="G118" s="234">
        <v>10</v>
      </c>
      <c r="H118" s="234">
        <v>10</v>
      </c>
      <c r="I118" s="234">
        <v>10</v>
      </c>
      <c r="J118" s="234">
        <v>10</v>
      </c>
      <c r="K118" s="234">
        <v>10</v>
      </c>
      <c r="L118" s="234">
        <v>10</v>
      </c>
      <c r="M118" s="234">
        <v>10</v>
      </c>
      <c r="N118" s="234">
        <v>10</v>
      </c>
      <c r="O118" s="234">
        <v>10</v>
      </c>
      <c r="P118" s="234">
        <v>10</v>
      </c>
      <c r="Q118" s="234">
        <v>10</v>
      </c>
      <c r="R118" s="234">
        <v>120</v>
      </c>
      <c r="S118" s="235"/>
      <c r="T118" s="236" t="s">
        <v>1033</v>
      </c>
      <c r="U118" s="236"/>
      <c r="V118" s="246"/>
      <c r="W118" s="245"/>
    </row>
    <row r="119" spans="1:23" ht="15.75" customHeight="1" x14ac:dyDescent="0.3">
      <c r="A119" s="120">
        <v>113</v>
      </c>
      <c r="B119" s="153" t="s">
        <v>867</v>
      </c>
      <c r="C119" s="44"/>
      <c r="D119" s="153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149"/>
    </row>
    <row r="120" spans="1:23" ht="15.75" customHeight="1" x14ac:dyDescent="0.3">
      <c r="A120" s="120">
        <v>114</v>
      </c>
      <c r="B120" s="153" t="s">
        <v>868</v>
      </c>
      <c r="C120" s="44"/>
      <c r="D120" s="153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149"/>
    </row>
    <row r="121" spans="1:23" ht="15.75" customHeight="1" x14ac:dyDescent="0.3">
      <c r="A121" s="120">
        <v>115</v>
      </c>
      <c r="B121" s="153" t="s">
        <v>869</v>
      </c>
      <c r="C121" s="44"/>
      <c r="D121" s="153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149"/>
    </row>
    <row r="122" spans="1:23" ht="15.75" customHeight="1" x14ac:dyDescent="0.3">
      <c r="A122" s="120">
        <v>116</v>
      </c>
      <c r="B122" s="153" t="s">
        <v>870</v>
      </c>
      <c r="C122" s="44"/>
      <c r="D122" s="153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149"/>
    </row>
    <row r="123" spans="1:23" ht="15.75" customHeight="1" x14ac:dyDescent="0.3">
      <c r="A123" s="120">
        <v>117</v>
      </c>
      <c r="B123" s="153" t="s">
        <v>871</v>
      </c>
      <c r="C123" s="44"/>
      <c r="D123" s="153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149"/>
    </row>
    <row r="124" spans="1:23" ht="15.75" customHeight="1" x14ac:dyDescent="0.3">
      <c r="A124" s="120">
        <v>118</v>
      </c>
      <c r="B124" s="153" t="s">
        <v>872</v>
      </c>
      <c r="C124" s="44"/>
      <c r="D124" s="153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149"/>
    </row>
    <row r="125" spans="1:23" ht="15.75" customHeight="1" x14ac:dyDescent="0.3">
      <c r="A125" s="120">
        <v>119</v>
      </c>
      <c r="B125" s="153" t="s">
        <v>873</v>
      </c>
      <c r="C125" s="44"/>
      <c r="D125" s="153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149"/>
    </row>
    <row r="126" spans="1:23" ht="15.75" customHeight="1" x14ac:dyDescent="0.3">
      <c r="A126" s="338">
        <v>120</v>
      </c>
      <c r="B126" s="232" t="s">
        <v>246</v>
      </c>
      <c r="C126" s="231" t="s">
        <v>1028</v>
      </c>
      <c r="D126" s="232" t="s">
        <v>1029</v>
      </c>
      <c r="E126" s="231">
        <v>20</v>
      </c>
      <c r="F126" s="231">
        <v>10</v>
      </c>
      <c r="G126" s="231">
        <v>10</v>
      </c>
      <c r="H126" s="231">
        <v>10</v>
      </c>
      <c r="I126" s="231">
        <v>10</v>
      </c>
      <c r="J126" s="231">
        <v>10</v>
      </c>
      <c r="K126" s="231">
        <v>10</v>
      </c>
      <c r="L126" s="231">
        <v>10</v>
      </c>
      <c r="M126" s="231">
        <v>10</v>
      </c>
      <c r="N126" s="231">
        <v>10</v>
      </c>
      <c r="O126" s="231">
        <v>10</v>
      </c>
      <c r="P126" s="231">
        <v>10</v>
      </c>
      <c r="Q126" s="231">
        <v>10</v>
      </c>
      <c r="R126" s="231">
        <v>120</v>
      </c>
      <c r="S126" s="241">
        <v>20</v>
      </c>
      <c r="T126" s="244" t="s">
        <v>973</v>
      </c>
      <c r="U126" s="244"/>
      <c r="V126" s="243" t="s">
        <v>1056</v>
      </c>
      <c r="W126" s="245"/>
    </row>
    <row r="127" spans="1:23" ht="15.75" customHeight="1" x14ac:dyDescent="0.3">
      <c r="A127" s="120">
        <v>121</v>
      </c>
      <c r="B127" s="153" t="s">
        <v>540</v>
      </c>
      <c r="C127" s="44" t="s">
        <v>874</v>
      </c>
      <c r="D127" s="153" t="s">
        <v>875</v>
      </c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149"/>
    </row>
    <row r="128" spans="1:23" ht="15.75" customHeight="1" x14ac:dyDescent="0.3">
      <c r="A128" s="120">
        <v>122</v>
      </c>
      <c r="B128" s="153" t="s">
        <v>876</v>
      </c>
      <c r="C128" s="44"/>
      <c r="D128" s="153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149"/>
    </row>
    <row r="129" spans="1:26" ht="15.75" customHeight="1" x14ac:dyDescent="0.3">
      <c r="A129" s="338">
        <v>123</v>
      </c>
      <c r="B129" s="232" t="s">
        <v>165</v>
      </c>
      <c r="C129" s="247" t="s">
        <v>167</v>
      </c>
      <c r="D129" s="232" t="s">
        <v>877</v>
      </c>
      <c r="E129" s="231"/>
      <c r="F129" s="231">
        <v>10</v>
      </c>
      <c r="G129" s="231">
        <v>10</v>
      </c>
      <c r="H129" s="231">
        <v>10</v>
      </c>
      <c r="I129" s="231">
        <v>10</v>
      </c>
      <c r="J129" s="231">
        <v>10</v>
      </c>
      <c r="K129" s="231">
        <v>10</v>
      </c>
      <c r="L129" s="231">
        <v>10</v>
      </c>
      <c r="M129" s="231">
        <v>10</v>
      </c>
      <c r="N129" s="231">
        <v>10</v>
      </c>
      <c r="O129" s="231">
        <v>10</v>
      </c>
      <c r="P129" s="231">
        <v>10</v>
      </c>
      <c r="Q129" s="231">
        <v>10</v>
      </c>
      <c r="R129" s="231">
        <v>120</v>
      </c>
      <c r="S129" s="248"/>
      <c r="T129" s="244" t="s">
        <v>1057</v>
      </c>
      <c r="U129" s="244"/>
      <c r="V129" s="245"/>
      <c r="W129" s="245"/>
    </row>
    <row r="130" spans="1:26" ht="15.75" customHeight="1" x14ac:dyDescent="0.3">
      <c r="A130" s="120">
        <v>124</v>
      </c>
      <c r="B130" s="153" t="s">
        <v>878</v>
      </c>
      <c r="C130" s="44"/>
      <c r="D130" s="153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149"/>
    </row>
    <row r="131" spans="1:26" ht="15.75" customHeight="1" x14ac:dyDescent="0.3">
      <c r="A131" s="120">
        <v>125</v>
      </c>
      <c r="B131" s="153" t="s">
        <v>476</v>
      </c>
      <c r="C131" s="14" t="s">
        <v>1030</v>
      </c>
      <c r="D131" s="153" t="s">
        <v>879</v>
      </c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149"/>
      <c r="T131" s="53"/>
      <c r="U131" s="53"/>
      <c r="V131" s="53"/>
    </row>
    <row r="132" spans="1:26" ht="15.75" customHeight="1" x14ac:dyDescent="0.3">
      <c r="A132" s="120">
        <v>126</v>
      </c>
      <c r="B132" s="153" t="s">
        <v>387</v>
      </c>
      <c r="C132" s="14" t="s">
        <v>880</v>
      </c>
      <c r="D132" s="153" t="s">
        <v>881</v>
      </c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149"/>
    </row>
    <row r="133" spans="1:26" ht="15.75" customHeight="1" x14ac:dyDescent="0.3">
      <c r="A133" s="120">
        <v>127</v>
      </c>
      <c r="B133" s="153" t="s">
        <v>662</v>
      </c>
      <c r="C133" s="14" t="s">
        <v>665</v>
      </c>
      <c r="D133" s="153" t="s">
        <v>882</v>
      </c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149"/>
    </row>
    <row r="134" spans="1:26" ht="15.75" customHeight="1" x14ac:dyDescent="0.3">
      <c r="A134" s="339">
        <v>128</v>
      </c>
      <c r="B134" s="232" t="s">
        <v>496</v>
      </c>
      <c r="C134" s="260" t="s">
        <v>498</v>
      </c>
      <c r="D134" s="232" t="s">
        <v>1009</v>
      </c>
      <c r="E134" s="231"/>
      <c r="F134" s="231">
        <v>10</v>
      </c>
      <c r="G134" s="231">
        <v>10</v>
      </c>
      <c r="H134" s="231">
        <v>10</v>
      </c>
      <c r="I134" s="231">
        <v>10</v>
      </c>
      <c r="J134" s="231">
        <v>10</v>
      </c>
      <c r="K134" s="231">
        <v>10</v>
      </c>
      <c r="L134" s="231">
        <v>10</v>
      </c>
      <c r="M134" s="231">
        <v>10</v>
      </c>
      <c r="N134" s="231">
        <v>10</v>
      </c>
      <c r="O134" s="231">
        <v>10</v>
      </c>
      <c r="P134" s="231">
        <v>10</v>
      </c>
      <c r="Q134" s="231">
        <v>10</v>
      </c>
      <c r="R134" s="231">
        <v>120</v>
      </c>
      <c r="S134" s="248"/>
      <c r="T134" s="244" t="s">
        <v>1058</v>
      </c>
      <c r="U134" s="244"/>
      <c r="V134" s="245"/>
      <c r="W134" s="245"/>
    </row>
    <row r="135" spans="1:26" ht="15.75" customHeight="1" x14ac:dyDescent="0.3">
      <c r="A135" s="120">
        <v>129</v>
      </c>
      <c r="B135" s="153" t="s">
        <v>13</v>
      </c>
      <c r="C135" s="44" t="s">
        <v>886</v>
      </c>
      <c r="D135" s="153" t="s">
        <v>887</v>
      </c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149"/>
    </row>
    <row r="136" spans="1:26" ht="15.75" customHeight="1" x14ac:dyDescent="0.3">
      <c r="A136" s="342">
        <v>130</v>
      </c>
      <c r="B136" s="283" t="s">
        <v>93</v>
      </c>
      <c r="C136" s="282" t="s">
        <v>95</v>
      </c>
      <c r="D136" s="283"/>
      <c r="E136" s="282"/>
      <c r="F136" s="284">
        <v>10</v>
      </c>
      <c r="G136" s="285">
        <v>10</v>
      </c>
      <c r="H136" s="285">
        <v>10</v>
      </c>
      <c r="I136" s="285">
        <v>10</v>
      </c>
      <c r="J136" s="285">
        <v>10</v>
      </c>
      <c r="K136" s="285">
        <v>10</v>
      </c>
      <c r="L136" s="285">
        <v>10</v>
      </c>
      <c r="M136" s="285">
        <v>10</v>
      </c>
      <c r="N136" s="285">
        <v>10</v>
      </c>
      <c r="O136" s="285">
        <v>10</v>
      </c>
      <c r="P136" s="285">
        <v>10</v>
      </c>
      <c r="Q136" s="285">
        <v>10</v>
      </c>
      <c r="R136" s="285">
        <f>SUM(F136:Q136)</f>
        <v>120</v>
      </c>
      <c r="S136" s="286"/>
      <c r="T136" s="287" t="s">
        <v>1202</v>
      </c>
      <c r="U136" s="288"/>
      <c r="V136" s="289"/>
      <c r="W136" s="289"/>
    </row>
    <row r="137" spans="1:26" ht="15.75" customHeight="1" x14ac:dyDescent="0.3">
      <c r="A137" s="120">
        <v>131</v>
      </c>
      <c r="B137" s="153" t="s">
        <v>409</v>
      </c>
      <c r="C137" s="3" t="s">
        <v>412</v>
      </c>
      <c r="D137" s="153" t="s">
        <v>888</v>
      </c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149"/>
    </row>
    <row r="138" spans="1:26" ht="15.75" customHeight="1" x14ac:dyDescent="0.3">
      <c r="A138" s="120">
        <v>132</v>
      </c>
      <c r="B138" s="153" t="s">
        <v>602</v>
      </c>
      <c r="C138" s="3" t="s">
        <v>933</v>
      </c>
      <c r="D138" s="153" t="s">
        <v>736</v>
      </c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149"/>
      <c r="T138" s="53"/>
      <c r="U138" s="53"/>
      <c r="V138" s="53"/>
      <c r="W138" s="53"/>
      <c r="X138" s="53"/>
      <c r="Y138" s="53"/>
      <c r="Z138" s="53"/>
    </row>
    <row r="139" spans="1:26" ht="15.75" customHeight="1" x14ac:dyDescent="0.3">
      <c r="A139" s="120">
        <v>133</v>
      </c>
      <c r="B139" s="153" t="s">
        <v>890</v>
      </c>
      <c r="C139" s="3" t="s">
        <v>1031</v>
      </c>
      <c r="D139" s="153" t="s">
        <v>892</v>
      </c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149"/>
      <c r="T139" s="53"/>
      <c r="U139" s="53"/>
      <c r="V139" s="53"/>
      <c r="W139" s="53"/>
      <c r="X139" s="53"/>
      <c r="Y139" s="53"/>
      <c r="Z139" s="53"/>
    </row>
    <row r="140" spans="1:26" ht="15.75" customHeight="1" x14ac:dyDescent="0.3">
      <c r="A140" s="120">
        <v>134</v>
      </c>
      <c r="B140" s="153" t="s">
        <v>893</v>
      </c>
      <c r="C140" s="3" t="s">
        <v>894</v>
      </c>
      <c r="D140" s="153" t="s">
        <v>895</v>
      </c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149"/>
      <c r="T140" s="53"/>
      <c r="U140" s="53"/>
      <c r="V140" s="53"/>
      <c r="W140" s="53"/>
      <c r="X140" s="53"/>
      <c r="Y140" s="53"/>
      <c r="Z140" s="53"/>
    </row>
    <row r="141" spans="1:26" ht="15.75" customHeight="1" x14ac:dyDescent="0.3">
      <c r="A141" s="120">
        <v>135</v>
      </c>
      <c r="B141" s="155" t="s">
        <v>1012</v>
      </c>
      <c r="C141" s="122" t="s">
        <v>1013</v>
      </c>
      <c r="D141" s="155" t="s">
        <v>1014</v>
      </c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50" t="s">
        <v>1059</v>
      </c>
      <c r="T141" s="124"/>
      <c r="U141" s="53"/>
      <c r="V141" s="53"/>
      <c r="W141" s="53"/>
    </row>
    <row r="142" spans="1:26" ht="15.75" customHeight="1" x14ac:dyDescent="0.3">
      <c r="A142" s="149"/>
      <c r="B142" s="152"/>
      <c r="C142" s="62"/>
      <c r="D142" s="152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149"/>
    </row>
    <row r="143" spans="1:26" ht="15.75" customHeight="1" x14ac:dyDescent="0.3">
      <c r="B143" s="152"/>
      <c r="D143" s="152" t="s">
        <v>896</v>
      </c>
      <c r="E143" s="147">
        <f t="shared" ref="E143:U143" si="0">SUM(E7:E141)</f>
        <v>20</v>
      </c>
      <c r="F143" s="20">
        <f>SUM(F7:F141)</f>
        <v>450</v>
      </c>
      <c r="G143" s="20">
        <f t="shared" ref="G143:Q143" si="1">SUM(G7:G141)</f>
        <v>450</v>
      </c>
      <c r="H143" s="20">
        <f t="shared" si="1"/>
        <v>450</v>
      </c>
      <c r="I143" s="20">
        <f t="shared" si="1"/>
        <v>450</v>
      </c>
      <c r="J143" s="20">
        <f t="shared" si="1"/>
        <v>450</v>
      </c>
      <c r="K143" s="20">
        <f t="shared" si="1"/>
        <v>450</v>
      </c>
      <c r="L143" s="20">
        <f t="shared" si="1"/>
        <v>450</v>
      </c>
      <c r="M143" s="20">
        <f t="shared" si="1"/>
        <v>450</v>
      </c>
      <c r="N143" s="20">
        <f t="shared" si="1"/>
        <v>450</v>
      </c>
      <c r="O143" s="20">
        <f t="shared" si="1"/>
        <v>450</v>
      </c>
      <c r="P143" s="20">
        <f t="shared" si="1"/>
        <v>450</v>
      </c>
      <c r="Q143" s="20">
        <f t="shared" si="1"/>
        <v>450</v>
      </c>
      <c r="R143" s="147">
        <f>SUM(R7:R141)</f>
        <v>5400</v>
      </c>
      <c r="S143" s="151">
        <f t="shared" si="0"/>
        <v>7640</v>
      </c>
      <c r="T143" s="20">
        <f t="shared" si="0"/>
        <v>9</v>
      </c>
      <c r="U143" s="20">
        <f t="shared" si="0"/>
        <v>0</v>
      </c>
    </row>
    <row r="144" spans="1:26" ht="15.75" customHeight="1" x14ac:dyDescent="0.3">
      <c r="B144" s="152"/>
      <c r="D144" s="152"/>
      <c r="E144" s="20">
        <f>E143/20</f>
        <v>1</v>
      </c>
    </row>
    <row r="145" spans="2:19" ht="15.75" customHeight="1" x14ac:dyDescent="0.3">
      <c r="B145" s="152"/>
      <c r="D145" s="152"/>
    </row>
    <row r="146" spans="2:19" ht="15.75" customHeight="1" x14ac:dyDescent="0.3">
      <c r="B146" s="152"/>
      <c r="D146" s="152"/>
      <c r="S146" s="151">
        <f>S143-110</f>
        <v>7530</v>
      </c>
    </row>
    <row r="147" spans="2:19" ht="15.75" customHeight="1" x14ac:dyDescent="0.3">
      <c r="B147" s="152"/>
      <c r="D147" s="152"/>
      <c r="S147" s="151">
        <f>S146/120</f>
        <v>62.75</v>
      </c>
    </row>
    <row r="148" spans="2:19" ht="15.75" customHeight="1" x14ac:dyDescent="0.3">
      <c r="B148" s="152"/>
      <c r="D148" s="152"/>
    </row>
    <row r="149" spans="2:19" ht="15.75" customHeight="1" x14ac:dyDescent="0.3">
      <c r="B149" s="152"/>
      <c r="D149" s="152"/>
    </row>
    <row r="150" spans="2:19" ht="15.75" customHeight="1" x14ac:dyDescent="0.3">
      <c r="B150" s="152"/>
      <c r="D150" s="152"/>
    </row>
    <row r="151" spans="2:19" ht="15.75" customHeight="1" x14ac:dyDescent="0.3">
      <c r="B151" s="152"/>
      <c r="D151" s="152"/>
    </row>
    <row r="152" spans="2:19" ht="15.75" customHeight="1" x14ac:dyDescent="0.3">
      <c r="B152" s="152"/>
      <c r="D152" s="152"/>
    </row>
    <row r="153" spans="2:19" ht="15.75" customHeight="1" x14ac:dyDescent="0.3">
      <c r="B153" s="152"/>
      <c r="D153" s="152"/>
    </row>
    <row r="154" spans="2:19" ht="15.75" customHeight="1" x14ac:dyDescent="0.3">
      <c r="B154" s="152"/>
      <c r="D154" s="152"/>
    </row>
    <row r="155" spans="2:19" ht="15.75" customHeight="1" x14ac:dyDescent="0.3">
      <c r="B155" s="152"/>
      <c r="D155" s="152"/>
    </row>
    <row r="156" spans="2:19" ht="15.75" customHeight="1" x14ac:dyDescent="0.3">
      <c r="B156" s="152"/>
      <c r="D156" s="152"/>
    </row>
    <row r="157" spans="2:19" ht="15.75" customHeight="1" x14ac:dyDescent="0.3">
      <c r="B157" s="152"/>
      <c r="D157" s="152"/>
    </row>
    <row r="158" spans="2:19" ht="15.75" customHeight="1" x14ac:dyDescent="0.3">
      <c r="B158" s="152"/>
      <c r="D158" s="152"/>
    </row>
    <row r="159" spans="2:19" ht="15.75" customHeight="1" x14ac:dyDescent="0.3">
      <c r="B159" s="152"/>
      <c r="D159" s="152"/>
    </row>
    <row r="160" spans="2:19" ht="15.75" customHeight="1" x14ac:dyDescent="0.3">
      <c r="B160" s="152"/>
      <c r="D160" s="152"/>
    </row>
    <row r="161" spans="2:4" ht="15.75" customHeight="1" x14ac:dyDescent="0.3">
      <c r="B161" s="152"/>
      <c r="D161" s="152"/>
    </row>
    <row r="162" spans="2:4" ht="15.75" customHeight="1" x14ac:dyDescent="0.3">
      <c r="B162" s="152"/>
      <c r="D162" s="152"/>
    </row>
    <row r="163" spans="2:4" ht="15.75" customHeight="1" x14ac:dyDescent="0.3">
      <c r="B163" s="152"/>
      <c r="D163" s="152"/>
    </row>
    <row r="164" spans="2:4" ht="15.75" customHeight="1" x14ac:dyDescent="0.3">
      <c r="B164" s="152"/>
      <c r="D164" s="152"/>
    </row>
    <row r="165" spans="2:4" ht="15.75" customHeight="1" x14ac:dyDescent="0.3">
      <c r="B165" s="152"/>
      <c r="D165" s="152"/>
    </row>
    <row r="166" spans="2:4" ht="15.75" customHeight="1" x14ac:dyDescent="0.3">
      <c r="B166" s="152"/>
      <c r="D166" s="152"/>
    </row>
    <row r="167" spans="2:4" ht="15.75" customHeight="1" x14ac:dyDescent="0.3">
      <c r="B167" s="152"/>
      <c r="D167" s="152"/>
    </row>
    <row r="168" spans="2:4" ht="15.75" customHeight="1" x14ac:dyDescent="0.3">
      <c r="B168" s="152"/>
      <c r="D168" s="152"/>
    </row>
    <row r="169" spans="2:4" ht="15.75" customHeight="1" x14ac:dyDescent="0.3">
      <c r="B169" s="152"/>
      <c r="D169" s="152"/>
    </row>
    <row r="170" spans="2:4" ht="15.75" customHeight="1" x14ac:dyDescent="0.3">
      <c r="B170" s="152"/>
      <c r="D170" s="152"/>
    </row>
    <row r="171" spans="2:4" ht="15.75" customHeight="1" x14ac:dyDescent="0.3">
      <c r="B171" s="152"/>
      <c r="D171" s="152"/>
    </row>
    <row r="172" spans="2:4" ht="15.75" customHeight="1" x14ac:dyDescent="0.3">
      <c r="B172" s="152"/>
      <c r="D172" s="152"/>
    </row>
    <row r="173" spans="2:4" ht="15.75" customHeight="1" x14ac:dyDescent="0.3">
      <c r="B173" s="152"/>
      <c r="D173" s="152"/>
    </row>
    <row r="174" spans="2:4" ht="15.75" customHeight="1" x14ac:dyDescent="0.3">
      <c r="B174" s="152"/>
      <c r="D174" s="152"/>
    </row>
    <row r="175" spans="2:4" ht="15.75" customHeight="1" x14ac:dyDescent="0.3">
      <c r="B175" s="152"/>
      <c r="D175" s="152"/>
    </row>
    <row r="176" spans="2:4" ht="15.75" customHeight="1" x14ac:dyDescent="0.3">
      <c r="B176" s="152"/>
      <c r="D176" s="152"/>
    </row>
    <row r="177" spans="2:4" ht="15.75" customHeight="1" x14ac:dyDescent="0.3">
      <c r="B177" s="152"/>
      <c r="D177" s="152"/>
    </row>
    <row r="178" spans="2:4" ht="15.75" customHeight="1" x14ac:dyDescent="0.3">
      <c r="B178" s="152"/>
      <c r="D178" s="152"/>
    </row>
    <row r="179" spans="2:4" ht="15.75" customHeight="1" x14ac:dyDescent="0.3">
      <c r="B179" s="152"/>
      <c r="D179" s="152"/>
    </row>
    <row r="180" spans="2:4" ht="15.75" customHeight="1" x14ac:dyDescent="0.3">
      <c r="B180" s="152"/>
      <c r="D180" s="152"/>
    </row>
    <row r="181" spans="2:4" ht="15.75" customHeight="1" x14ac:dyDescent="0.3">
      <c r="B181" s="152"/>
      <c r="D181" s="152"/>
    </row>
    <row r="182" spans="2:4" ht="15.75" customHeight="1" x14ac:dyDescent="0.3">
      <c r="B182" s="152"/>
      <c r="D182" s="152"/>
    </row>
    <row r="183" spans="2:4" ht="15.75" customHeight="1" x14ac:dyDescent="0.3">
      <c r="B183" s="152"/>
      <c r="D183" s="152"/>
    </row>
    <row r="184" spans="2:4" ht="15.75" customHeight="1" x14ac:dyDescent="0.3">
      <c r="B184" s="152"/>
      <c r="D184" s="152"/>
    </row>
    <row r="185" spans="2:4" ht="15.75" customHeight="1" x14ac:dyDescent="0.3">
      <c r="B185" s="152"/>
      <c r="D185" s="152"/>
    </row>
    <row r="186" spans="2:4" ht="15.75" customHeight="1" x14ac:dyDescent="0.3">
      <c r="B186" s="152"/>
      <c r="D186" s="152"/>
    </row>
    <row r="187" spans="2:4" ht="15.75" customHeight="1" x14ac:dyDescent="0.3">
      <c r="B187" s="152"/>
      <c r="D187" s="152"/>
    </row>
    <row r="188" spans="2:4" ht="15.75" customHeight="1" x14ac:dyDescent="0.3"/>
    <row r="189" spans="2:4" ht="15.75" customHeight="1" x14ac:dyDescent="0.3"/>
    <row r="190" spans="2:4" ht="15.75" customHeight="1" x14ac:dyDescent="0.3"/>
    <row r="191" spans="2:4" ht="15.75" customHeight="1" x14ac:dyDescent="0.3"/>
    <row r="192" spans="2:4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S68:U68"/>
    <mergeCell ref="A2:R2"/>
    <mergeCell ref="A3:B3"/>
    <mergeCell ref="A5:A6"/>
    <mergeCell ref="B5:B6"/>
    <mergeCell ref="C5:C6"/>
    <mergeCell ref="D5:D6"/>
    <mergeCell ref="E5:E6"/>
    <mergeCell ref="F5:R5"/>
  </mergeCell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C052-04EE-45AE-9AC7-401D58D54588}">
  <dimension ref="A1:Y1000"/>
  <sheetViews>
    <sheetView tabSelected="1" topLeftCell="A66" workbookViewId="0">
      <selection activeCell="C78" sqref="C78"/>
    </sheetView>
  </sheetViews>
  <sheetFormatPr defaultColWidth="14.44140625" defaultRowHeight="14.4" x14ac:dyDescent="0.3"/>
  <cols>
    <col min="1" max="2" width="10.6640625" style="148" customWidth="1"/>
    <col min="3" max="3" width="52.109375" customWidth="1"/>
    <col min="4" max="4" width="13.44140625" style="148" customWidth="1"/>
    <col min="5" max="5" width="9.109375" style="148" customWidth="1"/>
    <col min="6" max="7" width="5.6640625" style="148" customWidth="1"/>
    <col min="8" max="8" width="4.44140625" style="148" customWidth="1"/>
    <col min="9" max="9" width="4.109375" style="148" customWidth="1"/>
    <col min="10" max="10" width="5.109375" style="148" customWidth="1"/>
    <col min="11" max="11" width="4.33203125" style="148" customWidth="1"/>
    <col min="12" max="12" width="3.88671875" style="148" customWidth="1"/>
    <col min="13" max="14" width="4.88671875" style="148" customWidth="1"/>
    <col min="15" max="15" width="5" style="148" customWidth="1"/>
    <col min="16" max="16" width="4.6640625" style="148" customWidth="1"/>
    <col min="17" max="17" width="5" style="148" customWidth="1"/>
    <col min="18" max="18" width="6.88671875" style="148" customWidth="1"/>
    <col min="19" max="25" width="10.6640625" customWidth="1"/>
  </cols>
  <sheetData>
    <row r="1" spans="1:25" x14ac:dyDescent="0.3">
      <c r="B1" s="152"/>
      <c r="D1" s="152"/>
    </row>
    <row r="2" spans="1:25" ht="21" x14ac:dyDescent="0.4">
      <c r="A2" s="376" t="s">
        <v>686</v>
      </c>
      <c r="B2" s="377"/>
      <c r="C2" s="377"/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</row>
    <row r="3" spans="1:25" ht="21" x14ac:dyDescent="0.4">
      <c r="A3" s="376" t="s">
        <v>687</v>
      </c>
      <c r="B3" s="377"/>
      <c r="C3" s="41">
        <f>E143+R143</f>
        <v>3730</v>
      </c>
      <c r="D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U3" s="20"/>
      <c r="V3" s="42"/>
      <c r="X3" s="20">
        <v>4360</v>
      </c>
    </row>
    <row r="4" spans="1:25" x14ac:dyDescent="0.3">
      <c r="B4" s="152"/>
      <c r="D4" s="152"/>
      <c r="X4" s="20">
        <v>408</v>
      </c>
    </row>
    <row r="5" spans="1:25" x14ac:dyDescent="0.3">
      <c r="A5" s="378" t="s">
        <v>3</v>
      </c>
      <c r="B5" s="380" t="s">
        <v>688</v>
      </c>
      <c r="C5" s="378" t="s">
        <v>689</v>
      </c>
      <c r="D5" s="380" t="s">
        <v>690</v>
      </c>
      <c r="E5" s="385" t="s">
        <v>691</v>
      </c>
      <c r="F5" s="382" t="s">
        <v>692</v>
      </c>
      <c r="G5" s="383"/>
      <c r="H5" s="383"/>
      <c r="I5" s="383"/>
      <c r="J5" s="383"/>
      <c r="K5" s="383"/>
      <c r="L5" s="383"/>
      <c r="M5" s="383"/>
      <c r="N5" s="383"/>
      <c r="O5" s="383"/>
      <c r="P5" s="383"/>
      <c r="Q5" s="383"/>
      <c r="R5" s="384"/>
    </row>
    <row r="6" spans="1:25" x14ac:dyDescent="0.3">
      <c r="A6" s="381"/>
      <c r="B6" s="381"/>
      <c r="C6" s="379"/>
      <c r="D6" s="381"/>
      <c r="E6" s="394"/>
      <c r="F6" s="193" t="s">
        <v>693</v>
      </c>
      <c r="G6" s="193" t="s">
        <v>694</v>
      </c>
      <c r="H6" s="193" t="s">
        <v>695</v>
      </c>
      <c r="I6" s="193" t="s">
        <v>696</v>
      </c>
      <c r="J6" s="193" t="s">
        <v>697</v>
      </c>
      <c r="K6" s="193" t="s">
        <v>698</v>
      </c>
      <c r="L6" s="193" t="s">
        <v>699</v>
      </c>
      <c r="M6" s="193" t="s">
        <v>700</v>
      </c>
      <c r="N6" s="193" t="s">
        <v>701</v>
      </c>
      <c r="O6" s="193" t="s">
        <v>702</v>
      </c>
      <c r="P6" s="193" t="s">
        <v>703</v>
      </c>
      <c r="Q6" s="193" t="s">
        <v>704</v>
      </c>
      <c r="R6" s="193" t="s">
        <v>705</v>
      </c>
      <c r="X6" s="20">
        <f>X3+X4+X5</f>
        <v>4768</v>
      </c>
    </row>
    <row r="7" spans="1:25" x14ac:dyDescent="0.3">
      <c r="A7" s="120">
        <v>1</v>
      </c>
      <c r="B7" s="206" t="s">
        <v>636</v>
      </c>
      <c r="C7" s="14" t="s">
        <v>638</v>
      </c>
      <c r="D7" s="153" t="s">
        <v>706</v>
      </c>
      <c r="E7" s="120"/>
      <c r="F7" s="198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4">
        <f>SUM(F7:Q7)</f>
        <v>0</v>
      </c>
      <c r="S7" s="173"/>
      <c r="T7" s="173"/>
      <c r="U7" s="53"/>
      <c r="X7" s="20">
        <v>276.8</v>
      </c>
    </row>
    <row r="8" spans="1:25" x14ac:dyDescent="0.3">
      <c r="A8" s="120">
        <v>2</v>
      </c>
      <c r="B8" s="206" t="s">
        <v>455</v>
      </c>
      <c r="C8" s="44" t="s">
        <v>708</v>
      </c>
      <c r="D8" s="153" t="s">
        <v>709</v>
      </c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94">
        <f t="shared" ref="R8:R71" si="0">SUM(F8:Q8)</f>
        <v>0</v>
      </c>
      <c r="X8" s="20">
        <f>X6-X7</f>
        <v>4491.2</v>
      </c>
    </row>
    <row r="9" spans="1:25" x14ac:dyDescent="0.3">
      <c r="A9" s="120">
        <v>3</v>
      </c>
      <c r="B9" s="153" t="s">
        <v>103</v>
      </c>
      <c r="C9" s="44" t="s">
        <v>936</v>
      </c>
      <c r="D9" s="153" t="s">
        <v>711</v>
      </c>
      <c r="E9" s="120"/>
      <c r="F9" s="198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4">
        <f t="shared" si="0"/>
        <v>0</v>
      </c>
      <c r="S9" s="174"/>
      <c r="T9" s="173"/>
      <c r="U9" s="53"/>
    </row>
    <row r="10" spans="1:25" x14ac:dyDescent="0.3">
      <c r="A10" s="120">
        <v>4</v>
      </c>
      <c r="B10" s="153" t="s">
        <v>283</v>
      </c>
      <c r="C10" s="44" t="s">
        <v>712</v>
      </c>
      <c r="D10" s="153" t="s">
        <v>713</v>
      </c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94">
        <f t="shared" si="0"/>
        <v>0</v>
      </c>
      <c r="S10" s="173"/>
      <c r="T10" s="173"/>
      <c r="U10" s="20"/>
    </row>
    <row r="11" spans="1:25" x14ac:dyDescent="0.3">
      <c r="A11" s="120">
        <v>5</v>
      </c>
      <c r="B11" s="153" t="s">
        <v>39</v>
      </c>
      <c r="C11" s="14" t="s">
        <v>715</v>
      </c>
      <c r="D11" s="153" t="s">
        <v>716</v>
      </c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94">
        <f t="shared" si="0"/>
        <v>0</v>
      </c>
    </row>
    <row r="12" spans="1:25" x14ac:dyDescent="0.3">
      <c r="A12" s="326">
        <v>6</v>
      </c>
      <c r="B12" s="327" t="s">
        <v>200</v>
      </c>
      <c r="C12" s="331" t="s">
        <v>202</v>
      </c>
      <c r="D12" s="327" t="s">
        <v>718</v>
      </c>
      <c r="E12" s="326"/>
      <c r="F12" s="326">
        <v>10</v>
      </c>
      <c r="G12" s="326">
        <v>10</v>
      </c>
      <c r="H12" s="326">
        <v>10</v>
      </c>
      <c r="I12" s="326">
        <v>10</v>
      </c>
      <c r="J12" s="326">
        <v>10</v>
      </c>
      <c r="K12" s="326">
        <v>10</v>
      </c>
      <c r="L12" s="326">
        <v>10</v>
      </c>
      <c r="M12" s="326">
        <v>10</v>
      </c>
      <c r="N12" s="326">
        <v>10</v>
      </c>
      <c r="O12" s="326">
        <v>10</v>
      </c>
      <c r="P12" s="326">
        <v>10</v>
      </c>
      <c r="Q12" s="326">
        <v>10</v>
      </c>
      <c r="R12" s="329">
        <f t="shared" si="0"/>
        <v>120</v>
      </c>
      <c r="S12" s="330" t="s">
        <v>1225</v>
      </c>
      <c r="T12" s="332"/>
      <c r="U12" s="173"/>
    </row>
    <row r="13" spans="1:25" x14ac:dyDescent="0.3">
      <c r="A13" s="120">
        <v>7</v>
      </c>
      <c r="B13" s="153" t="s">
        <v>402</v>
      </c>
      <c r="C13" s="44" t="s">
        <v>720</v>
      </c>
      <c r="D13" s="153" t="s">
        <v>963</v>
      </c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94">
        <f t="shared" si="0"/>
        <v>0</v>
      </c>
      <c r="S13" s="174"/>
      <c r="T13" s="53"/>
      <c r="U13" s="53"/>
    </row>
    <row r="14" spans="1:25" x14ac:dyDescent="0.3">
      <c r="A14" s="196">
        <v>8</v>
      </c>
      <c r="B14" s="179" t="s">
        <v>54</v>
      </c>
      <c r="C14" s="178" t="s">
        <v>1017</v>
      </c>
      <c r="D14" s="179" t="s">
        <v>722</v>
      </c>
      <c r="E14" s="196"/>
      <c r="F14" s="196">
        <v>10</v>
      </c>
      <c r="G14" s="196">
        <v>10</v>
      </c>
      <c r="H14" s="196">
        <v>10</v>
      </c>
      <c r="I14" s="196">
        <v>10</v>
      </c>
      <c r="J14" s="196">
        <v>10</v>
      </c>
      <c r="K14" s="196">
        <v>10</v>
      </c>
      <c r="L14" s="196">
        <v>10</v>
      </c>
      <c r="M14" s="196">
        <v>10</v>
      </c>
      <c r="N14" s="196">
        <v>10</v>
      </c>
      <c r="O14" s="196">
        <v>10</v>
      </c>
      <c r="P14" s="196">
        <v>10</v>
      </c>
      <c r="Q14" s="196">
        <v>10</v>
      </c>
      <c r="R14" s="195">
        <f t="shared" si="0"/>
        <v>120</v>
      </c>
      <c r="S14" s="182" t="s">
        <v>1151</v>
      </c>
      <c r="T14" s="159"/>
      <c r="U14" s="53"/>
      <c r="V14" s="53"/>
      <c r="W14" s="53"/>
      <c r="X14" s="53"/>
      <c r="Y14" s="53"/>
    </row>
    <row r="15" spans="1:25" x14ac:dyDescent="0.3">
      <c r="A15" s="120">
        <v>9</v>
      </c>
      <c r="B15" s="153" t="s">
        <v>423</v>
      </c>
      <c r="C15" s="44" t="s">
        <v>425</v>
      </c>
      <c r="D15" s="153" t="s">
        <v>723</v>
      </c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94">
        <f t="shared" si="0"/>
        <v>0</v>
      </c>
    </row>
    <row r="16" spans="1:25" x14ac:dyDescent="0.3">
      <c r="A16" s="120">
        <v>10</v>
      </c>
      <c r="B16" s="153" t="s">
        <v>430</v>
      </c>
      <c r="C16" s="14" t="s">
        <v>1018</v>
      </c>
      <c r="D16" s="153" t="s">
        <v>724</v>
      </c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94">
        <f t="shared" si="0"/>
        <v>0</v>
      </c>
      <c r="S16" s="53"/>
      <c r="T16" s="53"/>
      <c r="U16" s="53"/>
    </row>
    <row r="17" spans="1:22" x14ac:dyDescent="0.3">
      <c r="A17" s="120">
        <v>11</v>
      </c>
      <c r="B17" s="153" t="s">
        <v>72</v>
      </c>
      <c r="C17" s="14" t="s">
        <v>74</v>
      </c>
      <c r="D17" s="153" t="s">
        <v>725</v>
      </c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94">
        <f t="shared" si="0"/>
        <v>0</v>
      </c>
    </row>
    <row r="18" spans="1:22" x14ac:dyDescent="0.3">
      <c r="A18" s="120">
        <v>12</v>
      </c>
      <c r="B18" s="153" t="s">
        <v>335</v>
      </c>
      <c r="C18" s="14" t="s">
        <v>337</v>
      </c>
      <c r="D18" s="153" t="s">
        <v>726</v>
      </c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94">
        <f t="shared" si="0"/>
        <v>0</v>
      </c>
    </row>
    <row r="19" spans="1:22" x14ac:dyDescent="0.3">
      <c r="A19" s="196">
        <v>13</v>
      </c>
      <c r="B19" s="179" t="s">
        <v>519</v>
      </c>
      <c r="C19" s="156" t="s">
        <v>521</v>
      </c>
      <c r="D19" s="179" t="s">
        <v>727</v>
      </c>
      <c r="E19" s="196"/>
      <c r="F19" s="201">
        <v>10</v>
      </c>
      <c r="G19" s="202">
        <v>10</v>
      </c>
      <c r="H19" s="202">
        <v>10</v>
      </c>
      <c r="I19" s="202">
        <v>10</v>
      </c>
      <c r="J19" s="202">
        <v>10</v>
      </c>
      <c r="K19" s="202">
        <v>10</v>
      </c>
      <c r="L19" s="202">
        <v>10</v>
      </c>
      <c r="M19" s="202">
        <v>10</v>
      </c>
      <c r="N19" s="202">
        <v>10</v>
      </c>
      <c r="O19" s="202">
        <v>10</v>
      </c>
      <c r="P19" s="202">
        <v>10</v>
      </c>
      <c r="Q19" s="202">
        <v>10</v>
      </c>
      <c r="R19" s="195">
        <f t="shared" si="0"/>
        <v>120</v>
      </c>
      <c r="S19" s="182" t="s">
        <v>1191</v>
      </c>
      <c r="T19" s="180"/>
      <c r="U19" s="53"/>
    </row>
    <row r="20" spans="1:22" x14ac:dyDescent="0.3">
      <c r="A20" s="196">
        <v>14</v>
      </c>
      <c r="B20" s="179" t="s">
        <v>372</v>
      </c>
      <c r="C20" s="178" t="s">
        <v>374</v>
      </c>
      <c r="D20" s="179" t="s">
        <v>729</v>
      </c>
      <c r="E20" s="196"/>
      <c r="F20" s="196">
        <v>10</v>
      </c>
      <c r="G20" s="196">
        <v>10</v>
      </c>
      <c r="H20" s="196">
        <v>10</v>
      </c>
      <c r="I20" s="196">
        <v>10</v>
      </c>
      <c r="J20" s="196">
        <v>10</v>
      </c>
      <c r="K20" s="196">
        <v>10</v>
      </c>
      <c r="L20" s="196">
        <v>10</v>
      </c>
      <c r="M20" s="196">
        <v>10</v>
      </c>
      <c r="N20" s="196">
        <v>10</v>
      </c>
      <c r="O20" s="196">
        <v>10</v>
      </c>
      <c r="P20" s="196">
        <v>10</v>
      </c>
      <c r="Q20" s="196">
        <v>10</v>
      </c>
      <c r="R20" s="195">
        <f t="shared" si="0"/>
        <v>120</v>
      </c>
      <c r="S20" s="182" t="s">
        <v>1151</v>
      </c>
      <c r="T20" s="180"/>
      <c r="U20" s="53"/>
    </row>
    <row r="21" spans="1:22" ht="15.75" customHeight="1" x14ac:dyDescent="0.3">
      <c r="A21" s="196">
        <v>15</v>
      </c>
      <c r="B21" s="179" t="s">
        <v>79</v>
      </c>
      <c r="C21" s="156" t="s">
        <v>1037</v>
      </c>
      <c r="D21" s="179" t="s">
        <v>730</v>
      </c>
      <c r="E21" s="196"/>
      <c r="F21" s="196">
        <v>10</v>
      </c>
      <c r="G21" s="196">
        <v>10</v>
      </c>
      <c r="H21" s="196">
        <v>10</v>
      </c>
      <c r="I21" s="196">
        <v>10</v>
      </c>
      <c r="J21" s="196">
        <v>10</v>
      </c>
      <c r="K21" s="196">
        <v>10</v>
      </c>
      <c r="L21" s="196">
        <v>10</v>
      </c>
      <c r="M21" s="196">
        <v>10</v>
      </c>
      <c r="N21" s="196">
        <v>10</v>
      </c>
      <c r="O21" s="196">
        <v>10</v>
      </c>
      <c r="P21" s="196">
        <v>10</v>
      </c>
      <c r="Q21" s="196">
        <v>10</v>
      </c>
      <c r="R21" s="195">
        <f t="shared" si="0"/>
        <v>120</v>
      </c>
      <c r="S21" s="182" t="s">
        <v>1224</v>
      </c>
      <c r="T21" s="180"/>
      <c r="U21" s="53"/>
    </row>
    <row r="22" spans="1:22" ht="15.75" customHeight="1" x14ac:dyDescent="0.3">
      <c r="A22" s="120">
        <v>16</v>
      </c>
      <c r="B22" s="153" t="s">
        <v>232</v>
      </c>
      <c r="C22" s="14" t="s">
        <v>234</v>
      </c>
      <c r="D22" s="153" t="s">
        <v>731</v>
      </c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94">
        <f t="shared" si="0"/>
        <v>0</v>
      </c>
    </row>
    <row r="23" spans="1:22" ht="15.75" customHeight="1" x14ac:dyDescent="0.3">
      <c r="A23" s="120">
        <v>17</v>
      </c>
      <c r="B23" s="153" t="s">
        <v>503</v>
      </c>
      <c r="C23" s="14" t="s">
        <v>1020</v>
      </c>
      <c r="D23" s="153" t="s">
        <v>732</v>
      </c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94">
        <f t="shared" si="0"/>
        <v>0</v>
      </c>
    </row>
    <row r="24" spans="1:22" ht="15.75" customHeight="1" x14ac:dyDescent="0.3">
      <c r="A24" s="326">
        <v>18</v>
      </c>
      <c r="B24" s="327" t="s">
        <v>556</v>
      </c>
      <c r="C24" s="328" t="s">
        <v>558</v>
      </c>
      <c r="D24" s="327" t="s">
        <v>734</v>
      </c>
      <c r="E24" s="326"/>
      <c r="F24" s="326">
        <v>10</v>
      </c>
      <c r="G24" s="326">
        <v>10</v>
      </c>
      <c r="H24" s="326">
        <v>10</v>
      </c>
      <c r="I24" s="326">
        <v>10</v>
      </c>
      <c r="J24" s="326">
        <v>10</v>
      </c>
      <c r="K24" s="326">
        <v>10</v>
      </c>
      <c r="L24" s="326">
        <v>10</v>
      </c>
      <c r="M24" s="326">
        <v>10</v>
      </c>
      <c r="N24" s="326">
        <v>10</v>
      </c>
      <c r="O24" s="326">
        <v>10</v>
      </c>
      <c r="P24" s="326">
        <v>10</v>
      </c>
      <c r="Q24" s="326">
        <v>10</v>
      </c>
      <c r="R24" s="329">
        <f t="shared" si="0"/>
        <v>120</v>
      </c>
      <c r="S24" s="330" t="s">
        <v>1227</v>
      </c>
      <c r="T24" s="330"/>
      <c r="U24" s="369"/>
      <c r="V24" s="335"/>
    </row>
    <row r="25" spans="1:22" ht="15.75" customHeight="1" x14ac:dyDescent="0.3">
      <c r="A25" s="120">
        <v>19</v>
      </c>
      <c r="B25" s="153" t="s">
        <v>595</v>
      </c>
      <c r="C25" s="44" t="s">
        <v>735</v>
      </c>
      <c r="D25" s="153" t="s">
        <v>736</v>
      </c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94">
        <f t="shared" si="0"/>
        <v>0</v>
      </c>
      <c r="T25" s="174"/>
    </row>
    <row r="26" spans="1:22" ht="15.75" customHeight="1" x14ac:dyDescent="0.3">
      <c r="A26" s="120">
        <v>20</v>
      </c>
      <c r="B26" s="153" t="s">
        <v>524</v>
      </c>
      <c r="C26" s="14" t="s">
        <v>526</v>
      </c>
      <c r="D26" s="153" t="s">
        <v>737</v>
      </c>
      <c r="E26" s="120"/>
      <c r="F26" s="198"/>
      <c r="G26" s="200"/>
      <c r="H26" s="200"/>
      <c r="I26" s="200"/>
      <c r="J26" s="200"/>
      <c r="K26" s="200"/>
      <c r="L26" s="200"/>
      <c r="M26" s="200"/>
      <c r="N26" s="200"/>
      <c r="O26" s="200"/>
      <c r="P26" s="200"/>
      <c r="Q26" s="200"/>
      <c r="R26" s="194">
        <f t="shared" si="0"/>
        <v>0</v>
      </c>
      <c r="S26" s="174"/>
      <c r="T26" s="53"/>
      <c r="U26" s="53"/>
    </row>
    <row r="27" spans="1:22" ht="15.75" customHeight="1" x14ac:dyDescent="0.3">
      <c r="A27" s="120">
        <v>21</v>
      </c>
      <c r="B27" s="153" t="s">
        <v>532</v>
      </c>
      <c r="C27" s="14" t="s">
        <v>534</v>
      </c>
      <c r="D27" s="153" t="s">
        <v>738</v>
      </c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94">
        <f t="shared" si="0"/>
        <v>0</v>
      </c>
    </row>
    <row r="28" spans="1:22" ht="15.75" customHeight="1" x14ac:dyDescent="0.3">
      <c r="A28" s="120">
        <v>22</v>
      </c>
      <c r="B28" s="153" t="s">
        <v>653</v>
      </c>
      <c r="C28" s="14" t="s">
        <v>1021</v>
      </c>
      <c r="D28" s="153" t="s">
        <v>739</v>
      </c>
      <c r="E28" s="120"/>
      <c r="F28" s="198"/>
      <c r="G28" s="200"/>
      <c r="H28" s="200"/>
      <c r="I28" s="200"/>
      <c r="J28" s="200"/>
      <c r="K28" s="200"/>
      <c r="L28" s="200"/>
      <c r="M28" s="200"/>
      <c r="N28" s="200"/>
      <c r="O28" s="200"/>
      <c r="P28" s="200"/>
      <c r="Q28" s="200"/>
      <c r="R28" s="194">
        <f t="shared" si="0"/>
        <v>0</v>
      </c>
      <c r="S28" s="53"/>
      <c r="T28" s="53"/>
      <c r="U28" s="53"/>
    </row>
    <row r="29" spans="1:22" ht="15.75" customHeight="1" x14ac:dyDescent="0.3">
      <c r="A29" s="120">
        <v>23</v>
      </c>
      <c r="B29" s="153" t="s">
        <v>678</v>
      </c>
      <c r="C29" s="14" t="s">
        <v>681</v>
      </c>
      <c r="D29" s="153" t="s">
        <v>740</v>
      </c>
      <c r="E29" s="120"/>
      <c r="F29" s="198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99"/>
      <c r="R29" s="194">
        <f t="shared" si="0"/>
        <v>0</v>
      </c>
      <c r="S29" s="173"/>
      <c r="T29" s="173"/>
    </row>
    <row r="30" spans="1:22" ht="15.75" customHeight="1" x14ac:dyDescent="0.3">
      <c r="A30" s="196">
        <v>24</v>
      </c>
      <c r="B30" s="179" t="s">
        <v>356</v>
      </c>
      <c r="C30" s="156" t="s">
        <v>986</v>
      </c>
      <c r="D30" s="179" t="s">
        <v>742</v>
      </c>
      <c r="E30" s="196"/>
      <c r="F30" s="201">
        <v>10</v>
      </c>
      <c r="G30" s="202">
        <v>10</v>
      </c>
      <c r="H30" s="202">
        <v>10</v>
      </c>
      <c r="I30" s="202">
        <v>10</v>
      </c>
      <c r="J30" s="202">
        <v>10</v>
      </c>
      <c r="K30" s="202">
        <v>10</v>
      </c>
      <c r="L30" s="202">
        <v>10</v>
      </c>
      <c r="M30" s="202">
        <v>10</v>
      </c>
      <c r="N30" s="202">
        <v>10</v>
      </c>
      <c r="O30" s="202">
        <v>10</v>
      </c>
      <c r="P30" s="202">
        <v>10</v>
      </c>
      <c r="Q30" s="202">
        <v>10</v>
      </c>
      <c r="R30" s="195">
        <f t="shared" si="0"/>
        <v>120</v>
      </c>
      <c r="S30" s="182" t="s">
        <v>1154</v>
      </c>
      <c r="T30" s="180"/>
      <c r="U30" s="173"/>
    </row>
    <row r="31" spans="1:22" ht="15.75" customHeight="1" x14ac:dyDescent="0.3">
      <c r="A31" s="196">
        <v>25</v>
      </c>
      <c r="B31" s="179" t="s">
        <v>462</v>
      </c>
      <c r="C31" s="156" t="s">
        <v>743</v>
      </c>
      <c r="D31" s="179" t="s">
        <v>744</v>
      </c>
      <c r="E31" s="196"/>
      <c r="F31" s="201">
        <v>10</v>
      </c>
      <c r="G31" s="203">
        <v>10</v>
      </c>
      <c r="H31" s="203">
        <v>10</v>
      </c>
      <c r="I31" s="203">
        <v>10</v>
      </c>
      <c r="J31" s="203">
        <v>10</v>
      </c>
      <c r="K31" s="203">
        <v>10</v>
      </c>
      <c r="L31" s="203">
        <v>10</v>
      </c>
      <c r="M31" s="203">
        <v>10</v>
      </c>
      <c r="N31" s="203">
        <v>10</v>
      </c>
      <c r="O31" s="203">
        <v>10</v>
      </c>
      <c r="P31" s="203">
        <v>10</v>
      </c>
      <c r="Q31" s="203">
        <v>10</v>
      </c>
      <c r="R31" s="195">
        <f t="shared" si="0"/>
        <v>120</v>
      </c>
      <c r="S31" s="182" t="s">
        <v>1177</v>
      </c>
      <c r="T31" s="159"/>
      <c r="U31" s="53"/>
    </row>
    <row r="32" spans="1:22" ht="15.75" customHeight="1" x14ac:dyDescent="0.3">
      <c r="A32" s="120">
        <v>26</v>
      </c>
      <c r="B32" s="153" t="s">
        <v>224</v>
      </c>
      <c r="C32" s="44" t="s">
        <v>745</v>
      </c>
      <c r="D32" s="153" t="s">
        <v>746</v>
      </c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94">
        <f t="shared" si="0"/>
        <v>0</v>
      </c>
    </row>
    <row r="33" spans="1:25" ht="15.75" customHeight="1" x14ac:dyDescent="0.3">
      <c r="A33" s="196">
        <v>27</v>
      </c>
      <c r="B33" s="179" t="s">
        <v>328</v>
      </c>
      <c r="C33" s="156" t="s">
        <v>329</v>
      </c>
      <c r="D33" s="179" t="s">
        <v>747</v>
      </c>
      <c r="E33" s="196"/>
      <c r="F33" s="201">
        <v>10</v>
      </c>
      <c r="G33" s="202">
        <v>10</v>
      </c>
      <c r="H33" s="202">
        <v>10</v>
      </c>
      <c r="I33" s="202">
        <v>10</v>
      </c>
      <c r="J33" s="202">
        <v>10</v>
      </c>
      <c r="K33" s="202">
        <v>10</v>
      </c>
      <c r="L33" s="202">
        <v>10</v>
      </c>
      <c r="M33" s="202">
        <v>10</v>
      </c>
      <c r="N33" s="202">
        <v>10</v>
      </c>
      <c r="O33" s="202">
        <v>10</v>
      </c>
      <c r="P33" s="202">
        <v>10</v>
      </c>
      <c r="Q33" s="202">
        <v>10</v>
      </c>
      <c r="R33" s="195">
        <f t="shared" si="0"/>
        <v>120</v>
      </c>
      <c r="S33" s="182" t="s">
        <v>1152</v>
      </c>
      <c r="T33" s="180"/>
      <c r="U33" s="173"/>
    </row>
    <row r="34" spans="1:25" ht="15.75" customHeight="1" x14ac:dyDescent="0.3">
      <c r="A34" s="196">
        <v>28</v>
      </c>
      <c r="B34" s="179" t="s">
        <v>172</v>
      </c>
      <c r="C34" s="156" t="s">
        <v>174</v>
      </c>
      <c r="D34" s="179" t="s">
        <v>748</v>
      </c>
      <c r="E34" s="196"/>
      <c r="F34" s="201">
        <v>10</v>
      </c>
      <c r="G34" s="202">
        <v>10</v>
      </c>
      <c r="H34" s="202">
        <v>10</v>
      </c>
      <c r="I34" s="202">
        <v>10</v>
      </c>
      <c r="J34" s="202">
        <v>10</v>
      </c>
      <c r="K34" s="202">
        <v>10</v>
      </c>
      <c r="L34" s="202">
        <v>10</v>
      </c>
      <c r="M34" s="202">
        <v>10</v>
      </c>
      <c r="N34" s="202">
        <v>10</v>
      </c>
      <c r="O34" s="202">
        <v>10</v>
      </c>
      <c r="P34" s="202">
        <v>10</v>
      </c>
      <c r="Q34" s="202">
        <v>10</v>
      </c>
      <c r="R34" s="195">
        <f t="shared" si="0"/>
        <v>120</v>
      </c>
      <c r="S34" s="182" t="s">
        <v>1184</v>
      </c>
      <c r="T34" s="180"/>
      <c r="U34" s="173"/>
      <c r="V34" s="20"/>
    </row>
    <row r="35" spans="1:25" ht="15.75" customHeight="1" x14ac:dyDescent="0.3">
      <c r="A35" s="120">
        <v>29</v>
      </c>
      <c r="B35" s="153" t="s">
        <v>348</v>
      </c>
      <c r="C35" s="14" t="s">
        <v>749</v>
      </c>
      <c r="D35" s="153" t="s">
        <v>750</v>
      </c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94">
        <f t="shared" si="0"/>
        <v>0</v>
      </c>
    </row>
    <row r="36" spans="1:25" ht="15.75" customHeight="1" x14ac:dyDescent="0.3">
      <c r="A36" s="196">
        <v>30</v>
      </c>
      <c r="B36" s="179" t="s">
        <v>85</v>
      </c>
      <c r="C36" s="156" t="s">
        <v>751</v>
      </c>
      <c r="D36" s="179" t="s">
        <v>752</v>
      </c>
      <c r="E36" s="196"/>
      <c r="F36" s="201">
        <v>10</v>
      </c>
      <c r="G36" s="202">
        <v>10</v>
      </c>
      <c r="H36" s="202">
        <v>10</v>
      </c>
      <c r="I36" s="202">
        <v>10</v>
      </c>
      <c r="J36" s="202">
        <v>10</v>
      </c>
      <c r="K36" s="202">
        <v>10</v>
      </c>
      <c r="L36" s="202">
        <v>10</v>
      </c>
      <c r="M36" s="202">
        <v>10</v>
      </c>
      <c r="N36" s="202">
        <v>10</v>
      </c>
      <c r="O36" s="202">
        <v>10</v>
      </c>
      <c r="P36" s="202">
        <v>10</v>
      </c>
      <c r="Q36" s="202">
        <v>10</v>
      </c>
      <c r="R36" s="195">
        <f t="shared" si="0"/>
        <v>120</v>
      </c>
      <c r="S36" s="182" t="s">
        <v>1190</v>
      </c>
      <c r="T36" s="180"/>
      <c r="U36" s="53"/>
    </row>
    <row r="37" spans="1:25" ht="15.75" customHeight="1" x14ac:dyDescent="0.3">
      <c r="A37" s="120">
        <v>31</v>
      </c>
      <c r="B37" s="153" t="s">
        <v>577</v>
      </c>
      <c r="C37" s="14" t="s">
        <v>579</v>
      </c>
      <c r="D37" s="153" t="s">
        <v>753</v>
      </c>
      <c r="E37" s="120"/>
      <c r="F37" s="198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194">
        <f t="shared" si="0"/>
        <v>0</v>
      </c>
      <c r="S37" s="53"/>
      <c r="T37" s="53"/>
      <c r="U37" s="53"/>
    </row>
    <row r="38" spans="1:25" ht="15.75" customHeight="1" x14ac:dyDescent="0.3">
      <c r="A38" s="196">
        <v>32</v>
      </c>
      <c r="B38" s="179" t="s">
        <v>31</v>
      </c>
      <c r="C38" s="213" t="s">
        <v>33</v>
      </c>
      <c r="D38" s="179" t="s">
        <v>755</v>
      </c>
      <c r="E38" s="196"/>
      <c r="F38" s="201">
        <v>10</v>
      </c>
      <c r="G38" s="202">
        <v>10</v>
      </c>
      <c r="H38" s="202">
        <v>10</v>
      </c>
      <c r="I38" s="202">
        <v>10</v>
      </c>
      <c r="J38" s="202">
        <v>10</v>
      </c>
      <c r="K38" s="202">
        <v>10</v>
      </c>
      <c r="L38" s="202">
        <v>10</v>
      </c>
      <c r="M38" s="202">
        <v>10</v>
      </c>
      <c r="N38" s="202">
        <v>10</v>
      </c>
      <c r="O38" s="202">
        <v>10</v>
      </c>
      <c r="P38" s="202">
        <v>10</v>
      </c>
      <c r="Q38" s="202">
        <v>10</v>
      </c>
      <c r="R38" s="195">
        <f t="shared" si="0"/>
        <v>120</v>
      </c>
      <c r="S38" s="182" t="s">
        <v>1187</v>
      </c>
      <c r="T38" s="180"/>
      <c r="U38" s="173"/>
    </row>
    <row r="39" spans="1:25" ht="15.75" customHeight="1" x14ac:dyDescent="0.3">
      <c r="A39" s="196">
        <v>33</v>
      </c>
      <c r="B39" s="179" t="s">
        <v>117</v>
      </c>
      <c r="C39" s="156" t="s">
        <v>119</v>
      </c>
      <c r="D39" s="179" t="s">
        <v>756</v>
      </c>
      <c r="E39" s="196"/>
      <c r="F39" s="201">
        <v>10</v>
      </c>
      <c r="G39" s="202">
        <v>10</v>
      </c>
      <c r="H39" s="202">
        <v>10</v>
      </c>
      <c r="I39" s="202">
        <v>10</v>
      </c>
      <c r="J39" s="202">
        <v>10</v>
      </c>
      <c r="K39" s="202">
        <v>10</v>
      </c>
      <c r="L39" s="202">
        <v>10</v>
      </c>
      <c r="M39" s="202">
        <v>10</v>
      </c>
      <c r="N39" s="202">
        <v>10</v>
      </c>
      <c r="O39" s="202">
        <v>10</v>
      </c>
      <c r="P39" s="202">
        <v>10</v>
      </c>
      <c r="Q39" s="202">
        <v>10</v>
      </c>
      <c r="R39" s="195">
        <f t="shared" si="0"/>
        <v>120</v>
      </c>
      <c r="S39" s="182" t="s">
        <v>1223</v>
      </c>
      <c r="T39" s="180"/>
      <c r="U39" s="173"/>
    </row>
    <row r="40" spans="1:25" ht="15.75" customHeight="1" x14ac:dyDescent="0.3">
      <c r="A40" s="196">
        <v>34</v>
      </c>
      <c r="B40" s="327" t="s">
        <v>444</v>
      </c>
      <c r="C40" s="333" t="s">
        <v>1044</v>
      </c>
      <c r="D40" s="327" t="s">
        <v>757</v>
      </c>
      <c r="E40" s="326"/>
      <c r="F40" s="326">
        <v>10</v>
      </c>
      <c r="G40" s="326">
        <v>10</v>
      </c>
      <c r="H40" s="326">
        <v>10</v>
      </c>
      <c r="I40" s="326">
        <v>10</v>
      </c>
      <c r="J40" s="326">
        <v>10</v>
      </c>
      <c r="K40" s="326">
        <v>10</v>
      </c>
      <c r="L40" s="326">
        <v>10</v>
      </c>
      <c r="M40" s="326">
        <v>10</v>
      </c>
      <c r="N40" s="326">
        <v>10</v>
      </c>
      <c r="O40" s="326">
        <v>10</v>
      </c>
      <c r="P40" s="326">
        <v>10</v>
      </c>
      <c r="Q40" s="326">
        <v>10</v>
      </c>
      <c r="R40" s="329">
        <f t="shared" si="0"/>
        <v>120</v>
      </c>
      <c r="S40" s="330" t="s">
        <v>1153</v>
      </c>
      <c r="T40" s="335"/>
    </row>
    <row r="41" spans="1:25" ht="15.75" customHeight="1" x14ac:dyDescent="0.3">
      <c r="A41" s="120">
        <v>35</v>
      </c>
      <c r="B41" s="153" t="s">
        <v>265</v>
      </c>
      <c r="C41" s="14" t="s">
        <v>1045</v>
      </c>
      <c r="D41" s="153" t="s">
        <v>758</v>
      </c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94">
        <f t="shared" si="0"/>
        <v>0</v>
      </c>
      <c r="S41" s="174"/>
      <c r="T41" s="53"/>
      <c r="U41" s="53"/>
    </row>
    <row r="42" spans="1:25" ht="15.75" customHeight="1" x14ac:dyDescent="0.3">
      <c r="A42" s="120">
        <v>36</v>
      </c>
      <c r="B42" s="153" t="s">
        <v>63</v>
      </c>
      <c r="C42" s="14" t="s">
        <v>65</v>
      </c>
      <c r="D42" s="153" t="s">
        <v>759</v>
      </c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94">
        <f t="shared" si="0"/>
        <v>0</v>
      </c>
    </row>
    <row r="43" spans="1:25" ht="15.75" customHeight="1" x14ac:dyDescent="0.3">
      <c r="A43" s="196">
        <v>37</v>
      </c>
      <c r="B43" s="179" t="s">
        <v>47</v>
      </c>
      <c r="C43" s="178" t="s">
        <v>1231</v>
      </c>
      <c r="D43" s="179" t="s">
        <v>761</v>
      </c>
      <c r="E43" s="196"/>
      <c r="F43" s="201">
        <v>10</v>
      </c>
      <c r="G43" s="202">
        <v>10</v>
      </c>
      <c r="H43" s="202">
        <v>10</v>
      </c>
      <c r="I43" s="202">
        <v>10</v>
      </c>
      <c r="J43" s="202">
        <v>10</v>
      </c>
      <c r="K43" s="202">
        <v>10</v>
      </c>
      <c r="L43" s="202">
        <v>10</v>
      </c>
      <c r="M43" s="202">
        <v>10</v>
      </c>
      <c r="N43" s="202">
        <v>10</v>
      </c>
      <c r="O43" s="202">
        <v>10</v>
      </c>
      <c r="P43" s="202">
        <v>10</v>
      </c>
      <c r="Q43" s="202">
        <v>10</v>
      </c>
      <c r="R43" s="195">
        <f t="shared" si="0"/>
        <v>120</v>
      </c>
      <c r="S43" s="398" t="s">
        <v>1232</v>
      </c>
      <c r="T43" s="399"/>
      <c r="U43" s="20"/>
      <c r="V43" s="20"/>
    </row>
    <row r="44" spans="1:25" ht="15.75" customHeight="1" x14ac:dyDescent="0.3">
      <c r="A44" s="120">
        <v>38</v>
      </c>
      <c r="B44" s="153" t="s">
        <v>380</v>
      </c>
      <c r="C44" s="14" t="s">
        <v>382</v>
      </c>
      <c r="D44" s="153" t="s">
        <v>762</v>
      </c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94">
        <f t="shared" si="0"/>
        <v>0</v>
      </c>
      <c r="S44" s="53"/>
      <c r="T44" s="53"/>
      <c r="U44" s="53"/>
    </row>
    <row r="45" spans="1:25" ht="15.75" customHeight="1" x14ac:dyDescent="0.3">
      <c r="A45" s="196">
        <v>39</v>
      </c>
      <c r="B45" s="179" t="s">
        <v>511</v>
      </c>
      <c r="C45" s="178" t="s">
        <v>513</v>
      </c>
      <c r="D45" s="179" t="s">
        <v>763</v>
      </c>
      <c r="E45" s="196"/>
      <c r="F45" s="196">
        <v>10</v>
      </c>
      <c r="G45" s="196">
        <v>10</v>
      </c>
      <c r="H45" s="196">
        <v>10</v>
      </c>
      <c r="I45" s="196">
        <v>10</v>
      </c>
      <c r="J45" s="196">
        <v>10</v>
      </c>
      <c r="K45" s="196">
        <v>10</v>
      </c>
      <c r="L45" s="196">
        <v>10</v>
      </c>
      <c r="M45" s="196">
        <v>10</v>
      </c>
      <c r="N45" s="196">
        <v>10</v>
      </c>
      <c r="O45" s="196">
        <v>10</v>
      </c>
      <c r="P45" s="196">
        <v>10</v>
      </c>
      <c r="Q45" s="196">
        <v>10</v>
      </c>
      <c r="R45" s="195">
        <f t="shared" si="0"/>
        <v>120</v>
      </c>
      <c r="S45" s="147" t="s">
        <v>1219</v>
      </c>
      <c r="T45" s="246"/>
      <c r="U45" s="246"/>
    </row>
    <row r="46" spans="1:25" ht="15.75" customHeight="1" x14ac:dyDescent="0.3">
      <c r="A46" s="120">
        <v>40</v>
      </c>
      <c r="B46" s="153" t="s">
        <v>157</v>
      </c>
      <c r="C46" s="14" t="s">
        <v>159</v>
      </c>
      <c r="D46" s="153" t="s">
        <v>764</v>
      </c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94">
        <f t="shared" si="0"/>
        <v>0</v>
      </c>
      <c r="S46" s="174"/>
      <c r="T46" s="53"/>
      <c r="U46" s="53"/>
      <c r="V46" s="53"/>
      <c r="W46" s="53"/>
      <c r="X46" s="53"/>
      <c r="Y46" s="53"/>
    </row>
    <row r="47" spans="1:25" ht="15.75" customHeight="1" x14ac:dyDescent="0.3">
      <c r="A47" s="120">
        <v>41</v>
      </c>
      <c r="B47" s="153" t="s">
        <v>590</v>
      </c>
      <c r="C47" s="44" t="s">
        <v>990</v>
      </c>
      <c r="D47" s="153" t="s">
        <v>766</v>
      </c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94">
        <f t="shared" si="0"/>
        <v>0</v>
      </c>
      <c r="S47" s="53"/>
      <c r="T47" s="53"/>
      <c r="U47" s="53"/>
    </row>
    <row r="48" spans="1:25" ht="15.75" customHeight="1" x14ac:dyDescent="0.3">
      <c r="A48" s="120">
        <v>42</v>
      </c>
      <c r="B48" s="153" t="s">
        <v>614</v>
      </c>
      <c r="C48" s="176" t="s">
        <v>616</v>
      </c>
      <c r="D48" s="153" t="s">
        <v>768</v>
      </c>
      <c r="E48" s="120"/>
      <c r="F48" s="198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4">
        <f t="shared" si="0"/>
        <v>0</v>
      </c>
      <c r="S48" s="173"/>
      <c r="T48" s="173"/>
      <c r="U48" s="175"/>
    </row>
    <row r="49" spans="1:25" ht="15.75" customHeight="1" x14ac:dyDescent="0.3">
      <c r="A49" s="120">
        <v>43</v>
      </c>
      <c r="B49" s="153" t="s">
        <v>22</v>
      </c>
      <c r="C49" s="44" t="s">
        <v>1023</v>
      </c>
      <c r="D49" s="153" t="s">
        <v>770</v>
      </c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94">
        <f t="shared" si="0"/>
        <v>0</v>
      </c>
      <c r="S49" s="175"/>
      <c r="T49" s="175"/>
      <c r="U49" s="20"/>
      <c r="V49" s="175"/>
    </row>
    <row r="50" spans="1:25" ht="15.75" customHeight="1" x14ac:dyDescent="0.3">
      <c r="A50" s="120">
        <v>44</v>
      </c>
      <c r="B50" s="153" t="s">
        <v>110</v>
      </c>
      <c r="C50" s="44" t="s">
        <v>112</v>
      </c>
      <c r="D50" s="153" t="s">
        <v>771</v>
      </c>
      <c r="E50" s="120"/>
      <c r="F50" s="198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194">
        <f t="shared" si="0"/>
        <v>0</v>
      </c>
      <c r="S50" s="53"/>
      <c r="T50" s="53"/>
      <c r="U50" s="53"/>
    </row>
    <row r="51" spans="1:25" ht="15.75" customHeight="1" x14ac:dyDescent="0.3">
      <c r="A51" s="120">
        <v>45</v>
      </c>
      <c r="B51" s="153" t="s">
        <v>134</v>
      </c>
      <c r="C51" s="3" t="s">
        <v>136</v>
      </c>
      <c r="D51" s="153" t="s">
        <v>772</v>
      </c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94">
        <f t="shared" si="0"/>
        <v>0</v>
      </c>
    </row>
    <row r="52" spans="1:25" ht="15.75" customHeight="1" x14ac:dyDescent="0.3">
      <c r="A52" s="120">
        <v>46</v>
      </c>
      <c r="B52" s="153" t="s">
        <v>192</v>
      </c>
      <c r="C52" s="44" t="s">
        <v>773</v>
      </c>
      <c r="D52" s="153" t="s">
        <v>774</v>
      </c>
      <c r="E52" s="120"/>
      <c r="F52" s="198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4">
        <f t="shared" si="0"/>
        <v>0</v>
      </c>
      <c r="S52" s="173"/>
      <c r="T52" s="173"/>
      <c r="U52" s="173"/>
    </row>
    <row r="53" spans="1:25" ht="15.75" customHeight="1" x14ac:dyDescent="0.3">
      <c r="A53" s="120">
        <v>47</v>
      </c>
      <c r="B53" s="153" t="s">
        <v>321</v>
      </c>
      <c r="C53" s="3" t="s">
        <v>323</v>
      </c>
      <c r="D53" s="153" t="s">
        <v>775</v>
      </c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94">
        <f t="shared" si="0"/>
        <v>0</v>
      </c>
    </row>
    <row r="54" spans="1:25" ht="15.75" customHeight="1" x14ac:dyDescent="0.3">
      <c r="A54" s="196">
        <v>48</v>
      </c>
      <c r="B54" s="179" t="s">
        <v>450</v>
      </c>
      <c r="C54" s="178" t="s">
        <v>452</v>
      </c>
      <c r="D54" s="179" t="s">
        <v>776</v>
      </c>
      <c r="E54" s="196"/>
      <c r="F54" s="201">
        <v>10</v>
      </c>
      <c r="G54" s="202">
        <v>10</v>
      </c>
      <c r="H54" s="202">
        <v>10</v>
      </c>
      <c r="I54" s="202">
        <v>10</v>
      </c>
      <c r="J54" s="202">
        <v>10</v>
      </c>
      <c r="K54" s="202">
        <v>10</v>
      </c>
      <c r="L54" s="202">
        <v>10</v>
      </c>
      <c r="M54" s="202">
        <v>10</v>
      </c>
      <c r="N54" s="202">
        <v>10</v>
      </c>
      <c r="O54" s="202">
        <v>10</v>
      </c>
      <c r="P54" s="202">
        <v>10</v>
      </c>
      <c r="Q54" s="202">
        <v>10</v>
      </c>
      <c r="R54" s="195">
        <f t="shared" si="0"/>
        <v>120</v>
      </c>
      <c r="S54" s="182" t="s">
        <v>1183</v>
      </c>
      <c r="T54" s="180"/>
      <c r="U54" s="173"/>
    </row>
    <row r="55" spans="1:25" ht="15.75" customHeight="1" x14ac:dyDescent="0.3">
      <c r="A55" s="120">
        <v>49</v>
      </c>
      <c r="B55" s="153" t="s">
        <v>669</v>
      </c>
      <c r="C55" s="14" t="s">
        <v>672</v>
      </c>
      <c r="D55" s="153" t="s">
        <v>777</v>
      </c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94">
        <f t="shared" si="0"/>
        <v>0</v>
      </c>
      <c r="S55" s="53"/>
      <c r="T55" s="53"/>
      <c r="U55" s="53"/>
      <c r="V55" s="53"/>
      <c r="W55" s="53"/>
      <c r="X55" s="53"/>
      <c r="Y55" s="53"/>
    </row>
    <row r="56" spans="1:25" ht="15.75" customHeight="1" x14ac:dyDescent="0.3">
      <c r="A56" s="120">
        <v>50</v>
      </c>
      <c r="B56" s="153" t="s">
        <v>257</v>
      </c>
      <c r="C56" s="3" t="s">
        <v>259</v>
      </c>
      <c r="D56" s="153" t="s">
        <v>778</v>
      </c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94">
        <f t="shared" si="0"/>
        <v>0</v>
      </c>
      <c r="S56" s="53"/>
      <c r="T56" s="53"/>
      <c r="U56" s="53"/>
      <c r="V56" s="53"/>
      <c r="W56" s="53"/>
      <c r="X56" s="53"/>
      <c r="Y56" s="53"/>
    </row>
    <row r="57" spans="1:25" ht="15.75" customHeight="1" x14ac:dyDescent="0.3">
      <c r="A57" s="196">
        <v>51</v>
      </c>
      <c r="B57" s="179" t="s">
        <v>364</v>
      </c>
      <c r="C57" s="156" t="s">
        <v>366</v>
      </c>
      <c r="D57" s="179" t="s">
        <v>779</v>
      </c>
      <c r="E57" s="196"/>
      <c r="F57" s="201">
        <v>10</v>
      </c>
      <c r="G57" s="202">
        <v>10</v>
      </c>
      <c r="H57" s="202">
        <v>10</v>
      </c>
      <c r="I57" s="202">
        <v>10</v>
      </c>
      <c r="J57" s="202">
        <v>10</v>
      </c>
      <c r="K57" s="202">
        <v>10</v>
      </c>
      <c r="L57" s="202">
        <v>10</v>
      </c>
      <c r="M57" s="202">
        <v>10</v>
      </c>
      <c r="N57" s="202">
        <v>10</v>
      </c>
      <c r="O57" s="202">
        <v>10</v>
      </c>
      <c r="P57" s="202">
        <v>10</v>
      </c>
      <c r="Q57" s="202">
        <v>10</v>
      </c>
      <c r="R57" s="195">
        <f t="shared" si="0"/>
        <v>120</v>
      </c>
      <c r="S57" s="182" t="s">
        <v>1192</v>
      </c>
      <c r="T57" s="180"/>
      <c r="U57" s="175"/>
      <c r="V57" s="53"/>
      <c r="W57" s="53"/>
      <c r="X57" s="53"/>
      <c r="Y57" s="53"/>
    </row>
    <row r="58" spans="1:25" ht="15.75" customHeight="1" x14ac:dyDescent="0.3">
      <c r="A58" s="120">
        <v>52</v>
      </c>
      <c r="B58" s="153" t="s">
        <v>489</v>
      </c>
      <c r="C58" s="14" t="s">
        <v>491</v>
      </c>
      <c r="D58" s="153" t="s">
        <v>780</v>
      </c>
      <c r="E58" s="120"/>
      <c r="F58" s="198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194">
        <f t="shared" si="0"/>
        <v>0</v>
      </c>
      <c r="S58" s="174"/>
      <c r="T58" s="53"/>
      <c r="U58" s="53"/>
      <c r="V58" s="53"/>
      <c r="W58" s="53"/>
      <c r="X58" s="53"/>
      <c r="Y58" s="53"/>
    </row>
    <row r="59" spans="1:25" ht="15.75" customHeight="1" x14ac:dyDescent="0.3">
      <c r="A59" s="120">
        <v>53</v>
      </c>
      <c r="B59" s="153" t="s">
        <v>126</v>
      </c>
      <c r="C59" s="14" t="s">
        <v>128</v>
      </c>
      <c r="D59" s="153" t="s">
        <v>781</v>
      </c>
      <c r="E59" s="120"/>
      <c r="F59" s="198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194">
        <f t="shared" si="0"/>
        <v>0</v>
      </c>
      <c r="S59" s="174"/>
      <c r="T59" s="53"/>
      <c r="U59" s="53"/>
      <c r="V59" s="53"/>
      <c r="W59" s="53"/>
      <c r="X59" s="53"/>
      <c r="Y59" s="53"/>
    </row>
    <row r="60" spans="1:25" ht="15.75" customHeight="1" x14ac:dyDescent="0.3">
      <c r="A60" s="120">
        <v>54</v>
      </c>
      <c r="B60" s="153" t="s">
        <v>239</v>
      </c>
      <c r="C60" s="44" t="s">
        <v>957</v>
      </c>
      <c r="D60" s="153" t="s">
        <v>783</v>
      </c>
      <c r="E60" s="120"/>
      <c r="F60" s="198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4">
        <f t="shared" si="0"/>
        <v>0</v>
      </c>
      <c r="S60" s="173"/>
      <c r="T60" s="173"/>
      <c r="U60" s="175"/>
      <c r="V60" s="53"/>
      <c r="W60" s="53"/>
      <c r="X60" s="53"/>
      <c r="Y60" s="53"/>
    </row>
    <row r="61" spans="1:25" ht="15.75" customHeight="1" x14ac:dyDescent="0.3">
      <c r="A61" s="120">
        <v>55</v>
      </c>
      <c r="B61" s="153" t="s">
        <v>249</v>
      </c>
      <c r="C61" s="14" t="s">
        <v>1050</v>
      </c>
      <c r="D61" s="153" t="s">
        <v>785</v>
      </c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94">
        <f t="shared" si="0"/>
        <v>0</v>
      </c>
      <c r="S61" s="53"/>
      <c r="T61" s="53"/>
      <c r="U61" s="53"/>
      <c r="V61" s="53"/>
      <c r="W61" s="53"/>
      <c r="X61" s="53"/>
      <c r="Y61" s="53"/>
    </row>
    <row r="62" spans="1:25" ht="15.75" customHeight="1" x14ac:dyDescent="0.3">
      <c r="A62" s="120">
        <v>56</v>
      </c>
      <c r="B62" s="153" t="s">
        <v>395</v>
      </c>
      <c r="C62" s="14" t="s">
        <v>1051</v>
      </c>
      <c r="D62" s="153" t="s">
        <v>786</v>
      </c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94">
        <f t="shared" si="0"/>
        <v>0</v>
      </c>
      <c r="S62" s="53"/>
      <c r="T62" s="53"/>
      <c r="U62" s="53"/>
      <c r="V62" s="53"/>
      <c r="W62" s="53"/>
      <c r="X62" s="53"/>
      <c r="Y62" s="53"/>
    </row>
    <row r="63" spans="1:25" ht="15.75" customHeight="1" x14ac:dyDescent="0.3">
      <c r="A63" s="196">
        <v>57</v>
      </c>
      <c r="B63" s="179" t="s">
        <v>150</v>
      </c>
      <c r="C63" s="178" t="s">
        <v>152</v>
      </c>
      <c r="D63" s="179" t="s">
        <v>789</v>
      </c>
      <c r="E63" s="196"/>
      <c r="F63" s="196">
        <v>10</v>
      </c>
      <c r="G63" s="196">
        <v>10</v>
      </c>
      <c r="H63" s="196">
        <v>10</v>
      </c>
      <c r="I63" s="196">
        <v>10</v>
      </c>
      <c r="J63" s="196">
        <v>10</v>
      </c>
      <c r="K63" s="196">
        <v>10</v>
      </c>
      <c r="L63" s="196">
        <v>10</v>
      </c>
      <c r="M63" s="196">
        <v>10</v>
      </c>
      <c r="N63" s="196">
        <v>10</v>
      </c>
      <c r="O63" s="196">
        <v>10</v>
      </c>
      <c r="P63" s="196">
        <v>10</v>
      </c>
      <c r="Q63" s="196">
        <v>10</v>
      </c>
      <c r="R63" s="195">
        <f t="shared" si="0"/>
        <v>120</v>
      </c>
      <c r="S63" s="182" t="s">
        <v>1185</v>
      </c>
      <c r="T63" s="159"/>
      <c r="U63" s="53"/>
      <c r="V63" s="53"/>
      <c r="W63" s="53"/>
      <c r="X63" s="53"/>
      <c r="Y63" s="53"/>
    </row>
    <row r="64" spans="1:25" ht="15.75" customHeight="1" x14ac:dyDescent="0.3">
      <c r="A64" s="120">
        <v>58</v>
      </c>
      <c r="B64" s="153" t="s">
        <v>438</v>
      </c>
      <c r="C64" s="3" t="s">
        <v>440</v>
      </c>
      <c r="D64" s="153" t="s">
        <v>791</v>
      </c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94">
        <f t="shared" si="0"/>
        <v>0</v>
      </c>
      <c r="S64" s="53"/>
      <c r="T64" s="53"/>
      <c r="U64" s="53"/>
      <c r="V64" s="53"/>
      <c r="W64" s="53"/>
      <c r="X64" s="53"/>
      <c r="Y64" s="53"/>
    </row>
    <row r="65" spans="1:25" ht="15.75" customHeight="1" x14ac:dyDescent="0.3">
      <c r="A65" s="120">
        <v>59</v>
      </c>
      <c r="B65" s="153" t="s">
        <v>307</v>
      </c>
      <c r="C65" s="3" t="s">
        <v>309</v>
      </c>
      <c r="D65" s="153" t="s">
        <v>792</v>
      </c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94">
        <f t="shared" si="0"/>
        <v>0</v>
      </c>
      <c r="S65" s="53"/>
      <c r="T65" s="53"/>
      <c r="U65" s="53"/>
      <c r="V65" s="53"/>
      <c r="W65" s="53"/>
      <c r="X65" s="53"/>
      <c r="Y65" s="53"/>
    </row>
    <row r="66" spans="1:25" ht="15.75" customHeight="1" x14ac:dyDescent="0.3">
      <c r="A66" s="120">
        <v>60</v>
      </c>
      <c r="B66" s="153" t="s">
        <v>217</v>
      </c>
      <c r="C66" s="3" t="s">
        <v>219</v>
      </c>
      <c r="D66" s="153" t="s">
        <v>793</v>
      </c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94">
        <f t="shared" si="0"/>
        <v>0</v>
      </c>
      <c r="S66" s="53"/>
      <c r="T66" s="53"/>
      <c r="U66" s="53"/>
      <c r="V66" s="53"/>
      <c r="W66" s="53"/>
      <c r="X66" s="53"/>
      <c r="Y66" s="53"/>
    </row>
    <row r="67" spans="1:25" ht="15.75" customHeight="1" x14ac:dyDescent="0.3">
      <c r="A67" s="120">
        <v>61</v>
      </c>
      <c r="B67" s="153" t="s">
        <v>301</v>
      </c>
      <c r="C67" s="44" t="s">
        <v>794</v>
      </c>
      <c r="D67" s="153" t="s">
        <v>795</v>
      </c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94">
        <f t="shared" si="0"/>
        <v>0</v>
      </c>
      <c r="S67" s="53"/>
      <c r="T67" s="53"/>
      <c r="U67" s="53"/>
      <c r="V67" s="53"/>
      <c r="W67" s="53"/>
      <c r="X67" s="53"/>
      <c r="Y67" s="53"/>
    </row>
    <row r="68" spans="1:25" ht="15.75" customHeight="1" x14ac:dyDescent="0.3">
      <c r="A68" s="120">
        <v>62</v>
      </c>
      <c r="B68" s="327" t="s">
        <v>342</v>
      </c>
      <c r="C68" s="331" t="s">
        <v>1052</v>
      </c>
      <c r="D68" s="327" t="s">
        <v>796</v>
      </c>
      <c r="E68" s="326"/>
      <c r="F68" s="326">
        <v>10</v>
      </c>
      <c r="G68" s="326">
        <v>10</v>
      </c>
      <c r="H68" s="326">
        <v>10</v>
      </c>
      <c r="I68" s="326">
        <v>10</v>
      </c>
      <c r="J68" s="326">
        <v>10</v>
      </c>
      <c r="K68" s="326">
        <v>10</v>
      </c>
      <c r="L68" s="326">
        <v>10</v>
      </c>
      <c r="M68" s="326">
        <v>10</v>
      </c>
      <c r="N68" s="326">
        <v>10</v>
      </c>
      <c r="O68" s="326">
        <v>10</v>
      </c>
      <c r="P68" s="326">
        <v>10</v>
      </c>
      <c r="Q68" s="326">
        <v>10</v>
      </c>
      <c r="R68" s="329">
        <f t="shared" si="0"/>
        <v>120</v>
      </c>
      <c r="S68" s="334" t="s">
        <v>1229</v>
      </c>
      <c r="T68" s="369"/>
      <c r="U68" s="369"/>
      <c r="V68" s="53"/>
      <c r="W68" s="53"/>
      <c r="X68" s="53"/>
      <c r="Y68" s="53"/>
    </row>
    <row r="69" spans="1:25" ht="15.75" customHeight="1" x14ac:dyDescent="0.3">
      <c r="A69" s="120">
        <v>63</v>
      </c>
      <c r="B69" s="153" t="s">
        <v>289</v>
      </c>
      <c r="C69" s="3" t="s">
        <v>291</v>
      </c>
      <c r="D69" s="153" t="s">
        <v>797</v>
      </c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94">
        <f t="shared" si="0"/>
        <v>0</v>
      </c>
      <c r="S69" s="53"/>
      <c r="T69" s="53"/>
      <c r="U69" s="53"/>
      <c r="V69" s="53"/>
      <c r="W69" s="53"/>
      <c r="X69" s="53"/>
      <c r="Y69" s="53"/>
    </row>
    <row r="70" spans="1:25" ht="15.75" customHeight="1" x14ac:dyDescent="0.3">
      <c r="A70" s="120">
        <v>64</v>
      </c>
      <c r="B70" s="153" t="s">
        <v>608</v>
      </c>
      <c r="C70" s="44" t="s">
        <v>798</v>
      </c>
      <c r="D70" s="153" t="s">
        <v>799</v>
      </c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94">
        <f t="shared" si="0"/>
        <v>0</v>
      </c>
      <c r="S70" s="53"/>
      <c r="T70" s="53"/>
      <c r="U70" s="53"/>
      <c r="V70" s="53"/>
      <c r="W70" s="53"/>
      <c r="X70" s="53"/>
      <c r="Y70" s="53"/>
    </row>
    <row r="71" spans="1:25" ht="15.75" customHeight="1" x14ac:dyDescent="0.3">
      <c r="A71" s="120">
        <v>65</v>
      </c>
      <c r="B71" s="153" t="s">
        <v>548</v>
      </c>
      <c r="C71" s="14" t="s">
        <v>1053</v>
      </c>
      <c r="D71" s="153" t="s">
        <v>800</v>
      </c>
      <c r="E71" s="120"/>
      <c r="F71" s="198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194">
        <f t="shared" si="0"/>
        <v>0</v>
      </c>
      <c r="S71" s="53"/>
      <c r="T71" s="53"/>
      <c r="U71" s="53"/>
      <c r="V71" s="53"/>
      <c r="W71" s="53"/>
      <c r="X71" s="53"/>
      <c r="Y71" s="53"/>
    </row>
    <row r="72" spans="1:25" ht="15.75" customHeight="1" x14ac:dyDescent="0.3">
      <c r="A72" s="120">
        <v>66</v>
      </c>
      <c r="B72" s="153" t="s">
        <v>482</v>
      </c>
      <c r="C72" s="44" t="s">
        <v>999</v>
      </c>
      <c r="D72" s="153" t="s">
        <v>802</v>
      </c>
      <c r="E72" s="120"/>
      <c r="F72" s="198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194">
        <f t="shared" ref="R72:R90" si="1">SUM(F72:Q72)</f>
        <v>0</v>
      </c>
      <c r="S72" s="53"/>
      <c r="T72" s="53"/>
      <c r="U72" s="53"/>
    </row>
    <row r="73" spans="1:25" ht="15.75" customHeight="1" x14ac:dyDescent="0.3">
      <c r="A73" s="196">
        <v>67</v>
      </c>
      <c r="B73" s="179" t="s">
        <v>185</v>
      </c>
      <c r="C73" s="181" t="s">
        <v>1025</v>
      </c>
      <c r="D73" s="179" t="s">
        <v>804</v>
      </c>
      <c r="E73" s="196"/>
      <c r="F73" s="201">
        <v>10</v>
      </c>
      <c r="G73" s="202">
        <v>10</v>
      </c>
      <c r="H73" s="202">
        <v>10</v>
      </c>
      <c r="I73" s="202">
        <v>10</v>
      </c>
      <c r="J73" s="202">
        <v>10</v>
      </c>
      <c r="K73" s="202">
        <v>10</v>
      </c>
      <c r="L73" s="202">
        <v>10</v>
      </c>
      <c r="M73" s="202">
        <v>10</v>
      </c>
      <c r="N73" s="202">
        <v>10</v>
      </c>
      <c r="O73" s="202">
        <v>10</v>
      </c>
      <c r="P73" s="202">
        <v>10</v>
      </c>
      <c r="Q73" s="202">
        <v>10</v>
      </c>
      <c r="R73" s="195">
        <f t="shared" si="1"/>
        <v>120</v>
      </c>
      <c r="S73" s="182" t="s">
        <v>1150</v>
      </c>
      <c r="T73" s="180"/>
      <c r="U73" s="175"/>
    </row>
    <row r="74" spans="1:25" ht="15.75" customHeight="1" x14ac:dyDescent="0.3">
      <c r="A74" s="120">
        <v>68</v>
      </c>
      <c r="B74" s="153" t="s">
        <v>276</v>
      </c>
      <c r="C74" s="44" t="s">
        <v>1000</v>
      </c>
      <c r="D74" s="153" t="s">
        <v>806</v>
      </c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94">
        <f t="shared" si="1"/>
        <v>0</v>
      </c>
      <c r="S74" s="53"/>
      <c r="T74" s="53"/>
      <c r="U74" s="53"/>
    </row>
    <row r="75" spans="1:25" ht="15.75" customHeight="1" x14ac:dyDescent="0.3">
      <c r="A75" s="120">
        <v>69</v>
      </c>
      <c r="B75" s="153" t="s">
        <v>564</v>
      </c>
      <c r="C75" s="3" t="s">
        <v>566</v>
      </c>
      <c r="D75" s="153" t="s">
        <v>808</v>
      </c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94">
        <f t="shared" si="1"/>
        <v>0</v>
      </c>
    </row>
    <row r="76" spans="1:25" ht="15.75" customHeight="1" x14ac:dyDescent="0.3">
      <c r="A76" s="120">
        <v>70</v>
      </c>
      <c r="B76" s="153" t="s">
        <v>629</v>
      </c>
      <c r="C76" s="3" t="s">
        <v>631</v>
      </c>
      <c r="D76" s="153" t="s">
        <v>809</v>
      </c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94">
        <f t="shared" si="1"/>
        <v>0</v>
      </c>
    </row>
    <row r="77" spans="1:25" ht="15.75" customHeight="1" x14ac:dyDescent="0.3">
      <c r="A77" s="120">
        <v>71</v>
      </c>
      <c r="B77" s="153" t="s">
        <v>810</v>
      </c>
      <c r="C77" s="44" t="s">
        <v>811</v>
      </c>
      <c r="D77" s="153" t="s">
        <v>812</v>
      </c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94">
        <f t="shared" si="1"/>
        <v>0</v>
      </c>
    </row>
    <row r="78" spans="1:25" ht="15.75" customHeight="1" x14ac:dyDescent="0.3">
      <c r="A78" s="326">
        <v>72</v>
      </c>
      <c r="B78" s="327" t="s">
        <v>813</v>
      </c>
      <c r="C78" s="333" t="s">
        <v>814</v>
      </c>
      <c r="D78" s="327" t="s">
        <v>815</v>
      </c>
      <c r="E78" s="326"/>
      <c r="F78" s="326">
        <v>10</v>
      </c>
      <c r="G78" s="326">
        <v>10</v>
      </c>
      <c r="H78" s="326">
        <v>10</v>
      </c>
      <c r="I78" s="326">
        <v>10</v>
      </c>
      <c r="J78" s="326">
        <v>10</v>
      </c>
      <c r="K78" s="326">
        <v>10</v>
      </c>
      <c r="L78" s="326">
        <v>10</v>
      </c>
      <c r="M78" s="326">
        <v>10</v>
      </c>
      <c r="N78" s="326">
        <v>10</v>
      </c>
      <c r="O78" s="326">
        <v>10</v>
      </c>
      <c r="P78" s="326">
        <v>10</v>
      </c>
      <c r="Q78" s="326">
        <v>10</v>
      </c>
      <c r="R78" s="329">
        <f t="shared" si="1"/>
        <v>120</v>
      </c>
      <c r="S78" s="334" t="s">
        <v>1228</v>
      </c>
      <c r="T78" s="369"/>
      <c r="U78" s="335"/>
    </row>
    <row r="79" spans="1:25" ht="15.75" customHeight="1" x14ac:dyDescent="0.3">
      <c r="A79" s="120">
        <v>73</v>
      </c>
      <c r="B79" s="153" t="s">
        <v>816</v>
      </c>
      <c r="C79" s="44" t="s">
        <v>817</v>
      </c>
      <c r="D79" s="153" t="s">
        <v>818</v>
      </c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94">
        <f t="shared" si="1"/>
        <v>0</v>
      </c>
      <c r="S79" s="174"/>
      <c r="T79" s="53"/>
      <c r="U79" s="53"/>
    </row>
    <row r="80" spans="1:25" ht="15.75" customHeight="1" x14ac:dyDescent="0.3">
      <c r="A80" s="120">
        <v>74</v>
      </c>
      <c r="B80" s="153" t="s">
        <v>819</v>
      </c>
      <c r="C80" s="44" t="s">
        <v>820</v>
      </c>
      <c r="D80" s="153" t="s">
        <v>821</v>
      </c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94">
        <f t="shared" si="1"/>
        <v>0</v>
      </c>
    </row>
    <row r="81" spans="1:22" ht="15.75" customHeight="1" x14ac:dyDescent="0.3">
      <c r="A81" s="196">
        <v>75</v>
      </c>
      <c r="B81" s="179" t="s">
        <v>822</v>
      </c>
      <c r="C81" s="156" t="s">
        <v>823</v>
      </c>
      <c r="D81" s="179" t="s">
        <v>824</v>
      </c>
      <c r="E81" s="196"/>
      <c r="F81" s="196">
        <v>10</v>
      </c>
      <c r="G81" s="196">
        <v>10</v>
      </c>
      <c r="H81" s="196">
        <v>10</v>
      </c>
      <c r="I81" s="196">
        <v>10</v>
      </c>
      <c r="J81" s="196">
        <v>10</v>
      </c>
      <c r="K81" s="196">
        <v>10</v>
      </c>
      <c r="L81" s="196">
        <v>10</v>
      </c>
      <c r="M81" s="196">
        <v>10</v>
      </c>
      <c r="N81" s="196">
        <v>10</v>
      </c>
      <c r="O81" s="196">
        <v>10</v>
      </c>
      <c r="P81" s="196">
        <v>10</v>
      </c>
      <c r="Q81" s="196">
        <v>10</v>
      </c>
      <c r="R81" s="195">
        <f t="shared" si="1"/>
        <v>120</v>
      </c>
      <c r="S81" s="182" t="s">
        <v>1220</v>
      </c>
      <c r="T81" s="161"/>
      <c r="U81" s="161"/>
      <c r="V81" s="161"/>
    </row>
    <row r="82" spans="1:22" ht="15.75" customHeight="1" x14ac:dyDescent="0.3">
      <c r="A82" s="120">
        <v>76</v>
      </c>
      <c r="B82" s="153" t="s">
        <v>825</v>
      </c>
      <c r="C82" s="44" t="s">
        <v>826</v>
      </c>
      <c r="D82" s="153" t="s">
        <v>827</v>
      </c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94">
        <f t="shared" si="1"/>
        <v>0</v>
      </c>
    </row>
    <row r="83" spans="1:22" ht="15.75" customHeight="1" x14ac:dyDescent="0.3">
      <c r="A83" s="120">
        <v>77</v>
      </c>
      <c r="B83" s="153" t="s">
        <v>416</v>
      </c>
      <c r="C83" s="14" t="s">
        <v>418</v>
      </c>
      <c r="D83" s="153" t="s">
        <v>828</v>
      </c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94">
        <f t="shared" si="1"/>
        <v>0</v>
      </c>
    </row>
    <row r="84" spans="1:22" ht="15.75" customHeight="1" x14ac:dyDescent="0.3">
      <c r="A84" s="120">
        <v>78</v>
      </c>
      <c r="B84" s="153" t="s">
        <v>829</v>
      </c>
      <c r="C84" s="44" t="s">
        <v>830</v>
      </c>
      <c r="D84" s="153" t="s">
        <v>831</v>
      </c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94">
        <f t="shared" si="1"/>
        <v>0</v>
      </c>
    </row>
    <row r="85" spans="1:22" ht="15.75" customHeight="1" x14ac:dyDescent="0.3">
      <c r="A85" s="120">
        <v>79</v>
      </c>
      <c r="B85" s="153" t="s">
        <v>832</v>
      </c>
      <c r="C85" s="3" t="s">
        <v>584</v>
      </c>
      <c r="D85" s="153" t="s">
        <v>721</v>
      </c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94">
        <f t="shared" si="1"/>
        <v>0</v>
      </c>
    </row>
    <row r="86" spans="1:22" ht="15.75" customHeight="1" x14ac:dyDescent="0.3">
      <c r="A86" s="120">
        <v>80</v>
      </c>
      <c r="B86" s="153" t="s">
        <v>833</v>
      </c>
      <c r="C86" s="14" t="s">
        <v>1054</v>
      </c>
      <c r="D86" s="153" t="s">
        <v>834</v>
      </c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94">
        <f t="shared" si="1"/>
        <v>0</v>
      </c>
      <c r="T86">
        <v>3</v>
      </c>
    </row>
    <row r="87" spans="1:22" ht="15.75" customHeight="1" x14ac:dyDescent="0.3">
      <c r="A87" s="120">
        <v>81</v>
      </c>
      <c r="B87" s="153" t="s">
        <v>836</v>
      </c>
      <c r="C87" s="44" t="s">
        <v>919</v>
      </c>
      <c r="D87" s="153" t="s">
        <v>920</v>
      </c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94">
        <f t="shared" si="1"/>
        <v>0</v>
      </c>
    </row>
    <row r="88" spans="1:22" ht="15.75" customHeight="1" x14ac:dyDescent="0.3">
      <c r="A88" s="120">
        <v>82</v>
      </c>
      <c r="B88" s="153" t="s">
        <v>837</v>
      </c>
      <c r="C88" s="44" t="s">
        <v>921</v>
      </c>
      <c r="D88" s="153" t="s">
        <v>922</v>
      </c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94">
        <f t="shared" si="1"/>
        <v>0</v>
      </c>
    </row>
    <row r="89" spans="1:22" ht="15.75" customHeight="1" x14ac:dyDescent="0.3">
      <c r="A89" s="196">
        <v>83</v>
      </c>
      <c r="B89" s="179" t="s">
        <v>142</v>
      </c>
      <c r="C89" s="178" t="s">
        <v>144</v>
      </c>
      <c r="D89" s="179" t="s">
        <v>838</v>
      </c>
      <c r="E89" s="204"/>
      <c r="F89" s="204">
        <v>10</v>
      </c>
      <c r="G89" s="204">
        <v>10</v>
      </c>
      <c r="H89" s="204">
        <v>10</v>
      </c>
      <c r="I89" s="204">
        <v>10</v>
      </c>
      <c r="J89" s="204">
        <v>10</v>
      </c>
      <c r="K89" s="204">
        <v>10</v>
      </c>
      <c r="L89" s="204">
        <v>10</v>
      </c>
      <c r="M89" s="204">
        <v>10</v>
      </c>
      <c r="N89" s="204">
        <v>10</v>
      </c>
      <c r="O89" s="204">
        <v>10</v>
      </c>
      <c r="P89" s="204">
        <v>10</v>
      </c>
      <c r="Q89" s="204">
        <v>10</v>
      </c>
      <c r="R89" s="195">
        <f t="shared" si="1"/>
        <v>120</v>
      </c>
      <c r="S89" s="182" t="s">
        <v>1224</v>
      </c>
      <c r="T89" s="180"/>
      <c r="U89" s="53"/>
    </row>
    <row r="90" spans="1:22" ht="15.75" customHeight="1" x14ac:dyDescent="0.3">
      <c r="A90" s="120">
        <v>84</v>
      </c>
      <c r="B90" s="153" t="s">
        <v>839</v>
      </c>
      <c r="C90" s="3" t="s">
        <v>572</v>
      </c>
      <c r="D90" s="177" t="s">
        <v>923</v>
      </c>
      <c r="E90" s="205"/>
      <c r="F90" s="205"/>
      <c r="G90" s="205"/>
      <c r="H90" s="205"/>
      <c r="I90" s="205"/>
      <c r="J90" s="205"/>
      <c r="K90" s="205"/>
      <c r="L90" s="205"/>
      <c r="M90" s="205"/>
      <c r="N90" s="205"/>
      <c r="O90" s="205"/>
      <c r="P90" s="205"/>
      <c r="Q90" s="205"/>
      <c r="R90" s="194">
        <f t="shared" si="1"/>
        <v>0</v>
      </c>
    </row>
    <row r="91" spans="1:22" ht="15.75" customHeight="1" x14ac:dyDescent="0.3">
      <c r="A91" s="196">
        <v>85</v>
      </c>
      <c r="B91" s="179" t="s">
        <v>840</v>
      </c>
      <c r="C91" s="210" t="s">
        <v>1178</v>
      </c>
      <c r="D91" s="211" t="s">
        <v>793</v>
      </c>
      <c r="E91" s="212">
        <v>20</v>
      </c>
      <c r="F91" s="212">
        <v>10</v>
      </c>
      <c r="G91" s="212">
        <v>10</v>
      </c>
      <c r="H91" s="212">
        <v>10</v>
      </c>
      <c r="I91" s="212">
        <v>10</v>
      </c>
      <c r="J91" s="212">
        <v>10</v>
      </c>
      <c r="K91" s="212">
        <v>10</v>
      </c>
      <c r="L91" s="212">
        <v>10</v>
      </c>
      <c r="M91" s="212">
        <v>10</v>
      </c>
      <c r="N91" s="212">
        <v>10</v>
      </c>
      <c r="O91" s="212">
        <v>10</v>
      </c>
      <c r="P91" s="212">
        <v>10</v>
      </c>
      <c r="Q91" s="212">
        <v>10</v>
      </c>
      <c r="R91" s="196">
        <f>SUM(E91:Q91)</f>
        <v>140</v>
      </c>
      <c r="S91" s="182" t="s">
        <v>1179</v>
      </c>
      <c r="T91" s="161"/>
    </row>
    <row r="92" spans="1:22" ht="15.75" customHeight="1" x14ac:dyDescent="0.3">
      <c r="A92" s="120">
        <v>86</v>
      </c>
      <c r="B92" s="153" t="s">
        <v>841</v>
      </c>
      <c r="C92" s="3" t="s">
        <v>212</v>
      </c>
      <c r="D92" s="153" t="s">
        <v>926</v>
      </c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>
        <f>SUM(F92:Q92)</f>
        <v>0</v>
      </c>
    </row>
    <row r="93" spans="1:22" ht="15.75" customHeight="1" x14ac:dyDescent="0.3">
      <c r="A93" s="196">
        <v>87</v>
      </c>
      <c r="B93" s="179" t="s">
        <v>842</v>
      </c>
      <c r="C93" s="210" t="s">
        <v>1180</v>
      </c>
      <c r="D93" s="211" t="s">
        <v>1181</v>
      </c>
      <c r="E93" s="196">
        <v>20</v>
      </c>
      <c r="F93" s="196">
        <v>10</v>
      </c>
      <c r="G93" s="196"/>
      <c r="H93" s="196"/>
      <c r="I93" s="196"/>
      <c r="J93" s="196"/>
      <c r="K93" s="196"/>
      <c r="L93" s="196"/>
      <c r="M93" s="196"/>
      <c r="N93" s="196"/>
      <c r="O93" s="196"/>
      <c r="P93" s="196"/>
      <c r="Q93" s="196"/>
      <c r="R93" s="196">
        <f>SUM(E93:Q93)</f>
        <v>30</v>
      </c>
      <c r="S93" s="182" t="s">
        <v>1182</v>
      </c>
      <c r="T93" s="161"/>
    </row>
    <row r="94" spans="1:22" ht="15.75" customHeight="1" x14ac:dyDescent="0.3">
      <c r="A94" s="326">
        <v>88</v>
      </c>
      <c r="B94" s="327" t="s">
        <v>644</v>
      </c>
      <c r="C94" s="336" t="s">
        <v>647</v>
      </c>
      <c r="D94" s="327" t="s">
        <v>843</v>
      </c>
      <c r="E94" s="326"/>
      <c r="F94" s="326">
        <v>10</v>
      </c>
      <c r="G94" s="326">
        <v>10</v>
      </c>
      <c r="H94" s="326">
        <v>10</v>
      </c>
      <c r="I94" s="326">
        <v>10</v>
      </c>
      <c r="J94" s="326">
        <v>10</v>
      </c>
      <c r="K94" s="326">
        <v>10</v>
      </c>
      <c r="L94" s="326">
        <v>10</v>
      </c>
      <c r="M94" s="326">
        <v>10</v>
      </c>
      <c r="N94" s="326">
        <v>10</v>
      </c>
      <c r="O94" s="326">
        <v>10</v>
      </c>
      <c r="P94" s="326">
        <v>10</v>
      </c>
      <c r="Q94" s="326">
        <v>10</v>
      </c>
      <c r="R94" s="326">
        <f>SUM(F94:Q94)</f>
        <v>120</v>
      </c>
      <c r="S94" s="335" t="s">
        <v>1226</v>
      </c>
      <c r="T94" s="335"/>
    </row>
    <row r="95" spans="1:22" ht="15.75" customHeight="1" x14ac:dyDescent="0.3">
      <c r="A95" s="196">
        <v>89</v>
      </c>
      <c r="B95" s="179" t="s">
        <v>844</v>
      </c>
      <c r="C95" s="210" t="s">
        <v>1188</v>
      </c>
      <c r="D95" s="211" t="s">
        <v>1014</v>
      </c>
      <c r="E95" s="196">
        <v>20</v>
      </c>
      <c r="F95" s="196">
        <v>10</v>
      </c>
      <c r="G95" s="196">
        <v>10</v>
      </c>
      <c r="H95" s="196">
        <v>10</v>
      </c>
      <c r="I95" s="196">
        <v>10</v>
      </c>
      <c r="J95" s="196">
        <v>10</v>
      </c>
      <c r="K95" s="196">
        <v>10</v>
      </c>
      <c r="L95" s="196">
        <v>10</v>
      </c>
      <c r="M95" s="196">
        <v>10</v>
      </c>
      <c r="N95" s="196">
        <v>10</v>
      </c>
      <c r="O95" s="196">
        <v>10</v>
      </c>
      <c r="P95" s="196">
        <v>10</v>
      </c>
      <c r="Q95" s="196">
        <v>10</v>
      </c>
      <c r="R95" s="196">
        <f>SUM(E95:Q95)</f>
        <v>140</v>
      </c>
      <c r="S95" s="182" t="s">
        <v>1187</v>
      </c>
      <c r="T95" s="161"/>
    </row>
    <row r="96" spans="1:22" ht="15.75" customHeight="1" x14ac:dyDescent="0.3">
      <c r="A96" s="120">
        <v>90</v>
      </c>
      <c r="B96" s="153" t="s">
        <v>845</v>
      </c>
      <c r="C96" s="44"/>
      <c r="D96" s="153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T96" s="53"/>
      <c r="U96" s="53"/>
    </row>
    <row r="97" spans="1:21" ht="15.75" customHeight="1" x14ac:dyDescent="0.3">
      <c r="A97" s="120">
        <v>91</v>
      </c>
      <c r="B97" s="153" t="s">
        <v>846</v>
      </c>
      <c r="C97" s="44"/>
      <c r="D97" s="153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T97" s="53"/>
      <c r="U97" s="53"/>
    </row>
    <row r="98" spans="1:21" ht="15.75" customHeight="1" x14ac:dyDescent="0.3">
      <c r="A98" s="120">
        <v>92</v>
      </c>
      <c r="B98" s="153" t="s">
        <v>847</v>
      </c>
      <c r="C98" s="44"/>
      <c r="D98" s="153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</row>
    <row r="99" spans="1:21" ht="15.75" customHeight="1" x14ac:dyDescent="0.3">
      <c r="A99" s="120">
        <v>93</v>
      </c>
      <c r="B99" s="153" t="s">
        <v>848</v>
      </c>
      <c r="C99" s="44"/>
      <c r="D99" s="153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</row>
    <row r="100" spans="1:21" ht="15.75" customHeight="1" x14ac:dyDescent="0.3">
      <c r="A100" s="120">
        <v>94</v>
      </c>
      <c r="B100" s="153" t="s">
        <v>849</v>
      </c>
      <c r="C100" s="44"/>
      <c r="D100" s="153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</row>
    <row r="101" spans="1:21" ht="15.75" customHeight="1" x14ac:dyDescent="0.3">
      <c r="A101" s="120">
        <v>95</v>
      </c>
      <c r="B101" s="153" t="s">
        <v>850</v>
      </c>
      <c r="C101" s="44"/>
      <c r="D101" s="153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</row>
    <row r="102" spans="1:21" ht="15.75" customHeight="1" x14ac:dyDescent="0.3">
      <c r="A102" s="120">
        <v>96</v>
      </c>
      <c r="B102" s="153" t="s">
        <v>851</v>
      </c>
      <c r="C102" s="44"/>
      <c r="D102" s="153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</row>
    <row r="103" spans="1:21" ht="15.75" customHeight="1" x14ac:dyDescent="0.3">
      <c r="A103" s="120">
        <v>97</v>
      </c>
      <c r="B103" s="153" t="s">
        <v>852</v>
      </c>
      <c r="C103" s="44"/>
      <c r="D103" s="153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</row>
    <row r="104" spans="1:21" ht="15.75" customHeight="1" x14ac:dyDescent="0.3">
      <c r="A104" s="120">
        <v>98</v>
      </c>
      <c r="B104" s="153" t="s">
        <v>853</v>
      </c>
      <c r="C104" s="44"/>
      <c r="D104" s="153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</row>
    <row r="105" spans="1:21" ht="15.75" customHeight="1" x14ac:dyDescent="0.3">
      <c r="A105" s="120">
        <v>99</v>
      </c>
      <c r="B105" s="153" t="s">
        <v>854</v>
      </c>
      <c r="C105" s="44"/>
      <c r="D105" s="153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</row>
    <row r="106" spans="1:21" ht="15.75" customHeight="1" x14ac:dyDescent="0.3">
      <c r="A106" s="120">
        <v>100</v>
      </c>
      <c r="B106" s="153" t="s">
        <v>855</v>
      </c>
      <c r="C106" s="44"/>
      <c r="D106" s="153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</row>
    <row r="107" spans="1:21" ht="15.75" customHeight="1" x14ac:dyDescent="0.3">
      <c r="A107" s="120">
        <v>101</v>
      </c>
      <c r="B107" s="153" t="s">
        <v>856</v>
      </c>
      <c r="C107" s="44"/>
      <c r="D107" s="153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</row>
    <row r="108" spans="1:21" ht="15.75" customHeight="1" x14ac:dyDescent="0.3">
      <c r="A108" s="120">
        <v>102</v>
      </c>
      <c r="B108" s="153" t="s">
        <v>857</v>
      </c>
      <c r="C108" s="44"/>
      <c r="D108" s="153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</row>
    <row r="109" spans="1:21" ht="15.75" customHeight="1" x14ac:dyDescent="0.3">
      <c r="A109" s="120">
        <v>103</v>
      </c>
      <c r="B109" s="153" t="s">
        <v>858</v>
      </c>
      <c r="C109" s="44"/>
      <c r="D109" s="153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</row>
    <row r="110" spans="1:21" ht="15.75" customHeight="1" x14ac:dyDescent="0.3">
      <c r="A110" s="120">
        <v>104</v>
      </c>
      <c r="B110" s="153" t="s">
        <v>859</v>
      </c>
      <c r="C110" s="44"/>
      <c r="D110" s="153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</row>
    <row r="111" spans="1:21" ht="15.75" customHeight="1" x14ac:dyDescent="0.3">
      <c r="A111" s="120">
        <v>105</v>
      </c>
      <c r="B111" s="153" t="s">
        <v>468</v>
      </c>
      <c r="C111" s="44" t="s">
        <v>470</v>
      </c>
      <c r="D111" s="153" t="s">
        <v>860</v>
      </c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>
        <f>SUM(F111:Q111)</f>
        <v>0</v>
      </c>
      <c r="S111" s="53"/>
      <c r="T111" s="53"/>
    </row>
    <row r="112" spans="1:21" ht="15.75" customHeight="1" x14ac:dyDescent="0.3">
      <c r="A112" s="120">
        <v>106</v>
      </c>
      <c r="B112" s="153" t="s">
        <v>861</v>
      </c>
      <c r="C112" s="44"/>
      <c r="D112" s="153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</row>
    <row r="113" spans="1:21" ht="15.75" customHeight="1" x14ac:dyDescent="0.3">
      <c r="A113" s="120">
        <v>107</v>
      </c>
      <c r="B113" s="153" t="s">
        <v>862</v>
      </c>
      <c r="C113" s="44"/>
      <c r="D113" s="153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</row>
    <row r="114" spans="1:21" ht="15.75" customHeight="1" x14ac:dyDescent="0.3">
      <c r="A114" s="120">
        <v>108</v>
      </c>
      <c r="B114" s="153" t="s">
        <v>863</v>
      </c>
      <c r="C114" s="44"/>
      <c r="D114" s="153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</row>
    <row r="115" spans="1:21" ht="15.75" customHeight="1" x14ac:dyDescent="0.3">
      <c r="A115" s="120">
        <v>109</v>
      </c>
      <c r="B115" s="153" t="s">
        <v>864</v>
      </c>
      <c r="C115" s="44"/>
      <c r="D115" s="153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</row>
    <row r="116" spans="1:21" ht="15.75" customHeight="1" x14ac:dyDescent="0.3">
      <c r="A116" s="120">
        <v>110</v>
      </c>
      <c r="B116" s="153" t="s">
        <v>865</v>
      </c>
      <c r="C116" s="44"/>
      <c r="D116" s="153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</row>
    <row r="117" spans="1:21" ht="15.75" customHeight="1" x14ac:dyDescent="0.3">
      <c r="A117" s="196">
        <v>111</v>
      </c>
      <c r="B117" s="179" t="s">
        <v>621</v>
      </c>
      <c r="C117" s="178" t="s">
        <v>623</v>
      </c>
      <c r="D117" s="179" t="s">
        <v>866</v>
      </c>
      <c r="E117" s="196"/>
      <c r="F117" s="196">
        <v>10</v>
      </c>
      <c r="G117" s="196">
        <v>10</v>
      </c>
      <c r="H117" s="196">
        <v>10</v>
      </c>
      <c r="I117" s="196">
        <v>10</v>
      </c>
      <c r="J117" s="196">
        <v>10</v>
      </c>
      <c r="K117" s="196">
        <v>10</v>
      </c>
      <c r="L117" s="196">
        <v>10</v>
      </c>
      <c r="M117" s="196">
        <v>10</v>
      </c>
      <c r="N117" s="196">
        <v>10</v>
      </c>
      <c r="O117" s="196">
        <v>10</v>
      </c>
      <c r="P117" s="196">
        <v>10</v>
      </c>
      <c r="Q117" s="196">
        <v>10</v>
      </c>
      <c r="R117" s="196">
        <f t="shared" ref="R117:R118" si="2">SUM(F117:Q117)</f>
        <v>120</v>
      </c>
      <c r="S117" s="197" t="s">
        <v>1186</v>
      </c>
      <c r="T117" s="159"/>
      <c r="U117" s="53"/>
    </row>
    <row r="118" spans="1:21" ht="15.75" customHeight="1" x14ac:dyDescent="0.3">
      <c r="A118" s="196">
        <v>112</v>
      </c>
      <c r="B118" s="179" t="s">
        <v>208</v>
      </c>
      <c r="C118" s="156" t="s">
        <v>1006</v>
      </c>
      <c r="D118" s="179" t="s">
        <v>1007</v>
      </c>
      <c r="E118" s="196"/>
      <c r="F118" s="201">
        <v>10</v>
      </c>
      <c r="G118" s="202">
        <v>10</v>
      </c>
      <c r="H118" s="202">
        <v>10</v>
      </c>
      <c r="I118" s="202">
        <v>10</v>
      </c>
      <c r="J118" s="202">
        <v>10</v>
      </c>
      <c r="K118" s="202">
        <v>10</v>
      </c>
      <c r="L118" s="202">
        <v>10</v>
      </c>
      <c r="M118" s="202">
        <v>10</v>
      </c>
      <c r="N118" s="202">
        <v>10</v>
      </c>
      <c r="O118" s="202">
        <v>10</v>
      </c>
      <c r="P118" s="202">
        <v>10</v>
      </c>
      <c r="Q118" s="202">
        <v>10</v>
      </c>
      <c r="R118" s="196">
        <f t="shared" si="2"/>
        <v>120</v>
      </c>
      <c r="S118" s="197" t="s">
        <v>1193</v>
      </c>
      <c r="T118" s="180"/>
      <c r="U118" s="53"/>
    </row>
    <row r="119" spans="1:21" ht="15.75" customHeight="1" x14ac:dyDescent="0.3">
      <c r="A119" s="120">
        <v>113</v>
      </c>
      <c r="B119" s="153" t="s">
        <v>867</v>
      </c>
      <c r="C119" s="44"/>
      <c r="D119" s="153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</row>
    <row r="120" spans="1:21" ht="15.75" customHeight="1" x14ac:dyDescent="0.3">
      <c r="A120" s="120">
        <v>114</v>
      </c>
      <c r="B120" s="153" t="s">
        <v>868</v>
      </c>
      <c r="C120" s="44"/>
      <c r="D120" s="153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</row>
    <row r="121" spans="1:21" ht="15.75" customHeight="1" x14ac:dyDescent="0.3">
      <c r="A121" s="120">
        <v>115</v>
      </c>
      <c r="B121" s="153" t="s">
        <v>869</v>
      </c>
      <c r="C121" s="44"/>
      <c r="D121" s="153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</row>
    <row r="122" spans="1:21" ht="15.75" customHeight="1" x14ac:dyDescent="0.3">
      <c r="A122" s="120">
        <v>116</v>
      </c>
      <c r="B122" s="153" t="s">
        <v>870</v>
      </c>
      <c r="C122" s="44"/>
      <c r="D122" s="153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</row>
    <row r="123" spans="1:21" ht="15.75" customHeight="1" x14ac:dyDescent="0.3">
      <c r="A123" s="120">
        <v>117</v>
      </c>
      <c r="B123" s="153" t="s">
        <v>871</v>
      </c>
      <c r="C123" s="44"/>
      <c r="D123" s="153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</row>
    <row r="124" spans="1:21" ht="15.75" customHeight="1" x14ac:dyDescent="0.3">
      <c r="A124" s="120">
        <v>118</v>
      </c>
      <c r="B124" s="153" t="s">
        <v>872</v>
      </c>
      <c r="C124" s="44"/>
      <c r="D124" s="153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</row>
    <row r="125" spans="1:21" ht="15.75" customHeight="1" x14ac:dyDescent="0.3">
      <c r="A125" s="120">
        <v>119</v>
      </c>
      <c r="B125" s="153" t="s">
        <v>873</v>
      </c>
      <c r="C125" s="44"/>
      <c r="D125" s="153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</row>
    <row r="126" spans="1:21" ht="15.75" customHeight="1" x14ac:dyDescent="0.3">
      <c r="A126" s="120">
        <v>120</v>
      </c>
      <c r="B126" s="153" t="s">
        <v>246</v>
      </c>
      <c r="C126" s="44" t="s">
        <v>1028</v>
      </c>
      <c r="D126" s="153" t="s">
        <v>1029</v>
      </c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>
        <f>SUM(F126:Q126)</f>
        <v>0</v>
      </c>
      <c r="S126" s="173"/>
      <c r="T126" s="173"/>
      <c r="U126" s="20"/>
    </row>
    <row r="127" spans="1:21" ht="15.75" customHeight="1" x14ac:dyDescent="0.3">
      <c r="A127" s="120">
        <v>121</v>
      </c>
      <c r="B127" s="153" t="s">
        <v>540</v>
      </c>
      <c r="C127" s="44" t="s">
        <v>874</v>
      </c>
      <c r="D127" s="153" t="s">
        <v>875</v>
      </c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>
        <f>SUM(F127:Q127)</f>
        <v>0</v>
      </c>
    </row>
    <row r="128" spans="1:21" ht="15.75" customHeight="1" x14ac:dyDescent="0.3">
      <c r="A128" s="120">
        <v>122</v>
      </c>
      <c r="B128" s="153" t="s">
        <v>876</v>
      </c>
      <c r="C128" s="44"/>
      <c r="D128" s="153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</row>
    <row r="129" spans="1:25" ht="15.75" customHeight="1" x14ac:dyDescent="0.3">
      <c r="A129" s="196">
        <v>123</v>
      </c>
      <c r="B129" s="179" t="s">
        <v>165</v>
      </c>
      <c r="C129" s="178" t="s">
        <v>167</v>
      </c>
      <c r="D129" s="179" t="s">
        <v>877</v>
      </c>
      <c r="E129" s="196"/>
      <c r="F129" s="196">
        <v>10</v>
      </c>
      <c r="G129" s="196">
        <v>10</v>
      </c>
      <c r="H129" s="196">
        <v>10</v>
      </c>
      <c r="I129" s="196">
        <v>10</v>
      </c>
      <c r="J129" s="196">
        <v>10</v>
      </c>
      <c r="K129" s="196">
        <v>10</v>
      </c>
      <c r="L129" s="196">
        <v>10</v>
      </c>
      <c r="M129" s="196">
        <v>10</v>
      </c>
      <c r="N129" s="196">
        <v>10</v>
      </c>
      <c r="O129" s="196">
        <v>10</v>
      </c>
      <c r="P129" s="196">
        <v>10</v>
      </c>
      <c r="Q129" s="196">
        <v>10</v>
      </c>
      <c r="R129" s="196">
        <f>SUM(F129:Q129)</f>
        <v>120</v>
      </c>
      <c r="S129" s="197" t="s">
        <v>1150</v>
      </c>
      <c r="T129" s="182"/>
    </row>
    <row r="130" spans="1:25" ht="15.75" customHeight="1" x14ac:dyDescent="0.3">
      <c r="A130" s="120">
        <v>124</v>
      </c>
      <c r="B130" s="153" t="s">
        <v>878</v>
      </c>
      <c r="C130" s="44"/>
      <c r="D130" s="153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</row>
    <row r="131" spans="1:25" ht="15.75" customHeight="1" x14ac:dyDescent="0.3">
      <c r="A131" s="120">
        <v>125</v>
      </c>
      <c r="B131" s="153" t="s">
        <v>476</v>
      </c>
      <c r="C131" s="14" t="s">
        <v>1030</v>
      </c>
      <c r="D131" s="153" t="s">
        <v>879</v>
      </c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>
        <f t="shared" ref="R131:R141" si="3">SUM(F131:Q131)</f>
        <v>0</v>
      </c>
      <c r="S131" s="53"/>
      <c r="T131" s="53"/>
      <c r="U131" s="53"/>
    </row>
    <row r="132" spans="1:25" ht="15.75" customHeight="1" x14ac:dyDescent="0.3">
      <c r="A132" s="120">
        <v>126</v>
      </c>
      <c r="B132" s="153" t="s">
        <v>387</v>
      </c>
      <c r="C132" s="14" t="s">
        <v>880</v>
      </c>
      <c r="D132" s="153" t="s">
        <v>881</v>
      </c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>
        <f t="shared" si="3"/>
        <v>0</v>
      </c>
    </row>
    <row r="133" spans="1:25" ht="15.75" customHeight="1" x14ac:dyDescent="0.3">
      <c r="A133" s="120">
        <v>127</v>
      </c>
      <c r="B133" s="153" t="s">
        <v>662</v>
      </c>
      <c r="C133" s="14" t="s">
        <v>665</v>
      </c>
      <c r="D133" s="153" t="s">
        <v>882</v>
      </c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>
        <f t="shared" si="3"/>
        <v>0</v>
      </c>
    </row>
    <row r="134" spans="1:25" ht="15.75" customHeight="1" x14ac:dyDescent="0.3">
      <c r="A134" s="120">
        <v>128</v>
      </c>
      <c r="B134" s="153" t="s">
        <v>496</v>
      </c>
      <c r="C134" s="3" t="s">
        <v>498</v>
      </c>
      <c r="D134" s="153" t="s">
        <v>1009</v>
      </c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>
        <f t="shared" si="3"/>
        <v>0</v>
      </c>
      <c r="S134" s="173"/>
      <c r="T134" s="173"/>
    </row>
    <row r="135" spans="1:25" ht="15.75" customHeight="1" x14ac:dyDescent="0.3">
      <c r="A135" s="120">
        <v>129</v>
      </c>
      <c r="B135" s="153" t="s">
        <v>13</v>
      </c>
      <c r="C135" s="44" t="s">
        <v>886</v>
      </c>
      <c r="D135" s="153" t="s">
        <v>887</v>
      </c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>
        <f t="shared" si="3"/>
        <v>0</v>
      </c>
    </row>
    <row r="136" spans="1:25" ht="15.75" customHeight="1" x14ac:dyDescent="0.3">
      <c r="A136" s="120">
        <v>130</v>
      </c>
      <c r="B136" s="153" t="s">
        <v>93</v>
      </c>
      <c r="C136" s="44" t="s">
        <v>95</v>
      </c>
      <c r="D136" s="153"/>
      <c r="E136" s="120"/>
      <c r="F136" s="198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20">
        <f t="shared" si="3"/>
        <v>0</v>
      </c>
      <c r="S136" s="173"/>
      <c r="T136" s="173"/>
    </row>
    <row r="137" spans="1:25" ht="15.75" customHeight="1" x14ac:dyDescent="0.3">
      <c r="A137" s="120">
        <v>131</v>
      </c>
      <c r="B137" s="153" t="s">
        <v>409</v>
      </c>
      <c r="C137" s="3" t="s">
        <v>412</v>
      </c>
      <c r="D137" s="153" t="s">
        <v>888</v>
      </c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>
        <f t="shared" si="3"/>
        <v>0</v>
      </c>
    </row>
    <row r="138" spans="1:25" ht="15.75" customHeight="1" x14ac:dyDescent="0.3">
      <c r="A138" s="120">
        <v>132</v>
      </c>
      <c r="B138" s="153" t="s">
        <v>602</v>
      </c>
      <c r="C138" s="3" t="s">
        <v>933</v>
      </c>
      <c r="D138" s="153" t="s">
        <v>736</v>
      </c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>
        <f t="shared" si="3"/>
        <v>0</v>
      </c>
      <c r="S138" s="53"/>
      <c r="T138" s="53"/>
      <c r="U138" s="53"/>
      <c r="V138" s="53"/>
      <c r="W138" s="53"/>
      <c r="X138" s="53"/>
      <c r="Y138" s="53"/>
    </row>
    <row r="139" spans="1:25" ht="15.75" customHeight="1" x14ac:dyDescent="0.3">
      <c r="A139" s="120">
        <v>133</v>
      </c>
      <c r="B139" s="153" t="s">
        <v>890</v>
      </c>
      <c r="C139" s="3" t="s">
        <v>1031</v>
      </c>
      <c r="D139" s="153" t="s">
        <v>892</v>
      </c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>
        <f t="shared" si="3"/>
        <v>0</v>
      </c>
      <c r="S139" s="53"/>
      <c r="T139" s="53"/>
      <c r="U139" s="53"/>
      <c r="V139" s="53"/>
      <c r="W139" s="53"/>
      <c r="X139" s="53"/>
      <c r="Y139" s="53"/>
    </row>
    <row r="140" spans="1:25" ht="15.75" customHeight="1" x14ac:dyDescent="0.3">
      <c r="A140" s="120">
        <v>134</v>
      </c>
      <c r="B140" s="153" t="s">
        <v>893</v>
      </c>
      <c r="C140" s="3" t="s">
        <v>894</v>
      </c>
      <c r="D140" s="153" t="s">
        <v>895</v>
      </c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>
        <f t="shared" si="3"/>
        <v>0</v>
      </c>
      <c r="S140" s="53"/>
      <c r="T140" s="53"/>
      <c r="U140" s="53"/>
      <c r="V140" s="53"/>
      <c r="W140" s="53"/>
      <c r="X140" s="53"/>
      <c r="Y140" s="53"/>
    </row>
    <row r="141" spans="1:25" ht="15.75" customHeight="1" x14ac:dyDescent="0.3">
      <c r="A141" s="120">
        <v>135</v>
      </c>
      <c r="B141" s="153" t="s">
        <v>1012</v>
      </c>
      <c r="C141" s="14" t="s">
        <v>1013</v>
      </c>
      <c r="D141" s="153" t="s">
        <v>1014</v>
      </c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>
        <f t="shared" si="3"/>
        <v>0</v>
      </c>
      <c r="S141" s="393"/>
      <c r="T141" s="393"/>
      <c r="U141" s="53"/>
      <c r="V141" s="53"/>
    </row>
    <row r="142" spans="1:25" ht="15.75" customHeight="1" x14ac:dyDescent="0.3">
      <c r="A142" s="149"/>
      <c r="B142" s="152"/>
      <c r="C142" s="62"/>
      <c r="D142" s="152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</row>
    <row r="143" spans="1:25" ht="15.75" customHeight="1" x14ac:dyDescent="0.3">
      <c r="B143" s="152"/>
      <c r="D143" s="152" t="s">
        <v>896</v>
      </c>
      <c r="E143" s="209">
        <f>SUM(E7:E141)</f>
        <v>60</v>
      </c>
      <c r="F143" s="209">
        <f t="shared" ref="F143:Q143" si="4">SUM(F7:F141)</f>
        <v>310</v>
      </c>
      <c r="G143" s="209">
        <f t="shared" si="4"/>
        <v>300</v>
      </c>
      <c r="H143" s="209">
        <f t="shared" si="4"/>
        <v>300</v>
      </c>
      <c r="I143" s="209">
        <f t="shared" si="4"/>
        <v>300</v>
      </c>
      <c r="J143" s="209">
        <f t="shared" si="4"/>
        <v>300</v>
      </c>
      <c r="K143" s="209">
        <f t="shared" si="4"/>
        <v>300</v>
      </c>
      <c r="L143" s="209">
        <f t="shared" si="4"/>
        <v>300</v>
      </c>
      <c r="M143" s="209">
        <f t="shared" si="4"/>
        <v>300</v>
      </c>
      <c r="N143" s="209">
        <f t="shared" si="4"/>
        <v>300</v>
      </c>
      <c r="O143" s="209">
        <f t="shared" si="4"/>
        <v>300</v>
      </c>
      <c r="P143" s="209">
        <f t="shared" si="4"/>
        <v>300</v>
      </c>
      <c r="Q143" s="209">
        <f t="shared" si="4"/>
        <v>300</v>
      </c>
      <c r="R143" s="209">
        <f>SUM(R7:R141)</f>
        <v>3670</v>
      </c>
      <c r="S143" s="20">
        <f t="shared" ref="S143:T143" si="5">SUM(S7:S141)</f>
        <v>0</v>
      </c>
      <c r="T143" s="20">
        <f t="shared" si="5"/>
        <v>3</v>
      </c>
    </row>
    <row r="144" spans="1:25" ht="15.75" customHeight="1" x14ac:dyDescent="0.3">
      <c r="B144" s="152"/>
      <c r="D144" s="152"/>
      <c r="E144" s="151">
        <f>E143/20</f>
        <v>3</v>
      </c>
    </row>
    <row r="145" spans="2:18" ht="15.75" customHeight="1" x14ac:dyDescent="0.3">
      <c r="B145" s="152"/>
      <c r="D145" s="152"/>
      <c r="R145" s="148">
        <f>SUM(E143:Q143)</f>
        <v>3670</v>
      </c>
    </row>
    <row r="146" spans="2:18" ht="15.75" customHeight="1" x14ac:dyDescent="0.3">
      <c r="B146" s="152"/>
      <c r="D146" s="152"/>
    </row>
    <row r="147" spans="2:18" ht="15.75" customHeight="1" x14ac:dyDescent="0.3">
      <c r="B147" s="152"/>
      <c r="D147" s="152"/>
    </row>
    <row r="148" spans="2:18" ht="15.75" customHeight="1" x14ac:dyDescent="0.3">
      <c r="B148" s="152"/>
      <c r="D148" s="152"/>
    </row>
    <row r="149" spans="2:18" ht="15.75" customHeight="1" x14ac:dyDescent="0.3">
      <c r="B149" s="152"/>
      <c r="D149" s="152"/>
    </row>
    <row r="150" spans="2:18" ht="15.75" customHeight="1" x14ac:dyDescent="0.3">
      <c r="B150" s="152"/>
      <c r="D150" s="152"/>
    </row>
    <row r="151" spans="2:18" ht="15.75" customHeight="1" x14ac:dyDescent="0.3">
      <c r="B151" s="152"/>
      <c r="D151" s="152"/>
    </row>
    <row r="152" spans="2:18" ht="15.75" customHeight="1" x14ac:dyDescent="0.3">
      <c r="B152" s="152"/>
      <c r="D152" s="152"/>
    </row>
    <row r="153" spans="2:18" ht="15.75" customHeight="1" x14ac:dyDescent="0.3">
      <c r="B153" s="152"/>
      <c r="D153" s="152"/>
    </row>
    <row r="154" spans="2:18" ht="15.75" customHeight="1" x14ac:dyDescent="0.3">
      <c r="B154" s="152"/>
      <c r="D154" s="152"/>
    </row>
    <row r="155" spans="2:18" ht="15.75" customHeight="1" x14ac:dyDescent="0.3">
      <c r="B155" s="152"/>
      <c r="D155" s="152"/>
    </row>
    <row r="156" spans="2:18" ht="15.75" customHeight="1" x14ac:dyDescent="0.3">
      <c r="B156" s="152"/>
      <c r="D156" s="152"/>
    </row>
    <row r="157" spans="2:18" ht="15.75" customHeight="1" x14ac:dyDescent="0.3">
      <c r="B157" s="152"/>
      <c r="D157" s="152"/>
    </row>
    <row r="158" spans="2:18" ht="15.75" customHeight="1" x14ac:dyDescent="0.3">
      <c r="B158" s="152"/>
      <c r="D158" s="152"/>
    </row>
    <row r="159" spans="2:18" ht="15.75" customHeight="1" x14ac:dyDescent="0.3">
      <c r="B159" s="152"/>
      <c r="D159" s="152"/>
    </row>
    <row r="160" spans="2:18" ht="15.75" customHeight="1" x14ac:dyDescent="0.3">
      <c r="B160" s="152"/>
      <c r="D160" s="152"/>
    </row>
    <row r="161" spans="2:4" ht="15.75" customHeight="1" x14ac:dyDescent="0.3">
      <c r="B161" s="152"/>
      <c r="D161" s="152"/>
    </row>
    <row r="162" spans="2:4" ht="15.75" customHeight="1" x14ac:dyDescent="0.3">
      <c r="B162" s="152"/>
      <c r="D162" s="152"/>
    </row>
    <row r="163" spans="2:4" ht="15.75" customHeight="1" x14ac:dyDescent="0.3">
      <c r="B163" s="152"/>
      <c r="D163" s="152"/>
    </row>
    <row r="164" spans="2:4" ht="15.75" customHeight="1" x14ac:dyDescent="0.3">
      <c r="B164" s="152"/>
      <c r="D164" s="152"/>
    </row>
    <row r="165" spans="2:4" ht="15.75" customHeight="1" x14ac:dyDescent="0.3">
      <c r="B165" s="152"/>
      <c r="D165" s="152"/>
    </row>
    <row r="166" spans="2:4" ht="15.75" customHeight="1" x14ac:dyDescent="0.3">
      <c r="B166" s="152"/>
      <c r="D166" s="152"/>
    </row>
    <row r="167" spans="2:4" ht="15.75" customHeight="1" x14ac:dyDescent="0.3">
      <c r="B167" s="152"/>
      <c r="D167" s="152"/>
    </row>
    <row r="168" spans="2:4" ht="15.75" customHeight="1" x14ac:dyDescent="0.3">
      <c r="B168" s="152"/>
      <c r="D168" s="152"/>
    </row>
    <row r="169" spans="2:4" ht="15.75" customHeight="1" x14ac:dyDescent="0.3">
      <c r="B169" s="152"/>
      <c r="D169" s="152"/>
    </row>
    <row r="170" spans="2:4" ht="15.75" customHeight="1" x14ac:dyDescent="0.3">
      <c r="B170" s="152"/>
      <c r="D170" s="152"/>
    </row>
    <row r="171" spans="2:4" ht="15.75" customHeight="1" x14ac:dyDescent="0.3">
      <c r="B171" s="152"/>
      <c r="D171" s="152"/>
    </row>
    <row r="172" spans="2:4" ht="15.75" customHeight="1" x14ac:dyDescent="0.3">
      <c r="B172" s="152"/>
      <c r="D172" s="152"/>
    </row>
    <row r="173" spans="2:4" ht="15.75" customHeight="1" x14ac:dyDescent="0.3">
      <c r="B173" s="152"/>
      <c r="D173" s="152"/>
    </row>
    <row r="174" spans="2:4" ht="15.75" customHeight="1" x14ac:dyDescent="0.3">
      <c r="B174" s="152"/>
      <c r="D174" s="152"/>
    </row>
    <row r="175" spans="2:4" ht="15.75" customHeight="1" x14ac:dyDescent="0.3">
      <c r="B175" s="152"/>
      <c r="D175" s="152"/>
    </row>
    <row r="176" spans="2:4" ht="15.75" customHeight="1" x14ac:dyDescent="0.3">
      <c r="B176" s="152"/>
      <c r="D176" s="152"/>
    </row>
    <row r="177" spans="2:4" ht="15.75" customHeight="1" x14ac:dyDescent="0.3">
      <c r="B177" s="152"/>
      <c r="D177" s="152"/>
    </row>
    <row r="178" spans="2:4" ht="15.75" customHeight="1" x14ac:dyDescent="0.3">
      <c r="B178" s="152"/>
      <c r="D178" s="152"/>
    </row>
    <row r="179" spans="2:4" ht="15.75" customHeight="1" x14ac:dyDescent="0.3">
      <c r="B179" s="152"/>
      <c r="D179" s="152"/>
    </row>
    <row r="180" spans="2:4" ht="15.75" customHeight="1" x14ac:dyDescent="0.3">
      <c r="B180" s="152"/>
      <c r="D180" s="152"/>
    </row>
    <row r="181" spans="2:4" ht="15.75" customHeight="1" x14ac:dyDescent="0.3">
      <c r="B181" s="152"/>
      <c r="D181" s="152"/>
    </row>
    <row r="182" spans="2:4" ht="15.75" customHeight="1" x14ac:dyDescent="0.3">
      <c r="B182" s="152"/>
      <c r="D182" s="152"/>
    </row>
    <row r="183" spans="2:4" ht="15.75" customHeight="1" x14ac:dyDescent="0.3">
      <c r="B183" s="152"/>
      <c r="D183" s="152"/>
    </row>
    <row r="184" spans="2:4" ht="15.75" customHeight="1" x14ac:dyDescent="0.3">
      <c r="B184" s="152"/>
      <c r="D184" s="152"/>
    </row>
    <row r="185" spans="2:4" ht="15.75" customHeight="1" x14ac:dyDescent="0.3">
      <c r="B185" s="152"/>
      <c r="D185" s="152"/>
    </row>
    <row r="186" spans="2:4" ht="15.75" customHeight="1" x14ac:dyDescent="0.3">
      <c r="B186" s="152"/>
      <c r="D186" s="152"/>
    </row>
    <row r="187" spans="2:4" ht="15.75" customHeight="1" x14ac:dyDescent="0.3">
      <c r="B187" s="152"/>
      <c r="D187" s="152"/>
    </row>
    <row r="188" spans="2:4" ht="15.75" customHeight="1" x14ac:dyDescent="0.3"/>
    <row r="189" spans="2:4" ht="15.75" customHeight="1" x14ac:dyDescent="0.3"/>
    <row r="190" spans="2:4" ht="15.75" customHeight="1" x14ac:dyDescent="0.3"/>
    <row r="191" spans="2:4" ht="15.75" customHeight="1" x14ac:dyDescent="0.3"/>
    <row r="192" spans="2:4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S141:T141"/>
    <mergeCell ref="A2:R2"/>
    <mergeCell ref="A3:B3"/>
    <mergeCell ref="A5:A6"/>
    <mergeCell ref="B5:B6"/>
    <mergeCell ref="C5:C6"/>
    <mergeCell ref="D5:D6"/>
    <mergeCell ref="E5:E6"/>
    <mergeCell ref="F5:R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>
      <pane xSplit="4" ySplit="6" topLeftCell="E46" activePane="bottomRight" state="frozen"/>
      <selection pane="topRight" activeCell="E1" sqref="E1"/>
      <selection pane="bottomLeft" activeCell="A7" sqref="A7"/>
      <selection pane="bottomRight" activeCell="L74" sqref="L74"/>
    </sheetView>
  </sheetViews>
  <sheetFormatPr defaultColWidth="14.44140625" defaultRowHeight="15" customHeight="1" x14ac:dyDescent="0.3"/>
  <cols>
    <col min="1" max="1" width="8.88671875" customWidth="1"/>
    <col min="2" max="2" width="10.6640625" customWidth="1"/>
    <col min="3" max="3" width="45.33203125" customWidth="1"/>
    <col min="4" max="4" width="9.44140625" customWidth="1"/>
    <col min="5" max="7" width="5" customWidth="1"/>
    <col min="8" max="26" width="8.88671875" customWidth="1"/>
  </cols>
  <sheetData>
    <row r="1" spans="1:26" ht="14.4" x14ac:dyDescent="0.3">
      <c r="B1" s="39"/>
      <c r="D1" s="39"/>
    </row>
    <row r="2" spans="1:26" ht="21" x14ac:dyDescent="0.4">
      <c r="A2" s="376" t="s">
        <v>1015</v>
      </c>
      <c r="B2" s="377"/>
      <c r="C2" s="377"/>
      <c r="D2" s="377"/>
      <c r="E2" s="377"/>
      <c r="F2" s="377"/>
    </row>
    <row r="3" spans="1:26" ht="21" x14ac:dyDescent="0.4">
      <c r="A3" s="376" t="s">
        <v>687</v>
      </c>
      <c r="B3" s="377"/>
      <c r="C3" s="41">
        <f>E74+F74+G74</f>
        <v>12700</v>
      </c>
      <c r="D3" s="40"/>
      <c r="F3" s="40"/>
    </row>
    <row r="4" spans="1:26" ht="14.4" x14ac:dyDescent="0.3">
      <c r="B4" s="39"/>
      <c r="D4" s="39"/>
    </row>
    <row r="5" spans="1:26" ht="14.4" x14ac:dyDescent="0.3">
      <c r="A5" s="378" t="s">
        <v>3</v>
      </c>
      <c r="B5" s="380" t="s">
        <v>688</v>
      </c>
      <c r="C5" s="378" t="s">
        <v>689</v>
      </c>
      <c r="D5" s="380" t="s">
        <v>690</v>
      </c>
      <c r="E5" s="382" t="s">
        <v>1016</v>
      </c>
      <c r="F5" s="383"/>
      <c r="G5" s="384"/>
      <c r="H5" s="53"/>
    </row>
    <row r="6" spans="1:26" ht="14.4" x14ac:dyDescent="0.3">
      <c r="A6" s="379"/>
      <c r="B6" s="379"/>
      <c r="C6" s="379"/>
      <c r="D6" s="379"/>
      <c r="E6" s="43">
        <v>2017</v>
      </c>
      <c r="F6" s="43">
        <v>2018</v>
      </c>
      <c r="G6" s="43">
        <v>2019</v>
      </c>
      <c r="H6" s="125"/>
      <c r="I6" s="53"/>
    </row>
    <row r="7" spans="1:26" ht="14.4" x14ac:dyDescent="0.3">
      <c r="A7" s="44">
        <v>2</v>
      </c>
      <c r="B7" s="47" t="s">
        <v>103</v>
      </c>
      <c r="C7" s="44" t="s">
        <v>105</v>
      </c>
      <c r="D7" s="47" t="s">
        <v>711</v>
      </c>
      <c r="E7" s="44">
        <v>0</v>
      </c>
      <c r="F7" s="44">
        <v>0</v>
      </c>
      <c r="G7" s="44">
        <v>120</v>
      </c>
      <c r="H7" s="126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4.4" x14ac:dyDescent="0.3">
      <c r="A8" s="44">
        <v>3</v>
      </c>
      <c r="B8" s="47" t="s">
        <v>283</v>
      </c>
      <c r="C8" s="44" t="s">
        <v>712</v>
      </c>
      <c r="D8" s="47" t="s">
        <v>713</v>
      </c>
      <c r="E8" s="44">
        <v>0</v>
      </c>
      <c r="F8" s="44">
        <v>0</v>
      </c>
      <c r="G8" s="44">
        <v>120</v>
      </c>
      <c r="H8" s="125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4.4" x14ac:dyDescent="0.3">
      <c r="A9" s="44">
        <v>6</v>
      </c>
      <c r="B9" s="47" t="s">
        <v>423</v>
      </c>
      <c r="C9" s="44" t="s">
        <v>425</v>
      </c>
      <c r="D9" s="47" t="s">
        <v>723</v>
      </c>
      <c r="E9" s="44">
        <v>0</v>
      </c>
      <c r="F9" s="44">
        <v>0</v>
      </c>
      <c r="G9" s="44">
        <v>120</v>
      </c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4.4" x14ac:dyDescent="0.3">
      <c r="A10" s="44">
        <v>7</v>
      </c>
      <c r="B10" s="47" t="s">
        <v>430</v>
      </c>
      <c r="C10" s="14" t="s">
        <v>432</v>
      </c>
      <c r="D10" s="47" t="s">
        <v>724</v>
      </c>
      <c r="E10" s="44">
        <v>0</v>
      </c>
      <c r="F10" s="44">
        <v>0</v>
      </c>
      <c r="G10" s="44">
        <v>120</v>
      </c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4.4" x14ac:dyDescent="0.3">
      <c r="A11" s="44">
        <v>8</v>
      </c>
      <c r="B11" s="47" t="s">
        <v>72</v>
      </c>
      <c r="C11" s="14" t="s">
        <v>74</v>
      </c>
      <c r="D11" s="47" t="s">
        <v>725</v>
      </c>
      <c r="E11" s="44">
        <v>0</v>
      </c>
      <c r="F11" s="44">
        <v>120</v>
      </c>
      <c r="G11" s="44">
        <v>120</v>
      </c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4.4" x14ac:dyDescent="0.3">
      <c r="A12" s="44">
        <v>9</v>
      </c>
      <c r="B12" s="47" t="s">
        <v>335</v>
      </c>
      <c r="C12" s="14" t="s">
        <v>337</v>
      </c>
      <c r="D12" s="47" t="s">
        <v>726</v>
      </c>
      <c r="E12" s="44">
        <v>0</v>
      </c>
      <c r="F12" s="44">
        <v>70</v>
      </c>
      <c r="G12" s="44">
        <v>120</v>
      </c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4.4" x14ac:dyDescent="0.3">
      <c r="A13" s="44">
        <v>11</v>
      </c>
      <c r="B13" s="47" t="s">
        <v>232</v>
      </c>
      <c r="C13" s="14" t="s">
        <v>234</v>
      </c>
      <c r="D13" s="47" t="s">
        <v>731</v>
      </c>
      <c r="E13" s="44">
        <v>0</v>
      </c>
      <c r="F13" s="44">
        <v>120</v>
      </c>
      <c r="G13" s="44">
        <v>120</v>
      </c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4.4" x14ac:dyDescent="0.3">
      <c r="A14" s="44">
        <v>12</v>
      </c>
      <c r="B14" s="47" t="s">
        <v>503</v>
      </c>
      <c r="C14" s="14" t="s">
        <v>505</v>
      </c>
      <c r="D14" s="47" t="s">
        <v>732</v>
      </c>
      <c r="E14" s="44">
        <v>0</v>
      </c>
      <c r="F14" s="44">
        <v>120</v>
      </c>
      <c r="G14" s="44">
        <v>120</v>
      </c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4.4" x14ac:dyDescent="0.3">
      <c r="A15" s="44">
        <v>13</v>
      </c>
      <c r="B15" s="47" t="s">
        <v>556</v>
      </c>
      <c r="C15" s="44" t="s">
        <v>733</v>
      </c>
      <c r="D15" s="47" t="s">
        <v>734</v>
      </c>
      <c r="E15" s="44">
        <v>0</v>
      </c>
      <c r="F15" s="44">
        <v>0</v>
      </c>
      <c r="G15" s="44">
        <v>120</v>
      </c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4.4" x14ac:dyDescent="0.3">
      <c r="A16" s="44">
        <v>15</v>
      </c>
      <c r="B16" s="47" t="s">
        <v>532</v>
      </c>
      <c r="C16" s="14" t="s">
        <v>534</v>
      </c>
      <c r="D16" s="47" t="s">
        <v>738</v>
      </c>
      <c r="E16" s="44">
        <v>0</v>
      </c>
      <c r="F16" s="44">
        <v>0</v>
      </c>
      <c r="G16" s="44">
        <v>120</v>
      </c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4.4" x14ac:dyDescent="0.3">
      <c r="A17" s="44">
        <v>16</v>
      </c>
      <c r="B17" s="47" t="s">
        <v>356</v>
      </c>
      <c r="C17" s="44" t="s">
        <v>741</v>
      </c>
      <c r="D17" s="47" t="s">
        <v>742</v>
      </c>
      <c r="E17" s="44">
        <v>0</v>
      </c>
      <c r="F17" s="44">
        <v>120</v>
      </c>
      <c r="G17" s="44">
        <v>120</v>
      </c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4.4" x14ac:dyDescent="0.3">
      <c r="A18" s="44">
        <v>17</v>
      </c>
      <c r="B18" s="47" t="s">
        <v>224</v>
      </c>
      <c r="C18" s="44" t="s">
        <v>745</v>
      </c>
      <c r="D18" s="47" t="s">
        <v>746</v>
      </c>
      <c r="E18" s="44">
        <v>0</v>
      </c>
      <c r="F18" s="44">
        <v>120</v>
      </c>
      <c r="G18" s="44">
        <v>120</v>
      </c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4.4" x14ac:dyDescent="0.3">
      <c r="A19" s="44">
        <v>19</v>
      </c>
      <c r="B19" s="47" t="s">
        <v>31</v>
      </c>
      <c r="C19" s="62" t="s">
        <v>754</v>
      </c>
      <c r="D19" s="47" t="s">
        <v>755</v>
      </c>
      <c r="E19" s="44">
        <v>0</v>
      </c>
      <c r="F19" s="44">
        <v>0</v>
      </c>
      <c r="G19" s="44">
        <v>120</v>
      </c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4.4" x14ac:dyDescent="0.3">
      <c r="A20" s="44">
        <v>20</v>
      </c>
      <c r="B20" s="47" t="s">
        <v>117</v>
      </c>
      <c r="C20" s="44" t="s">
        <v>119</v>
      </c>
      <c r="D20" s="47" t="s">
        <v>756</v>
      </c>
      <c r="E20" s="44">
        <v>0</v>
      </c>
      <c r="F20" s="44">
        <v>120</v>
      </c>
      <c r="G20" s="44">
        <v>120</v>
      </c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 x14ac:dyDescent="0.3">
      <c r="A21" s="44">
        <v>21</v>
      </c>
      <c r="B21" s="47" t="s">
        <v>444</v>
      </c>
      <c r="C21" s="44" t="s">
        <v>446</v>
      </c>
      <c r="D21" s="47" t="s">
        <v>757</v>
      </c>
      <c r="E21" s="44">
        <v>0</v>
      </c>
      <c r="F21" s="44">
        <v>0</v>
      </c>
      <c r="G21" s="44">
        <v>0</v>
      </c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 x14ac:dyDescent="0.3">
      <c r="A22" s="44">
        <v>22</v>
      </c>
      <c r="B22" s="47" t="s">
        <v>265</v>
      </c>
      <c r="C22" s="14" t="s">
        <v>267</v>
      </c>
      <c r="D22" s="47" t="s">
        <v>758</v>
      </c>
      <c r="E22" s="44">
        <v>0</v>
      </c>
      <c r="F22" s="44">
        <v>120</v>
      </c>
      <c r="G22" s="44">
        <v>120</v>
      </c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 x14ac:dyDescent="0.3">
      <c r="A23" s="44">
        <v>23</v>
      </c>
      <c r="B23" s="47" t="s">
        <v>63</v>
      </c>
      <c r="C23" s="14" t="s">
        <v>65</v>
      </c>
      <c r="D23" s="47" t="s">
        <v>759</v>
      </c>
      <c r="E23" s="44">
        <v>0</v>
      </c>
      <c r="F23" s="44">
        <v>120</v>
      </c>
      <c r="G23" s="44">
        <v>120</v>
      </c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 x14ac:dyDescent="0.3">
      <c r="A24" s="44">
        <v>24</v>
      </c>
      <c r="B24" s="47" t="s">
        <v>47</v>
      </c>
      <c r="C24" s="14" t="s">
        <v>49</v>
      </c>
      <c r="D24" s="47" t="s">
        <v>761</v>
      </c>
      <c r="E24" s="44">
        <v>0</v>
      </c>
      <c r="F24" s="44">
        <v>120</v>
      </c>
      <c r="G24" s="44">
        <v>0</v>
      </c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 x14ac:dyDescent="0.3">
      <c r="A25" s="44">
        <v>25</v>
      </c>
      <c r="B25" s="47" t="s">
        <v>380</v>
      </c>
      <c r="C25" s="14" t="s">
        <v>382</v>
      </c>
      <c r="D25" s="47" t="s">
        <v>762</v>
      </c>
      <c r="E25" s="44">
        <v>0</v>
      </c>
      <c r="F25" s="44">
        <v>0</v>
      </c>
      <c r="G25" s="44">
        <v>120</v>
      </c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 x14ac:dyDescent="0.3">
      <c r="A26" s="44">
        <v>27</v>
      </c>
      <c r="B26" s="47" t="s">
        <v>157</v>
      </c>
      <c r="C26" s="14" t="s">
        <v>159</v>
      </c>
      <c r="D26" s="47" t="s">
        <v>764</v>
      </c>
      <c r="E26" s="44">
        <v>0</v>
      </c>
      <c r="F26" s="44">
        <v>120</v>
      </c>
      <c r="G26" s="44">
        <v>90</v>
      </c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 x14ac:dyDescent="0.3">
      <c r="A27" s="44">
        <v>28</v>
      </c>
      <c r="B27" s="47" t="s">
        <v>590</v>
      </c>
      <c r="C27" s="44" t="s">
        <v>765</v>
      </c>
      <c r="D27" s="47" t="s">
        <v>766</v>
      </c>
      <c r="E27" s="44">
        <v>0</v>
      </c>
      <c r="F27" s="44">
        <v>0</v>
      </c>
      <c r="G27" s="44">
        <v>120</v>
      </c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 x14ac:dyDescent="0.3">
      <c r="A28" s="44">
        <v>29</v>
      </c>
      <c r="B28" s="47" t="s">
        <v>614</v>
      </c>
      <c r="C28" s="44" t="s">
        <v>767</v>
      </c>
      <c r="D28" s="47" t="s">
        <v>768</v>
      </c>
      <c r="E28" s="44">
        <v>0</v>
      </c>
      <c r="F28" s="44">
        <v>0</v>
      </c>
      <c r="G28" s="44">
        <v>120</v>
      </c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 x14ac:dyDescent="0.3">
      <c r="A29" s="44">
        <v>30</v>
      </c>
      <c r="B29" s="47" t="s">
        <v>22</v>
      </c>
      <c r="C29" s="44" t="s">
        <v>769</v>
      </c>
      <c r="D29" s="47" t="s">
        <v>770</v>
      </c>
      <c r="E29" s="44">
        <v>0</v>
      </c>
      <c r="F29" s="44">
        <v>0</v>
      </c>
      <c r="G29" s="44">
        <v>120</v>
      </c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 x14ac:dyDescent="0.3">
      <c r="A30" s="44">
        <v>31</v>
      </c>
      <c r="B30" s="47" t="s">
        <v>110</v>
      </c>
      <c r="C30" s="44" t="s">
        <v>112</v>
      </c>
      <c r="D30" s="47" t="s">
        <v>771</v>
      </c>
      <c r="E30" s="44">
        <v>0</v>
      </c>
      <c r="F30" s="44">
        <v>120</v>
      </c>
      <c r="G30" s="44">
        <v>120</v>
      </c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 x14ac:dyDescent="0.3">
      <c r="A31" s="44">
        <v>32</v>
      </c>
      <c r="B31" s="47" t="s">
        <v>134</v>
      </c>
      <c r="C31" s="3" t="s">
        <v>136</v>
      </c>
      <c r="D31" s="47" t="s">
        <v>772</v>
      </c>
      <c r="E31" s="44">
        <v>0</v>
      </c>
      <c r="F31" s="44">
        <v>120</v>
      </c>
      <c r="G31" s="44">
        <v>120</v>
      </c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 x14ac:dyDescent="0.3">
      <c r="A32" s="44">
        <v>33</v>
      </c>
      <c r="B32" s="47" t="s">
        <v>192</v>
      </c>
      <c r="C32" s="44" t="s">
        <v>773</v>
      </c>
      <c r="D32" s="47" t="s">
        <v>774</v>
      </c>
      <c r="E32" s="44">
        <v>0</v>
      </c>
      <c r="F32" s="44">
        <v>0</v>
      </c>
      <c r="G32" s="44">
        <v>120</v>
      </c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 x14ac:dyDescent="0.3">
      <c r="A33" s="44">
        <v>34</v>
      </c>
      <c r="B33" s="47" t="s">
        <v>321</v>
      </c>
      <c r="C33" s="3" t="s">
        <v>323</v>
      </c>
      <c r="D33" s="47" t="s">
        <v>775</v>
      </c>
      <c r="E33" s="44">
        <v>0</v>
      </c>
      <c r="F33" s="44">
        <v>0</v>
      </c>
      <c r="G33" s="44">
        <v>120</v>
      </c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 x14ac:dyDescent="0.3">
      <c r="A34" s="44">
        <v>36</v>
      </c>
      <c r="B34" s="47" t="s">
        <v>669</v>
      </c>
      <c r="C34" s="14" t="s">
        <v>672</v>
      </c>
      <c r="D34" s="47" t="s">
        <v>777</v>
      </c>
      <c r="E34" s="44">
        <v>0</v>
      </c>
      <c r="F34" s="44">
        <v>120</v>
      </c>
      <c r="G34" s="44">
        <v>120</v>
      </c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 x14ac:dyDescent="0.3">
      <c r="A35" s="44">
        <v>37</v>
      </c>
      <c r="B35" s="47" t="s">
        <v>257</v>
      </c>
      <c r="C35" s="3" t="s">
        <v>259</v>
      </c>
      <c r="D35" s="47" t="s">
        <v>778</v>
      </c>
      <c r="E35" s="44">
        <v>0</v>
      </c>
      <c r="F35" s="44">
        <v>0</v>
      </c>
      <c r="G35" s="44">
        <v>120</v>
      </c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 x14ac:dyDescent="0.3">
      <c r="A36" s="44">
        <v>38</v>
      </c>
      <c r="B36" s="99" t="s">
        <v>364</v>
      </c>
      <c r="C36" s="43" t="s">
        <v>366</v>
      </c>
      <c r="D36" s="99" t="s">
        <v>779</v>
      </c>
      <c r="E36" s="43">
        <v>0</v>
      </c>
      <c r="F36" s="43">
        <v>0</v>
      </c>
      <c r="G36" s="43">
        <v>120</v>
      </c>
      <c r="H36" s="127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 x14ac:dyDescent="0.3">
      <c r="A37" s="44">
        <v>39</v>
      </c>
      <c r="B37" s="47" t="s">
        <v>489</v>
      </c>
      <c r="C37" s="14" t="s">
        <v>491</v>
      </c>
      <c r="D37" s="47" t="s">
        <v>780</v>
      </c>
      <c r="E37" s="44">
        <v>0</v>
      </c>
      <c r="F37" s="44">
        <v>0</v>
      </c>
      <c r="G37" s="44">
        <v>120</v>
      </c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 x14ac:dyDescent="0.3">
      <c r="A38" s="44">
        <v>40</v>
      </c>
      <c r="B38" s="47" t="s">
        <v>239</v>
      </c>
      <c r="C38" s="44" t="s">
        <v>782</v>
      </c>
      <c r="D38" s="47" t="s">
        <v>783</v>
      </c>
      <c r="E38" s="44">
        <v>0</v>
      </c>
      <c r="F38" s="44">
        <v>0</v>
      </c>
      <c r="G38" s="44">
        <v>120</v>
      </c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 x14ac:dyDescent="0.3">
      <c r="A39" s="44">
        <v>41</v>
      </c>
      <c r="B39" s="47" t="s">
        <v>249</v>
      </c>
      <c r="C39" s="14" t="s">
        <v>251</v>
      </c>
      <c r="D39" s="47" t="s">
        <v>785</v>
      </c>
      <c r="E39" s="44">
        <v>0</v>
      </c>
      <c r="F39" s="44">
        <v>0</v>
      </c>
      <c r="G39" s="44">
        <v>120</v>
      </c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 x14ac:dyDescent="0.3">
      <c r="A40" s="44">
        <v>42</v>
      </c>
      <c r="B40" s="47" t="s">
        <v>395</v>
      </c>
      <c r="C40" s="14" t="s">
        <v>397</v>
      </c>
      <c r="D40" s="47" t="s">
        <v>786</v>
      </c>
      <c r="E40" s="44">
        <v>0</v>
      </c>
      <c r="F40" s="44">
        <v>120</v>
      </c>
      <c r="G40" s="44">
        <v>120</v>
      </c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 x14ac:dyDescent="0.3">
      <c r="A41" s="44">
        <v>43</v>
      </c>
      <c r="B41" s="47" t="s">
        <v>150</v>
      </c>
      <c r="C41" s="14" t="s">
        <v>152</v>
      </c>
      <c r="D41" s="47" t="s">
        <v>789</v>
      </c>
      <c r="E41" s="44">
        <v>0</v>
      </c>
      <c r="F41" s="44">
        <v>60</v>
      </c>
      <c r="G41" s="44">
        <v>120</v>
      </c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 x14ac:dyDescent="0.3">
      <c r="A42" s="44">
        <v>44</v>
      </c>
      <c r="B42" s="47" t="s">
        <v>438</v>
      </c>
      <c r="C42" s="3" t="s">
        <v>440</v>
      </c>
      <c r="D42" s="47" t="s">
        <v>791</v>
      </c>
      <c r="E42" s="44">
        <v>0</v>
      </c>
      <c r="F42" s="44">
        <v>120</v>
      </c>
      <c r="G42" s="44">
        <v>120</v>
      </c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 x14ac:dyDescent="0.3">
      <c r="A43" s="44">
        <v>45</v>
      </c>
      <c r="B43" s="47" t="s">
        <v>307</v>
      </c>
      <c r="C43" s="3" t="s">
        <v>309</v>
      </c>
      <c r="D43" s="47" t="s">
        <v>792</v>
      </c>
      <c r="E43" s="44">
        <v>90</v>
      </c>
      <c r="F43" s="44">
        <v>120</v>
      </c>
      <c r="G43" s="44">
        <v>120</v>
      </c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 x14ac:dyDescent="0.3">
      <c r="A44" s="44">
        <v>46</v>
      </c>
      <c r="B44" s="47" t="s">
        <v>217</v>
      </c>
      <c r="C44" s="3" t="s">
        <v>219</v>
      </c>
      <c r="D44" s="47" t="s">
        <v>793</v>
      </c>
      <c r="E44" s="44">
        <v>0</v>
      </c>
      <c r="F44" s="44">
        <v>120</v>
      </c>
      <c r="G44" s="44">
        <v>0</v>
      </c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 x14ac:dyDescent="0.3">
      <c r="A45" s="44">
        <v>47</v>
      </c>
      <c r="B45" s="47" t="s">
        <v>301</v>
      </c>
      <c r="C45" s="44" t="s">
        <v>794</v>
      </c>
      <c r="D45" s="47" t="s">
        <v>795</v>
      </c>
      <c r="E45" s="44">
        <v>110</v>
      </c>
      <c r="F45" s="44">
        <v>120</v>
      </c>
      <c r="G45" s="44">
        <v>120</v>
      </c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 x14ac:dyDescent="0.3">
      <c r="A46" s="44">
        <v>48</v>
      </c>
      <c r="B46" s="47" t="s">
        <v>342</v>
      </c>
      <c r="C46" s="3" t="s">
        <v>344</v>
      </c>
      <c r="D46" s="47" t="s">
        <v>796</v>
      </c>
      <c r="E46" s="44">
        <v>0</v>
      </c>
      <c r="F46" s="44">
        <v>0</v>
      </c>
      <c r="G46" s="44">
        <v>120</v>
      </c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 x14ac:dyDescent="0.3">
      <c r="A47" s="44">
        <v>49</v>
      </c>
      <c r="B47" s="47" t="s">
        <v>289</v>
      </c>
      <c r="C47" s="3" t="s">
        <v>291</v>
      </c>
      <c r="D47" s="47" t="s">
        <v>797</v>
      </c>
      <c r="E47" s="44">
        <v>0</v>
      </c>
      <c r="F47" s="44">
        <v>120</v>
      </c>
      <c r="G47" s="44">
        <v>120</v>
      </c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 x14ac:dyDescent="0.3">
      <c r="A48" s="44">
        <v>50</v>
      </c>
      <c r="B48" s="47" t="s">
        <v>608</v>
      </c>
      <c r="C48" s="44" t="s">
        <v>798</v>
      </c>
      <c r="D48" s="47" t="s">
        <v>799</v>
      </c>
      <c r="E48" s="44">
        <v>0</v>
      </c>
      <c r="F48" s="44">
        <v>120</v>
      </c>
      <c r="G48" s="44">
        <v>120</v>
      </c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 x14ac:dyDescent="0.3">
      <c r="A49" s="44">
        <v>51</v>
      </c>
      <c r="B49" s="47" t="s">
        <v>548</v>
      </c>
      <c r="C49" s="14" t="s">
        <v>550</v>
      </c>
      <c r="D49" s="47" t="s">
        <v>800</v>
      </c>
      <c r="E49" s="44">
        <v>0</v>
      </c>
      <c r="F49" s="44">
        <v>120</v>
      </c>
      <c r="G49" s="44">
        <v>0</v>
      </c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 x14ac:dyDescent="0.3">
      <c r="A50" s="44">
        <v>52</v>
      </c>
      <c r="B50" s="47" t="s">
        <v>482</v>
      </c>
      <c r="C50" s="44" t="s">
        <v>801</v>
      </c>
      <c r="D50" s="47" t="s">
        <v>802</v>
      </c>
      <c r="E50" s="44">
        <v>0</v>
      </c>
      <c r="F50" s="44">
        <v>120</v>
      </c>
      <c r="G50" s="44">
        <v>120</v>
      </c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 x14ac:dyDescent="0.3">
      <c r="A51" s="44">
        <v>53</v>
      </c>
      <c r="B51" s="47" t="s">
        <v>185</v>
      </c>
      <c r="C51" s="3" t="s">
        <v>187</v>
      </c>
      <c r="D51" s="47" t="s">
        <v>804</v>
      </c>
      <c r="E51" s="44">
        <v>0</v>
      </c>
      <c r="F51" s="44">
        <v>120</v>
      </c>
      <c r="G51" s="44">
        <v>120</v>
      </c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 x14ac:dyDescent="0.3">
      <c r="A52" s="44">
        <v>54</v>
      </c>
      <c r="B52" s="47" t="s">
        <v>564</v>
      </c>
      <c r="C52" s="3" t="s">
        <v>566</v>
      </c>
      <c r="D52" s="47" t="s">
        <v>808</v>
      </c>
      <c r="E52" s="44">
        <v>0</v>
      </c>
      <c r="F52" s="44">
        <v>120</v>
      </c>
      <c r="G52" s="44">
        <v>120</v>
      </c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 x14ac:dyDescent="0.3">
      <c r="A53" s="44">
        <v>55</v>
      </c>
      <c r="B53" s="47" t="s">
        <v>629</v>
      </c>
      <c r="C53" s="3" t="s">
        <v>631</v>
      </c>
      <c r="D53" s="47" t="s">
        <v>809</v>
      </c>
      <c r="E53" s="44">
        <v>20</v>
      </c>
      <c r="F53" s="44">
        <v>120</v>
      </c>
      <c r="G53" s="44">
        <v>120</v>
      </c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 x14ac:dyDescent="0.3">
      <c r="A54" s="44">
        <v>56</v>
      </c>
      <c r="B54" s="47" t="s">
        <v>810</v>
      </c>
      <c r="C54" s="44" t="s">
        <v>1026</v>
      </c>
      <c r="D54" s="47" t="s">
        <v>812</v>
      </c>
      <c r="E54" s="44">
        <v>0</v>
      </c>
      <c r="F54" s="44">
        <v>120</v>
      </c>
      <c r="G54" s="44">
        <v>120</v>
      </c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 x14ac:dyDescent="0.3">
      <c r="A55" s="44">
        <v>58</v>
      </c>
      <c r="B55" s="47" t="s">
        <v>819</v>
      </c>
      <c r="C55" s="44" t="s">
        <v>820</v>
      </c>
      <c r="D55" s="47" t="s">
        <v>821</v>
      </c>
      <c r="E55" s="44">
        <v>110</v>
      </c>
      <c r="F55" s="44">
        <v>120</v>
      </c>
      <c r="G55" s="44">
        <v>120</v>
      </c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 x14ac:dyDescent="0.3">
      <c r="A56" s="44">
        <v>59</v>
      </c>
      <c r="B56" s="47" t="s">
        <v>822</v>
      </c>
      <c r="C56" s="44" t="s">
        <v>823</v>
      </c>
      <c r="D56" s="47" t="s">
        <v>824</v>
      </c>
      <c r="E56" s="44">
        <v>0</v>
      </c>
      <c r="F56" s="44">
        <v>120</v>
      </c>
      <c r="G56" s="44">
        <v>120</v>
      </c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 x14ac:dyDescent="0.3">
      <c r="A57" s="44">
        <v>60</v>
      </c>
      <c r="B57" s="47" t="s">
        <v>825</v>
      </c>
      <c r="C57" s="44" t="s">
        <v>826</v>
      </c>
      <c r="D57" s="47" t="s">
        <v>827</v>
      </c>
      <c r="E57" s="44">
        <v>0</v>
      </c>
      <c r="F57" s="44">
        <v>0</v>
      </c>
      <c r="G57" s="44">
        <v>120</v>
      </c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 x14ac:dyDescent="0.3">
      <c r="A58" s="44">
        <v>61</v>
      </c>
      <c r="B58" s="47" t="s">
        <v>416</v>
      </c>
      <c r="C58" s="14" t="s">
        <v>418</v>
      </c>
      <c r="D58" s="47" t="s">
        <v>828</v>
      </c>
      <c r="E58" s="44">
        <v>0</v>
      </c>
      <c r="F58" s="44">
        <v>30</v>
      </c>
      <c r="G58" s="44">
        <v>120</v>
      </c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 x14ac:dyDescent="0.3">
      <c r="A59" s="44">
        <v>62</v>
      </c>
      <c r="B59" s="47" t="s">
        <v>829</v>
      </c>
      <c r="C59" s="44" t="s">
        <v>830</v>
      </c>
      <c r="D59" s="47" t="s">
        <v>831</v>
      </c>
      <c r="E59" s="44">
        <v>110</v>
      </c>
      <c r="F59" s="44">
        <v>120</v>
      </c>
      <c r="G59" s="44">
        <v>120</v>
      </c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 x14ac:dyDescent="0.3">
      <c r="A60" s="44">
        <v>63</v>
      </c>
      <c r="B60" s="47" t="s">
        <v>832</v>
      </c>
      <c r="C60" s="3" t="s">
        <v>584</v>
      </c>
      <c r="D60" s="47" t="s">
        <v>721</v>
      </c>
      <c r="E60" s="44">
        <v>20</v>
      </c>
      <c r="F60" s="44">
        <v>120</v>
      </c>
      <c r="G60" s="44">
        <v>120</v>
      </c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 x14ac:dyDescent="0.3">
      <c r="A61" s="44">
        <v>64</v>
      </c>
      <c r="B61" s="47" t="s">
        <v>833</v>
      </c>
      <c r="C61" s="14" t="s">
        <v>296</v>
      </c>
      <c r="D61" s="47" t="s">
        <v>834</v>
      </c>
      <c r="E61" s="44">
        <v>0</v>
      </c>
      <c r="F61" s="44">
        <v>0</v>
      </c>
      <c r="G61" s="44">
        <v>120</v>
      </c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 x14ac:dyDescent="0.3">
      <c r="A62" s="44">
        <v>65</v>
      </c>
      <c r="B62" s="47" t="s">
        <v>836</v>
      </c>
      <c r="C62" s="44" t="s">
        <v>919</v>
      </c>
      <c r="D62" s="47" t="s">
        <v>920</v>
      </c>
      <c r="E62" s="44" t="s">
        <v>1027</v>
      </c>
      <c r="F62" s="44">
        <v>0</v>
      </c>
      <c r="G62" s="44">
        <v>120</v>
      </c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 x14ac:dyDescent="0.3">
      <c r="A63" s="44">
        <v>66</v>
      </c>
      <c r="B63" s="47" t="s">
        <v>839</v>
      </c>
      <c r="C63" s="3" t="s">
        <v>572</v>
      </c>
      <c r="D63" s="47"/>
      <c r="E63" s="44" t="s">
        <v>1027</v>
      </c>
      <c r="F63" s="44">
        <v>120</v>
      </c>
      <c r="G63" s="44">
        <v>120</v>
      </c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 x14ac:dyDescent="0.3">
      <c r="A64" s="44">
        <v>86</v>
      </c>
      <c r="B64" s="47" t="s">
        <v>841</v>
      </c>
      <c r="C64" s="3" t="s">
        <v>212</v>
      </c>
      <c r="D64" s="47" t="s">
        <v>926</v>
      </c>
      <c r="E64" s="44" t="s">
        <v>1027</v>
      </c>
      <c r="F64" s="44">
        <v>20</v>
      </c>
      <c r="G64" s="44">
        <v>120</v>
      </c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 x14ac:dyDescent="0.3">
      <c r="A65" s="44">
        <v>69</v>
      </c>
      <c r="B65" s="47" t="s">
        <v>476</v>
      </c>
      <c r="C65" s="14" t="s">
        <v>478</v>
      </c>
      <c r="D65" s="47" t="s">
        <v>879</v>
      </c>
      <c r="E65" s="44">
        <v>0</v>
      </c>
      <c r="F65" s="44">
        <v>0</v>
      </c>
      <c r="G65" s="44">
        <v>120</v>
      </c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 x14ac:dyDescent="0.3">
      <c r="A66" s="44">
        <v>70</v>
      </c>
      <c r="B66" s="47" t="s">
        <v>387</v>
      </c>
      <c r="C66" s="14" t="s">
        <v>880</v>
      </c>
      <c r="D66" s="47" t="s">
        <v>881</v>
      </c>
      <c r="E66" s="44">
        <v>0</v>
      </c>
      <c r="F66" s="44">
        <v>0</v>
      </c>
      <c r="G66" s="44">
        <v>120</v>
      </c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 x14ac:dyDescent="0.3">
      <c r="A67" s="44">
        <v>71</v>
      </c>
      <c r="B67" s="47" t="s">
        <v>13</v>
      </c>
      <c r="C67" s="44" t="s">
        <v>886</v>
      </c>
      <c r="D67" s="47" t="s">
        <v>887</v>
      </c>
      <c r="E67" s="44">
        <v>0</v>
      </c>
      <c r="F67" s="44">
        <v>120</v>
      </c>
      <c r="G67" s="44">
        <v>120</v>
      </c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 x14ac:dyDescent="0.3">
      <c r="A68" s="44">
        <v>72</v>
      </c>
      <c r="B68" s="47" t="s">
        <v>93</v>
      </c>
      <c r="C68" s="44" t="s">
        <v>95</v>
      </c>
      <c r="D68" s="47"/>
      <c r="E68" s="44">
        <v>0</v>
      </c>
      <c r="F68" s="44">
        <v>0</v>
      </c>
      <c r="G68" s="44">
        <v>120</v>
      </c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 x14ac:dyDescent="0.3">
      <c r="A69" s="44">
        <v>73</v>
      </c>
      <c r="B69" s="47" t="s">
        <v>409</v>
      </c>
      <c r="C69" s="3" t="s">
        <v>412</v>
      </c>
      <c r="D69" s="47" t="s">
        <v>888</v>
      </c>
      <c r="E69" s="44">
        <v>110</v>
      </c>
      <c r="F69" s="44">
        <v>120</v>
      </c>
      <c r="G69" s="44">
        <v>120</v>
      </c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 x14ac:dyDescent="0.3">
      <c r="A70" s="44">
        <v>74</v>
      </c>
      <c r="B70" s="47" t="s">
        <v>602</v>
      </c>
      <c r="C70" s="3" t="s">
        <v>933</v>
      </c>
      <c r="D70" s="47" t="s">
        <v>736</v>
      </c>
      <c r="E70" s="44">
        <v>110</v>
      </c>
      <c r="F70" s="44">
        <v>120</v>
      </c>
      <c r="G70" s="44">
        <v>120</v>
      </c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 x14ac:dyDescent="0.3">
      <c r="A71" s="44">
        <v>75</v>
      </c>
      <c r="B71" s="47" t="s">
        <v>890</v>
      </c>
      <c r="C71" s="3" t="s">
        <v>891</v>
      </c>
      <c r="D71" s="47" t="s">
        <v>892</v>
      </c>
      <c r="E71" s="44">
        <v>110</v>
      </c>
      <c r="F71" s="44">
        <v>120</v>
      </c>
      <c r="G71" s="44">
        <v>120</v>
      </c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 x14ac:dyDescent="0.3">
      <c r="A72" s="44">
        <v>76</v>
      </c>
      <c r="B72" s="47" t="s">
        <v>893</v>
      </c>
      <c r="C72" s="3" t="s">
        <v>894</v>
      </c>
      <c r="D72" s="47" t="s">
        <v>895</v>
      </c>
      <c r="E72" s="44">
        <v>0</v>
      </c>
      <c r="F72" s="44">
        <v>120</v>
      </c>
      <c r="G72" s="44">
        <v>120</v>
      </c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 x14ac:dyDescent="0.3">
      <c r="A73" s="53"/>
      <c r="B73" s="39"/>
      <c r="C73" s="62"/>
      <c r="D73" s="39"/>
      <c r="E73" s="53"/>
      <c r="F73" s="53"/>
    </row>
    <row r="74" spans="1:26" ht="15.75" customHeight="1" x14ac:dyDescent="0.3">
      <c r="B74" s="39"/>
      <c r="D74" s="39" t="s">
        <v>896</v>
      </c>
      <c r="E74" s="20">
        <f t="shared" ref="E74:G74" si="0">SUM(E7:E72)</f>
        <v>790</v>
      </c>
      <c r="F74" s="20">
        <f t="shared" si="0"/>
        <v>4500</v>
      </c>
      <c r="G74" s="20">
        <f t="shared" si="0"/>
        <v>7410</v>
      </c>
    </row>
    <row r="75" spans="1:26" ht="15.75" customHeight="1" x14ac:dyDescent="0.3">
      <c r="B75" s="39"/>
      <c r="D75" s="39"/>
    </row>
    <row r="76" spans="1:26" ht="15.75" customHeight="1" x14ac:dyDescent="0.3">
      <c r="B76" s="39"/>
      <c r="D76" s="39"/>
    </row>
    <row r="77" spans="1:26" ht="15.75" customHeight="1" x14ac:dyDescent="0.3">
      <c r="B77" s="39"/>
      <c r="D77" s="39"/>
    </row>
    <row r="78" spans="1:26" ht="15.75" customHeight="1" x14ac:dyDescent="0.3">
      <c r="B78" s="39"/>
      <c r="D78" s="39"/>
    </row>
    <row r="79" spans="1:26" ht="15.75" customHeight="1" x14ac:dyDescent="0.3">
      <c r="B79" s="39"/>
      <c r="D79" s="39"/>
    </row>
    <row r="80" spans="1:26" ht="15.75" customHeight="1" x14ac:dyDescent="0.3">
      <c r="B80" s="39"/>
      <c r="D80" s="39"/>
    </row>
    <row r="81" spans="2:4" ht="15.75" customHeight="1" x14ac:dyDescent="0.3">
      <c r="B81" s="39"/>
      <c r="D81" s="39"/>
    </row>
    <row r="82" spans="2:4" ht="15.75" customHeight="1" x14ac:dyDescent="0.3">
      <c r="B82" s="39"/>
      <c r="D82" s="39"/>
    </row>
    <row r="83" spans="2:4" ht="15.75" customHeight="1" x14ac:dyDescent="0.3">
      <c r="B83" s="39"/>
      <c r="D83" s="39"/>
    </row>
    <row r="84" spans="2:4" ht="15.75" customHeight="1" x14ac:dyDescent="0.3">
      <c r="B84" s="39"/>
      <c r="D84" s="39"/>
    </row>
    <row r="85" spans="2:4" ht="15.75" customHeight="1" x14ac:dyDescent="0.3">
      <c r="B85" s="39"/>
      <c r="D85" s="39"/>
    </row>
    <row r="86" spans="2:4" ht="15.75" customHeight="1" x14ac:dyDescent="0.3">
      <c r="B86" s="39"/>
      <c r="D86" s="39"/>
    </row>
    <row r="87" spans="2:4" ht="15.75" customHeight="1" x14ac:dyDescent="0.3">
      <c r="B87" s="39"/>
      <c r="D87" s="39"/>
    </row>
    <row r="88" spans="2:4" ht="15.75" customHeight="1" x14ac:dyDescent="0.3">
      <c r="B88" s="39"/>
      <c r="D88" s="39"/>
    </row>
    <row r="89" spans="2:4" ht="15.75" customHeight="1" x14ac:dyDescent="0.3">
      <c r="B89" s="39"/>
      <c r="D89" s="39"/>
    </row>
    <row r="90" spans="2:4" ht="15.75" customHeight="1" x14ac:dyDescent="0.3">
      <c r="B90" s="39"/>
      <c r="D90" s="39"/>
    </row>
    <row r="91" spans="2:4" ht="15.75" customHeight="1" x14ac:dyDescent="0.3">
      <c r="B91" s="39"/>
      <c r="D91" s="39"/>
    </row>
    <row r="92" spans="2:4" ht="15.75" customHeight="1" x14ac:dyDescent="0.3">
      <c r="B92" s="39"/>
      <c r="D92" s="39"/>
    </row>
    <row r="93" spans="2:4" ht="15.75" customHeight="1" x14ac:dyDescent="0.3">
      <c r="B93" s="39"/>
      <c r="D93" s="39"/>
    </row>
    <row r="94" spans="2:4" ht="15.75" customHeight="1" x14ac:dyDescent="0.3">
      <c r="B94" s="39"/>
      <c r="D94" s="39"/>
    </row>
    <row r="95" spans="2:4" ht="15.75" customHeight="1" x14ac:dyDescent="0.3">
      <c r="B95" s="39"/>
      <c r="D95" s="39"/>
    </row>
    <row r="96" spans="2:4" ht="15.75" customHeight="1" x14ac:dyDescent="0.3">
      <c r="B96" s="39"/>
      <c r="D96" s="39"/>
    </row>
    <row r="97" spans="2:4" ht="15.75" customHeight="1" x14ac:dyDescent="0.3">
      <c r="B97" s="39"/>
      <c r="D97" s="39"/>
    </row>
    <row r="98" spans="2:4" ht="15.75" customHeight="1" x14ac:dyDescent="0.3">
      <c r="B98" s="39"/>
      <c r="D98" s="39"/>
    </row>
    <row r="99" spans="2:4" ht="15.75" customHeight="1" x14ac:dyDescent="0.3">
      <c r="B99" s="39"/>
      <c r="D99" s="39"/>
    </row>
    <row r="100" spans="2:4" ht="15.75" customHeight="1" x14ac:dyDescent="0.3">
      <c r="B100" s="39"/>
      <c r="D100" s="39"/>
    </row>
    <row r="101" spans="2:4" ht="15.75" customHeight="1" x14ac:dyDescent="0.3">
      <c r="B101" s="39"/>
      <c r="D101" s="39"/>
    </row>
    <row r="102" spans="2:4" ht="15.75" customHeight="1" x14ac:dyDescent="0.3">
      <c r="B102" s="39"/>
      <c r="D102" s="39"/>
    </row>
    <row r="103" spans="2:4" ht="15.75" customHeight="1" x14ac:dyDescent="0.3">
      <c r="B103" s="39"/>
      <c r="D103" s="39"/>
    </row>
    <row r="104" spans="2:4" ht="15.75" customHeight="1" x14ac:dyDescent="0.3">
      <c r="B104" s="39"/>
      <c r="D104" s="39"/>
    </row>
    <row r="105" spans="2:4" ht="15.75" customHeight="1" x14ac:dyDescent="0.3">
      <c r="B105" s="39"/>
      <c r="D105" s="39"/>
    </row>
    <row r="106" spans="2:4" ht="15.75" customHeight="1" x14ac:dyDescent="0.3">
      <c r="B106" s="39"/>
      <c r="D106" s="39"/>
    </row>
    <row r="107" spans="2:4" ht="15.75" customHeight="1" x14ac:dyDescent="0.3">
      <c r="B107" s="39"/>
      <c r="D107" s="39"/>
    </row>
    <row r="108" spans="2:4" ht="15.75" customHeight="1" x14ac:dyDescent="0.3">
      <c r="B108" s="39"/>
      <c r="D108" s="39"/>
    </row>
    <row r="109" spans="2:4" ht="15.75" customHeight="1" x14ac:dyDescent="0.3">
      <c r="B109" s="39"/>
      <c r="D109" s="39"/>
    </row>
    <row r="110" spans="2:4" ht="15.75" customHeight="1" x14ac:dyDescent="0.3">
      <c r="B110" s="39"/>
      <c r="D110" s="39"/>
    </row>
    <row r="111" spans="2:4" ht="15.75" customHeight="1" x14ac:dyDescent="0.3">
      <c r="B111" s="39"/>
      <c r="D111" s="39"/>
    </row>
    <row r="112" spans="2:4" ht="15.75" customHeight="1" x14ac:dyDescent="0.3">
      <c r="B112" s="39"/>
      <c r="D112" s="39"/>
    </row>
    <row r="113" spans="2:4" ht="15.75" customHeight="1" x14ac:dyDescent="0.3">
      <c r="B113" s="39"/>
      <c r="D113" s="39"/>
    </row>
    <row r="114" spans="2:4" ht="15.75" customHeight="1" x14ac:dyDescent="0.3">
      <c r="B114" s="39"/>
      <c r="D114" s="39"/>
    </row>
    <row r="115" spans="2:4" ht="15.75" customHeight="1" x14ac:dyDescent="0.3">
      <c r="B115" s="39"/>
      <c r="D115" s="39"/>
    </row>
    <row r="116" spans="2:4" ht="15.75" customHeight="1" x14ac:dyDescent="0.3">
      <c r="B116" s="39"/>
      <c r="D116" s="39"/>
    </row>
    <row r="117" spans="2:4" ht="15.75" customHeight="1" x14ac:dyDescent="0.3">
      <c r="B117" s="39"/>
      <c r="D117" s="39"/>
    </row>
    <row r="118" spans="2:4" ht="15.75" customHeight="1" x14ac:dyDescent="0.3">
      <c r="B118" s="39"/>
      <c r="D118" s="39"/>
    </row>
    <row r="119" spans="2:4" ht="15.75" customHeight="1" x14ac:dyDescent="0.3">
      <c r="B119" s="39"/>
      <c r="D119" s="39"/>
    </row>
    <row r="120" spans="2:4" ht="15.75" customHeight="1" x14ac:dyDescent="0.3">
      <c r="B120" s="39"/>
      <c r="D120" s="39"/>
    </row>
    <row r="121" spans="2:4" ht="15.75" customHeight="1" x14ac:dyDescent="0.3">
      <c r="B121" s="39"/>
      <c r="D121" s="39"/>
    </row>
    <row r="122" spans="2:4" ht="15.75" customHeight="1" x14ac:dyDescent="0.3">
      <c r="B122" s="39"/>
      <c r="D122" s="39"/>
    </row>
    <row r="123" spans="2:4" ht="15.75" customHeight="1" x14ac:dyDescent="0.3">
      <c r="B123" s="39"/>
      <c r="D123" s="39"/>
    </row>
    <row r="124" spans="2:4" ht="15.75" customHeight="1" x14ac:dyDescent="0.3">
      <c r="B124" s="39"/>
      <c r="D124" s="39"/>
    </row>
    <row r="125" spans="2:4" ht="15.75" customHeight="1" x14ac:dyDescent="0.3">
      <c r="B125" s="39"/>
      <c r="D125" s="39"/>
    </row>
    <row r="126" spans="2:4" ht="15.75" customHeight="1" x14ac:dyDescent="0.3">
      <c r="B126" s="39"/>
      <c r="D126" s="39"/>
    </row>
    <row r="127" spans="2:4" ht="15.75" customHeight="1" x14ac:dyDescent="0.3">
      <c r="B127" s="39"/>
      <c r="D127" s="39"/>
    </row>
    <row r="128" spans="2:4" ht="15.75" customHeight="1" x14ac:dyDescent="0.3">
      <c r="B128" s="39"/>
      <c r="D128" s="39"/>
    </row>
    <row r="129" spans="2:4" ht="15.75" customHeight="1" x14ac:dyDescent="0.3">
      <c r="B129" s="39"/>
      <c r="D129" s="39"/>
    </row>
    <row r="130" spans="2:4" ht="15.75" customHeight="1" x14ac:dyDescent="0.3">
      <c r="B130" s="39"/>
      <c r="D130" s="39"/>
    </row>
    <row r="131" spans="2:4" ht="15.75" customHeight="1" x14ac:dyDescent="0.3">
      <c r="B131" s="39"/>
      <c r="D131" s="39"/>
    </row>
    <row r="132" spans="2:4" ht="15.75" customHeight="1" x14ac:dyDescent="0.3">
      <c r="B132" s="39"/>
      <c r="D132" s="39"/>
    </row>
    <row r="133" spans="2:4" ht="15.75" customHeight="1" x14ac:dyDescent="0.3">
      <c r="B133" s="39"/>
      <c r="D133" s="39"/>
    </row>
    <row r="134" spans="2:4" ht="15.75" customHeight="1" x14ac:dyDescent="0.3">
      <c r="B134" s="39"/>
      <c r="D134" s="39"/>
    </row>
    <row r="135" spans="2:4" ht="15.75" customHeight="1" x14ac:dyDescent="0.3">
      <c r="B135" s="39"/>
      <c r="D135" s="39"/>
    </row>
    <row r="136" spans="2:4" ht="15.75" customHeight="1" x14ac:dyDescent="0.3">
      <c r="B136" s="39"/>
      <c r="D136" s="39"/>
    </row>
    <row r="137" spans="2:4" ht="15.75" customHeight="1" x14ac:dyDescent="0.3">
      <c r="B137" s="39"/>
      <c r="D137" s="39"/>
    </row>
    <row r="138" spans="2:4" ht="15.75" customHeight="1" x14ac:dyDescent="0.3">
      <c r="B138" s="39"/>
      <c r="D138" s="39"/>
    </row>
    <row r="139" spans="2:4" ht="15.75" customHeight="1" x14ac:dyDescent="0.3">
      <c r="B139" s="39"/>
      <c r="D139" s="39"/>
    </row>
    <row r="140" spans="2:4" ht="15.75" customHeight="1" x14ac:dyDescent="0.3">
      <c r="B140" s="39"/>
      <c r="D140" s="39"/>
    </row>
    <row r="141" spans="2:4" ht="15.75" customHeight="1" x14ac:dyDescent="0.3">
      <c r="B141" s="39"/>
      <c r="D141" s="39"/>
    </row>
    <row r="142" spans="2:4" ht="15.75" customHeight="1" x14ac:dyDescent="0.3">
      <c r="B142" s="39"/>
      <c r="D142" s="39"/>
    </row>
    <row r="143" spans="2:4" ht="15.75" customHeight="1" x14ac:dyDescent="0.3">
      <c r="B143" s="39"/>
      <c r="D143" s="39"/>
    </row>
    <row r="144" spans="2:4" ht="15.75" customHeight="1" x14ac:dyDescent="0.3">
      <c r="B144" s="39"/>
      <c r="D144" s="39"/>
    </row>
    <row r="145" spans="2:4" ht="15.75" customHeight="1" x14ac:dyDescent="0.3">
      <c r="B145" s="39"/>
      <c r="D145" s="39"/>
    </row>
    <row r="146" spans="2:4" ht="15.75" customHeight="1" x14ac:dyDescent="0.3">
      <c r="B146" s="39"/>
      <c r="D146" s="39"/>
    </row>
    <row r="147" spans="2:4" ht="15.75" customHeight="1" x14ac:dyDescent="0.3">
      <c r="B147" s="39"/>
      <c r="D147" s="39"/>
    </row>
    <row r="148" spans="2:4" ht="15.75" customHeight="1" x14ac:dyDescent="0.3">
      <c r="B148" s="39"/>
      <c r="D148" s="39"/>
    </row>
    <row r="149" spans="2:4" ht="15.75" customHeight="1" x14ac:dyDescent="0.3">
      <c r="B149" s="39"/>
      <c r="D149" s="39"/>
    </row>
    <row r="150" spans="2:4" ht="15.75" customHeight="1" x14ac:dyDescent="0.3">
      <c r="B150" s="39"/>
      <c r="D150" s="39"/>
    </row>
    <row r="151" spans="2:4" ht="15.75" customHeight="1" x14ac:dyDescent="0.3">
      <c r="B151" s="39"/>
      <c r="D151" s="39"/>
    </row>
    <row r="152" spans="2:4" ht="15.75" customHeight="1" x14ac:dyDescent="0.3">
      <c r="B152" s="39"/>
      <c r="D152" s="39"/>
    </row>
    <row r="153" spans="2:4" ht="15.75" customHeight="1" x14ac:dyDescent="0.3">
      <c r="B153" s="39"/>
      <c r="D153" s="39"/>
    </row>
    <row r="154" spans="2:4" ht="15.75" customHeight="1" x14ac:dyDescent="0.3">
      <c r="B154" s="39"/>
      <c r="D154" s="39"/>
    </row>
    <row r="155" spans="2:4" ht="15.75" customHeight="1" x14ac:dyDescent="0.3">
      <c r="B155" s="39"/>
      <c r="D155" s="39"/>
    </row>
    <row r="156" spans="2:4" ht="15.75" customHeight="1" x14ac:dyDescent="0.3">
      <c r="B156" s="39"/>
      <c r="D156" s="39"/>
    </row>
    <row r="157" spans="2:4" ht="15.75" customHeight="1" x14ac:dyDescent="0.3">
      <c r="B157" s="39"/>
      <c r="D157" s="39"/>
    </row>
    <row r="158" spans="2:4" ht="15.75" customHeight="1" x14ac:dyDescent="0.3">
      <c r="B158" s="39"/>
      <c r="D158" s="39"/>
    </row>
    <row r="159" spans="2:4" ht="15.75" customHeight="1" x14ac:dyDescent="0.3">
      <c r="B159" s="39"/>
      <c r="D159" s="39"/>
    </row>
    <row r="160" spans="2:4" ht="15.75" customHeight="1" x14ac:dyDescent="0.3">
      <c r="B160" s="39"/>
      <c r="D160" s="39"/>
    </row>
    <row r="161" spans="2:4" ht="15.75" customHeight="1" x14ac:dyDescent="0.3">
      <c r="B161" s="39"/>
      <c r="D161" s="39"/>
    </row>
    <row r="162" spans="2:4" ht="15.75" customHeight="1" x14ac:dyDescent="0.3">
      <c r="B162" s="39"/>
      <c r="D162" s="39"/>
    </row>
    <row r="163" spans="2:4" ht="15.75" customHeight="1" x14ac:dyDescent="0.3">
      <c r="B163" s="39"/>
      <c r="D163" s="39"/>
    </row>
    <row r="164" spans="2:4" ht="15.75" customHeight="1" x14ac:dyDescent="0.3">
      <c r="B164" s="39"/>
      <c r="D164" s="39"/>
    </row>
    <row r="165" spans="2:4" ht="15.75" customHeight="1" x14ac:dyDescent="0.3">
      <c r="B165" s="39"/>
      <c r="D165" s="39"/>
    </row>
    <row r="166" spans="2:4" ht="15.75" customHeight="1" x14ac:dyDescent="0.3">
      <c r="B166" s="39"/>
      <c r="D166" s="39"/>
    </row>
    <row r="167" spans="2:4" ht="15.75" customHeight="1" x14ac:dyDescent="0.3">
      <c r="B167" s="39"/>
      <c r="D167" s="39"/>
    </row>
    <row r="168" spans="2:4" ht="15.75" customHeight="1" x14ac:dyDescent="0.3">
      <c r="B168" s="39"/>
      <c r="D168" s="39"/>
    </row>
    <row r="169" spans="2:4" ht="15.75" customHeight="1" x14ac:dyDescent="0.3">
      <c r="B169" s="39"/>
      <c r="D169" s="39"/>
    </row>
    <row r="170" spans="2:4" ht="15.75" customHeight="1" x14ac:dyDescent="0.3">
      <c r="B170" s="39"/>
      <c r="D170" s="39"/>
    </row>
    <row r="171" spans="2:4" ht="15.75" customHeight="1" x14ac:dyDescent="0.3">
      <c r="B171" s="39"/>
      <c r="D171" s="39"/>
    </row>
    <row r="172" spans="2:4" ht="15.75" customHeight="1" x14ac:dyDescent="0.3">
      <c r="B172" s="39"/>
      <c r="D172" s="39"/>
    </row>
    <row r="173" spans="2:4" ht="15.75" customHeight="1" x14ac:dyDescent="0.3">
      <c r="B173" s="39"/>
      <c r="D173" s="39"/>
    </row>
    <row r="174" spans="2:4" ht="15.75" customHeight="1" x14ac:dyDescent="0.3">
      <c r="B174" s="39"/>
      <c r="D174" s="39"/>
    </row>
    <row r="175" spans="2:4" ht="15.75" customHeight="1" x14ac:dyDescent="0.3">
      <c r="B175" s="39"/>
      <c r="D175" s="39"/>
    </row>
    <row r="176" spans="2:4" ht="15.75" customHeight="1" x14ac:dyDescent="0.3">
      <c r="B176" s="39"/>
      <c r="D176" s="39"/>
    </row>
    <row r="177" spans="2:4" ht="15.75" customHeight="1" x14ac:dyDescent="0.3">
      <c r="B177" s="39"/>
      <c r="D177" s="39"/>
    </row>
    <row r="178" spans="2:4" ht="15.75" customHeight="1" x14ac:dyDescent="0.3">
      <c r="B178" s="39"/>
      <c r="D178" s="39"/>
    </row>
    <row r="179" spans="2:4" ht="15.75" customHeight="1" x14ac:dyDescent="0.3">
      <c r="B179" s="39"/>
      <c r="D179" s="39"/>
    </row>
    <row r="180" spans="2:4" ht="15.75" customHeight="1" x14ac:dyDescent="0.3">
      <c r="B180" s="39"/>
      <c r="D180" s="39"/>
    </row>
    <row r="181" spans="2:4" ht="15.75" customHeight="1" x14ac:dyDescent="0.3">
      <c r="B181" s="39"/>
      <c r="D181" s="39"/>
    </row>
    <row r="182" spans="2:4" ht="15.75" customHeight="1" x14ac:dyDescent="0.3">
      <c r="B182" s="39"/>
      <c r="D182" s="39"/>
    </row>
    <row r="183" spans="2:4" ht="15.75" customHeight="1" x14ac:dyDescent="0.3">
      <c r="B183" s="39"/>
      <c r="D183" s="39"/>
    </row>
    <row r="184" spans="2:4" ht="15.75" customHeight="1" x14ac:dyDescent="0.3">
      <c r="B184" s="39"/>
      <c r="D184" s="39"/>
    </row>
    <row r="185" spans="2:4" ht="15.75" customHeight="1" x14ac:dyDescent="0.3">
      <c r="B185" s="39"/>
      <c r="D185" s="39"/>
    </row>
    <row r="186" spans="2:4" ht="15.75" customHeight="1" x14ac:dyDescent="0.3">
      <c r="B186" s="39"/>
      <c r="D186" s="39"/>
    </row>
    <row r="187" spans="2:4" ht="15.75" customHeight="1" x14ac:dyDescent="0.3">
      <c r="B187" s="39"/>
      <c r="D187" s="39"/>
    </row>
    <row r="188" spans="2:4" ht="15.75" customHeight="1" x14ac:dyDescent="0.3">
      <c r="B188" s="39"/>
      <c r="D188" s="39"/>
    </row>
    <row r="189" spans="2:4" ht="15.75" customHeight="1" x14ac:dyDescent="0.3">
      <c r="B189" s="39"/>
      <c r="D189" s="39"/>
    </row>
    <row r="190" spans="2:4" ht="15.75" customHeight="1" x14ac:dyDescent="0.3">
      <c r="B190" s="39"/>
      <c r="D190" s="39"/>
    </row>
    <row r="191" spans="2:4" ht="15.75" customHeight="1" x14ac:dyDescent="0.3">
      <c r="B191" s="39"/>
      <c r="D191" s="39"/>
    </row>
    <row r="192" spans="2:4" ht="15.75" customHeight="1" x14ac:dyDescent="0.3">
      <c r="B192" s="39"/>
      <c r="D192" s="39"/>
    </row>
    <row r="193" spans="2:4" ht="15.75" customHeight="1" x14ac:dyDescent="0.3">
      <c r="B193" s="39"/>
      <c r="D193" s="39"/>
    </row>
    <row r="194" spans="2:4" ht="15.75" customHeight="1" x14ac:dyDescent="0.3">
      <c r="B194" s="39"/>
      <c r="D194" s="39"/>
    </row>
    <row r="195" spans="2:4" ht="15.75" customHeight="1" x14ac:dyDescent="0.3">
      <c r="B195" s="39"/>
      <c r="D195" s="39"/>
    </row>
    <row r="196" spans="2:4" ht="15.75" customHeight="1" x14ac:dyDescent="0.3">
      <c r="B196" s="39"/>
      <c r="D196" s="39"/>
    </row>
    <row r="197" spans="2:4" ht="15.75" customHeight="1" x14ac:dyDescent="0.3">
      <c r="B197" s="39"/>
      <c r="D197" s="39"/>
    </row>
    <row r="198" spans="2:4" ht="15.75" customHeight="1" x14ac:dyDescent="0.3">
      <c r="B198" s="39"/>
      <c r="D198" s="39"/>
    </row>
    <row r="199" spans="2:4" ht="15.75" customHeight="1" x14ac:dyDescent="0.3">
      <c r="B199" s="39"/>
      <c r="D199" s="39"/>
    </row>
    <row r="200" spans="2:4" ht="15.75" customHeight="1" x14ac:dyDescent="0.3">
      <c r="B200" s="39"/>
      <c r="D200" s="39"/>
    </row>
    <row r="201" spans="2:4" ht="15.75" customHeight="1" x14ac:dyDescent="0.3">
      <c r="B201" s="39"/>
      <c r="D201" s="39"/>
    </row>
    <row r="202" spans="2:4" ht="15.75" customHeight="1" x14ac:dyDescent="0.3">
      <c r="B202" s="39"/>
      <c r="D202" s="39"/>
    </row>
    <row r="203" spans="2:4" ht="15.75" customHeight="1" x14ac:dyDescent="0.3">
      <c r="B203" s="39"/>
      <c r="D203" s="39"/>
    </row>
    <row r="204" spans="2:4" ht="15.75" customHeight="1" x14ac:dyDescent="0.3">
      <c r="B204" s="39"/>
      <c r="D204" s="39"/>
    </row>
    <row r="205" spans="2:4" ht="15.75" customHeight="1" x14ac:dyDescent="0.3">
      <c r="B205" s="39"/>
      <c r="D205" s="39"/>
    </row>
    <row r="206" spans="2:4" ht="15.75" customHeight="1" x14ac:dyDescent="0.3">
      <c r="B206" s="39"/>
      <c r="D206" s="39"/>
    </row>
    <row r="207" spans="2:4" ht="15.75" customHeight="1" x14ac:dyDescent="0.3">
      <c r="B207" s="39"/>
      <c r="D207" s="39"/>
    </row>
    <row r="208" spans="2:4" ht="15.75" customHeight="1" x14ac:dyDescent="0.3">
      <c r="B208" s="39"/>
      <c r="D208" s="39"/>
    </row>
    <row r="209" spans="2:4" ht="15.75" customHeight="1" x14ac:dyDescent="0.3">
      <c r="B209" s="39"/>
      <c r="D209" s="39"/>
    </row>
    <row r="210" spans="2:4" ht="15.75" customHeight="1" x14ac:dyDescent="0.3">
      <c r="B210" s="39"/>
      <c r="D210" s="39"/>
    </row>
    <row r="211" spans="2:4" ht="15.75" customHeight="1" x14ac:dyDescent="0.3">
      <c r="B211" s="39"/>
      <c r="D211" s="39"/>
    </row>
    <row r="212" spans="2:4" ht="15.75" customHeight="1" x14ac:dyDescent="0.3">
      <c r="B212" s="39"/>
      <c r="D212" s="39"/>
    </row>
    <row r="213" spans="2:4" ht="15.75" customHeight="1" x14ac:dyDescent="0.3">
      <c r="B213" s="39"/>
      <c r="D213" s="39"/>
    </row>
    <row r="214" spans="2:4" ht="15.75" customHeight="1" x14ac:dyDescent="0.3">
      <c r="B214" s="39"/>
      <c r="D214" s="39"/>
    </row>
    <row r="215" spans="2:4" ht="15.75" customHeight="1" x14ac:dyDescent="0.3">
      <c r="B215" s="39"/>
      <c r="D215" s="39"/>
    </row>
    <row r="216" spans="2:4" ht="15.75" customHeight="1" x14ac:dyDescent="0.3">
      <c r="B216" s="39"/>
      <c r="D216" s="39"/>
    </row>
    <row r="217" spans="2:4" ht="15.75" customHeight="1" x14ac:dyDescent="0.3">
      <c r="B217" s="39"/>
      <c r="D217" s="39"/>
    </row>
    <row r="218" spans="2:4" ht="15.75" customHeight="1" x14ac:dyDescent="0.3">
      <c r="B218" s="39"/>
      <c r="D218" s="39"/>
    </row>
    <row r="219" spans="2:4" ht="15.75" customHeight="1" x14ac:dyDescent="0.3">
      <c r="B219" s="39"/>
      <c r="D219" s="39"/>
    </row>
    <row r="220" spans="2:4" ht="15.75" customHeight="1" x14ac:dyDescent="0.3">
      <c r="B220" s="39"/>
      <c r="D220" s="39"/>
    </row>
    <row r="221" spans="2:4" ht="15.75" customHeight="1" x14ac:dyDescent="0.3">
      <c r="B221" s="39"/>
      <c r="D221" s="39"/>
    </row>
    <row r="222" spans="2:4" ht="15.75" customHeight="1" x14ac:dyDescent="0.3">
      <c r="B222" s="39"/>
      <c r="D222" s="39"/>
    </row>
    <row r="223" spans="2:4" ht="15.75" customHeight="1" x14ac:dyDescent="0.3">
      <c r="B223" s="39"/>
      <c r="D223" s="39"/>
    </row>
    <row r="224" spans="2:4" ht="15.75" customHeight="1" x14ac:dyDescent="0.3">
      <c r="B224" s="39"/>
      <c r="D224" s="39"/>
    </row>
    <row r="225" spans="2:4" ht="15.75" customHeight="1" x14ac:dyDescent="0.3">
      <c r="B225" s="39"/>
      <c r="D225" s="39"/>
    </row>
    <row r="226" spans="2:4" ht="15.75" customHeight="1" x14ac:dyDescent="0.3">
      <c r="B226" s="39"/>
      <c r="D226" s="39"/>
    </row>
    <row r="227" spans="2:4" ht="15.75" customHeight="1" x14ac:dyDescent="0.3">
      <c r="B227" s="39"/>
      <c r="D227" s="39"/>
    </row>
    <row r="228" spans="2:4" ht="15.75" customHeight="1" x14ac:dyDescent="0.3">
      <c r="B228" s="39"/>
      <c r="D228" s="39"/>
    </row>
    <row r="229" spans="2:4" ht="15.75" customHeight="1" x14ac:dyDescent="0.3">
      <c r="B229" s="39"/>
      <c r="D229" s="39"/>
    </row>
    <row r="230" spans="2:4" ht="15.75" customHeight="1" x14ac:dyDescent="0.3">
      <c r="B230" s="39"/>
      <c r="D230" s="39"/>
    </row>
    <row r="231" spans="2:4" ht="15.75" customHeight="1" x14ac:dyDescent="0.3">
      <c r="B231" s="39"/>
      <c r="D231" s="39"/>
    </row>
    <row r="232" spans="2:4" ht="15.75" customHeight="1" x14ac:dyDescent="0.3">
      <c r="B232" s="39"/>
      <c r="D232" s="39"/>
    </row>
    <row r="233" spans="2:4" ht="15.75" customHeight="1" x14ac:dyDescent="0.3">
      <c r="B233" s="39"/>
      <c r="D233" s="39"/>
    </row>
    <row r="234" spans="2:4" ht="15.75" customHeight="1" x14ac:dyDescent="0.3">
      <c r="B234" s="39"/>
      <c r="D234" s="39"/>
    </row>
    <row r="235" spans="2:4" ht="15.75" customHeight="1" x14ac:dyDescent="0.3">
      <c r="B235" s="39"/>
      <c r="D235" s="39"/>
    </row>
    <row r="236" spans="2:4" ht="15.75" customHeight="1" x14ac:dyDescent="0.3">
      <c r="B236" s="39"/>
      <c r="D236" s="39"/>
    </row>
    <row r="237" spans="2:4" ht="15.75" customHeight="1" x14ac:dyDescent="0.3">
      <c r="B237" s="39"/>
      <c r="D237" s="39"/>
    </row>
    <row r="238" spans="2:4" ht="15.75" customHeight="1" x14ac:dyDescent="0.3">
      <c r="B238" s="39"/>
      <c r="D238" s="39"/>
    </row>
    <row r="239" spans="2:4" ht="15.75" customHeight="1" x14ac:dyDescent="0.3">
      <c r="B239" s="39"/>
      <c r="D239" s="39"/>
    </row>
    <row r="240" spans="2:4" ht="15.75" customHeight="1" x14ac:dyDescent="0.3">
      <c r="B240" s="39"/>
      <c r="D240" s="39"/>
    </row>
    <row r="241" spans="2:4" ht="15.75" customHeight="1" x14ac:dyDescent="0.3">
      <c r="B241" s="39"/>
      <c r="D241" s="39"/>
    </row>
    <row r="242" spans="2:4" ht="15.75" customHeight="1" x14ac:dyDescent="0.3">
      <c r="B242" s="39"/>
      <c r="D242" s="39"/>
    </row>
    <row r="243" spans="2:4" ht="15.75" customHeight="1" x14ac:dyDescent="0.3">
      <c r="B243" s="39"/>
      <c r="D243" s="39"/>
    </row>
    <row r="244" spans="2:4" ht="15.75" customHeight="1" x14ac:dyDescent="0.3">
      <c r="B244" s="39"/>
      <c r="D244" s="39"/>
    </row>
    <row r="245" spans="2:4" ht="15.75" customHeight="1" x14ac:dyDescent="0.3">
      <c r="B245" s="39"/>
      <c r="D245" s="39"/>
    </row>
    <row r="246" spans="2:4" ht="15.75" customHeight="1" x14ac:dyDescent="0.3">
      <c r="B246" s="39"/>
      <c r="D246" s="39"/>
    </row>
    <row r="247" spans="2:4" ht="15.75" customHeight="1" x14ac:dyDescent="0.3">
      <c r="B247" s="39"/>
      <c r="D247" s="39"/>
    </row>
    <row r="248" spans="2:4" ht="15.75" customHeight="1" x14ac:dyDescent="0.3">
      <c r="B248" s="39"/>
      <c r="D248" s="39"/>
    </row>
    <row r="249" spans="2:4" ht="15.75" customHeight="1" x14ac:dyDescent="0.3">
      <c r="B249" s="39"/>
      <c r="D249" s="39"/>
    </row>
    <row r="250" spans="2:4" ht="15.75" customHeight="1" x14ac:dyDescent="0.3">
      <c r="B250" s="39"/>
      <c r="D250" s="39"/>
    </row>
    <row r="251" spans="2:4" ht="15.75" customHeight="1" x14ac:dyDescent="0.3">
      <c r="B251" s="39"/>
      <c r="D251" s="39"/>
    </row>
    <row r="252" spans="2:4" ht="15.75" customHeight="1" x14ac:dyDescent="0.3">
      <c r="B252" s="39"/>
      <c r="D252" s="39"/>
    </row>
    <row r="253" spans="2:4" ht="15.75" customHeight="1" x14ac:dyDescent="0.3">
      <c r="B253" s="39"/>
      <c r="D253" s="39"/>
    </row>
    <row r="254" spans="2:4" ht="15.75" customHeight="1" x14ac:dyDescent="0.3">
      <c r="B254" s="39"/>
      <c r="D254" s="39"/>
    </row>
    <row r="255" spans="2:4" ht="15.75" customHeight="1" x14ac:dyDescent="0.3">
      <c r="B255" s="39"/>
      <c r="D255" s="39"/>
    </row>
    <row r="256" spans="2:4" ht="15.75" customHeight="1" x14ac:dyDescent="0.3">
      <c r="B256" s="39"/>
      <c r="D256" s="39"/>
    </row>
    <row r="257" spans="2:4" ht="15.75" customHeight="1" x14ac:dyDescent="0.3">
      <c r="B257" s="39"/>
      <c r="D257" s="39"/>
    </row>
    <row r="258" spans="2:4" ht="15.75" customHeight="1" x14ac:dyDescent="0.3">
      <c r="B258" s="39"/>
      <c r="D258" s="39"/>
    </row>
    <row r="259" spans="2:4" ht="15.75" customHeight="1" x14ac:dyDescent="0.3">
      <c r="B259" s="39"/>
      <c r="D259" s="39"/>
    </row>
    <row r="260" spans="2:4" ht="15.75" customHeight="1" x14ac:dyDescent="0.3">
      <c r="B260" s="39"/>
      <c r="D260" s="39"/>
    </row>
    <row r="261" spans="2:4" ht="15.75" customHeight="1" x14ac:dyDescent="0.3">
      <c r="B261" s="39"/>
      <c r="D261" s="39"/>
    </row>
    <row r="262" spans="2:4" ht="15.75" customHeight="1" x14ac:dyDescent="0.3">
      <c r="B262" s="39"/>
      <c r="D262" s="39"/>
    </row>
    <row r="263" spans="2:4" ht="15.75" customHeight="1" x14ac:dyDescent="0.3">
      <c r="B263" s="39"/>
      <c r="D263" s="39"/>
    </row>
    <row r="264" spans="2:4" ht="15.75" customHeight="1" x14ac:dyDescent="0.3">
      <c r="B264" s="39"/>
      <c r="D264" s="39"/>
    </row>
    <row r="265" spans="2:4" ht="15.75" customHeight="1" x14ac:dyDescent="0.3">
      <c r="B265" s="39"/>
      <c r="D265" s="39"/>
    </row>
    <row r="266" spans="2:4" ht="15.75" customHeight="1" x14ac:dyDescent="0.3">
      <c r="B266" s="39"/>
      <c r="D266" s="39"/>
    </row>
    <row r="267" spans="2:4" ht="15.75" customHeight="1" x14ac:dyDescent="0.3">
      <c r="B267" s="39"/>
      <c r="D267" s="39"/>
    </row>
    <row r="268" spans="2:4" ht="15.75" customHeight="1" x14ac:dyDescent="0.3">
      <c r="B268" s="39"/>
      <c r="D268" s="39"/>
    </row>
    <row r="269" spans="2:4" ht="15.75" customHeight="1" x14ac:dyDescent="0.3">
      <c r="B269" s="39"/>
      <c r="D269" s="39"/>
    </row>
    <row r="270" spans="2:4" ht="15.75" customHeight="1" x14ac:dyDescent="0.3">
      <c r="B270" s="39"/>
      <c r="D270" s="39"/>
    </row>
    <row r="271" spans="2:4" ht="15.75" customHeight="1" x14ac:dyDescent="0.3">
      <c r="B271" s="39"/>
      <c r="D271" s="39"/>
    </row>
    <row r="272" spans="2:4" ht="15.75" customHeight="1" x14ac:dyDescent="0.3">
      <c r="B272" s="39"/>
      <c r="D272" s="39"/>
    </row>
    <row r="273" spans="2:4" ht="15.75" customHeight="1" x14ac:dyDescent="0.3">
      <c r="B273" s="39"/>
      <c r="D273" s="39"/>
    </row>
    <row r="274" spans="2:4" ht="15.75" customHeight="1" x14ac:dyDescent="0.3">
      <c r="B274" s="39"/>
      <c r="D274" s="39"/>
    </row>
    <row r="275" spans="2:4" ht="15.75" customHeight="1" x14ac:dyDescent="0.3">
      <c r="B275" s="39"/>
      <c r="D275" s="39"/>
    </row>
    <row r="276" spans="2:4" ht="15.75" customHeight="1" x14ac:dyDescent="0.3">
      <c r="B276" s="39"/>
      <c r="D276" s="39"/>
    </row>
    <row r="277" spans="2:4" ht="15.75" customHeight="1" x14ac:dyDescent="0.3">
      <c r="B277" s="39"/>
      <c r="D277" s="39"/>
    </row>
    <row r="278" spans="2:4" ht="15.75" customHeight="1" x14ac:dyDescent="0.3">
      <c r="B278" s="39"/>
      <c r="D278" s="39"/>
    </row>
    <row r="279" spans="2:4" ht="15.75" customHeight="1" x14ac:dyDescent="0.3">
      <c r="B279" s="39"/>
      <c r="D279" s="39"/>
    </row>
    <row r="280" spans="2:4" ht="15.75" customHeight="1" x14ac:dyDescent="0.3">
      <c r="B280" s="39"/>
      <c r="D280" s="39"/>
    </row>
    <row r="281" spans="2:4" ht="15.75" customHeight="1" x14ac:dyDescent="0.3">
      <c r="B281" s="39"/>
      <c r="D281" s="39"/>
    </row>
    <row r="282" spans="2:4" ht="15.75" customHeight="1" x14ac:dyDescent="0.3">
      <c r="B282" s="39"/>
      <c r="D282" s="39"/>
    </row>
    <row r="283" spans="2:4" ht="15.75" customHeight="1" x14ac:dyDescent="0.3">
      <c r="B283" s="39"/>
      <c r="D283" s="39"/>
    </row>
    <row r="284" spans="2:4" ht="15.75" customHeight="1" x14ac:dyDescent="0.3">
      <c r="B284" s="39"/>
      <c r="D284" s="39"/>
    </row>
    <row r="285" spans="2:4" ht="15.75" customHeight="1" x14ac:dyDescent="0.3">
      <c r="B285" s="39"/>
      <c r="D285" s="39"/>
    </row>
    <row r="286" spans="2:4" ht="15.75" customHeight="1" x14ac:dyDescent="0.3">
      <c r="B286" s="39"/>
      <c r="D286" s="39"/>
    </row>
    <row r="287" spans="2:4" ht="15.75" customHeight="1" x14ac:dyDescent="0.3">
      <c r="B287" s="39"/>
      <c r="D287" s="39"/>
    </row>
    <row r="288" spans="2:4" ht="15.75" customHeight="1" x14ac:dyDescent="0.3">
      <c r="B288" s="39"/>
      <c r="D288" s="39"/>
    </row>
    <row r="289" spans="2:4" ht="15.75" customHeight="1" x14ac:dyDescent="0.3">
      <c r="B289" s="39"/>
      <c r="D289" s="39"/>
    </row>
    <row r="290" spans="2:4" ht="15.75" customHeight="1" x14ac:dyDescent="0.3">
      <c r="B290" s="39"/>
      <c r="D290" s="39"/>
    </row>
    <row r="291" spans="2:4" ht="15.75" customHeight="1" x14ac:dyDescent="0.3">
      <c r="B291" s="39"/>
      <c r="D291" s="39"/>
    </row>
    <row r="292" spans="2:4" ht="15.75" customHeight="1" x14ac:dyDescent="0.3">
      <c r="B292" s="39"/>
      <c r="D292" s="39"/>
    </row>
    <row r="293" spans="2:4" ht="15.75" customHeight="1" x14ac:dyDescent="0.3">
      <c r="B293" s="39"/>
      <c r="D293" s="39"/>
    </row>
    <row r="294" spans="2:4" ht="15.75" customHeight="1" x14ac:dyDescent="0.3">
      <c r="B294" s="39"/>
      <c r="D294" s="39"/>
    </row>
    <row r="295" spans="2:4" ht="15.75" customHeight="1" x14ac:dyDescent="0.3">
      <c r="B295" s="39"/>
      <c r="D295" s="39"/>
    </row>
    <row r="296" spans="2:4" ht="15.75" customHeight="1" x14ac:dyDescent="0.3">
      <c r="B296" s="39"/>
      <c r="D296" s="39"/>
    </row>
    <row r="297" spans="2:4" ht="15.75" customHeight="1" x14ac:dyDescent="0.3">
      <c r="B297" s="39"/>
      <c r="D297" s="39"/>
    </row>
    <row r="298" spans="2:4" ht="15.75" customHeight="1" x14ac:dyDescent="0.3">
      <c r="B298" s="39"/>
      <c r="D298" s="39"/>
    </row>
    <row r="299" spans="2:4" ht="15.75" customHeight="1" x14ac:dyDescent="0.3">
      <c r="B299" s="39"/>
      <c r="D299" s="39"/>
    </row>
    <row r="300" spans="2:4" ht="15.75" customHeight="1" x14ac:dyDescent="0.3">
      <c r="B300" s="39"/>
      <c r="D300" s="39"/>
    </row>
    <row r="301" spans="2:4" ht="15.75" customHeight="1" x14ac:dyDescent="0.3">
      <c r="B301" s="39"/>
      <c r="D301" s="39"/>
    </row>
    <row r="302" spans="2:4" ht="15.75" customHeight="1" x14ac:dyDescent="0.3">
      <c r="B302" s="39"/>
      <c r="D302" s="39"/>
    </row>
    <row r="303" spans="2:4" ht="15.75" customHeight="1" x14ac:dyDescent="0.3">
      <c r="B303" s="39"/>
      <c r="D303" s="39"/>
    </row>
    <row r="304" spans="2:4" ht="15.75" customHeight="1" x14ac:dyDescent="0.3">
      <c r="B304" s="39"/>
      <c r="D304" s="39"/>
    </row>
    <row r="305" spans="2:4" ht="15.75" customHeight="1" x14ac:dyDescent="0.3">
      <c r="B305" s="39"/>
      <c r="D305" s="39"/>
    </row>
    <row r="306" spans="2:4" ht="15.75" customHeight="1" x14ac:dyDescent="0.3">
      <c r="B306" s="39"/>
      <c r="D306" s="39"/>
    </row>
    <row r="307" spans="2:4" ht="15.75" customHeight="1" x14ac:dyDescent="0.3">
      <c r="B307" s="39"/>
      <c r="D307" s="39"/>
    </row>
    <row r="308" spans="2:4" ht="15.75" customHeight="1" x14ac:dyDescent="0.3">
      <c r="B308" s="39"/>
      <c r="D308" s="39"/>
    </row>
    <row r="309" spans="2:4" ht="15.75" customHeight="1" x14ac:dyDescent="0.3">
      <c r="B309" s="39"/>
      <c r="D309" s="39"/>
    </row>
    <row r="310" spans="2:4" ht="15.75" customHeight="1" x14ac:dyDescent="0.3">
      <c r="B310" s="39"/>
      <c r="D310" s="39"/>
    </row>
    <row r="311" spans="2:4" ht="15.75" customHeight="1" x14ac:dyDescent="0.3">
      <c r="B311" s="39"/>
      <c r="D311" s="39"/>
    </row>
    <row r="312" spans="2:4" ht="15.75" customHeight="1" x14ac:dyDescent="0.3">
      <c r="B312" s="39"/>
      <c r="D312" s="39"/>
    </row>
    <row r="313" spans="2:4" ht="15.75" customHeight="1" x14ac:dyDescent="0.3">
      <c r="B313" s="39"/>
      <c r="D313" s="39"/>
    </row>
    <row r="314" spans="2:4" ht="15.75" customHeight="1" x14ac:dyDescent="0.3">
      <c r="B314" s="39"/>
      <c r="D314" s="39"/>
    </row>
    <row r="315" spans="2:4" ht="15.75" customHeight="1" x14ac:dyDescent="0.3">
      <c r="B315" s="39"/>
      <c r="D315" s="39"/>
    </row>
    <row r="316" spans="2:4" ht="15.75" customHeight="1" x14ac:dyDescent="0.3">
      <c r="B316" s="39"/>
      <c r="D316" s="39"/>
    </row>
    <row r="317" spans="2:4" ht="15.75" customHeight="1" x14ac:dyDescent="0.3">
      <c r="B317" s="39"/>
      <c r="D317" s="39"/>
    </row>
    <row r="318" spans="2:4" ht="15.75" customHeight="1" x14ac:dyDescent="0.3">
      <c r="B318" s="39"/>
      <c r="D318" s="39"/>
    </row>
    <row r="319" spans="2:4" ht="15.75" customHeight="1" x14ac:dyDescent="0.3">
      <c r="B319" s="39"/>
      <c r="D319" s="39"/>
    </row>
    <row r="320" spans="2:4" ht="15.75" customHeight="1" x14ac:dyDescent="0.3">
      <c r="B320" s="39"/>
      <c r="D320" s="39"/>
    </row>
    <row r="321" spans="2:4" ht="15.75" customHeight="1" x14ac:dyDescent="0.3">
      <c r="B321" s="39"/>
      <c r="D321" s="39"/>
    </row>
    <row r="322" spans="2:4" ht="15.75" customHeight="1" x14ac:dyDescent="0.3">
      <c r="B322" s="39"/>
      <c r="D322" s="39"/>
    </row>
    <row r="323" spans="2:4" ht="15.75" customHeight="1" x14ac:dyDescent="0.3">
      <c r="B323" s="39"/>
      <c r="D323" s="39"/>
    </row>
    <row r="324" spans="2:4" ht="15.75" customHeight="1" x14ac:dyDescent="0.3">
      <c r="B324" s="39"/>
      <c r="D324" s="39"/>
    </row>
    <row r="325" spans="2:4" ht="15.75" customHeight="1" x14ac:dyDescent="0.3">
      <c r="B325" s="39"/>
      <c r="D325" s="39"/>
    </row>
    <row r="326" spans="2:4" ht="15.75" customHeight="1" x14ac:dyDescent="0.3">
      <c r="B326" s="39"/>
      <c r="D326" s="39"/>
    </row>
    <row r="327" spans="2:4" ht="15.75" customHeight="1" x14ac:dyDescent="0.3">
      <c r="B327" s="39"/>
      <c r="D327" s="39"/>
    </row>
    <row r="328" spans="2:4" ht="15.75" customHeight="1" x14ac:dyDescent="0.3">
      <c r="B328" s="39"/>
      <c r="D328" s="39"/>
    </row>
    <row r="329" spans="2:4" ht="15.75" customHeight="1" x14ac:dyDescent="0.3">
      <c r="B329" s="39"/>
      <c r="D329" s="39"/>
    </row>
    <row r="330" spans="2:4" ht="15.75" customHeight="1" x14ac:dyDescent="0.3">
      <c r="B330" s="39"/>
      <c r="D330" s="39"/>
    </row>
    <row r="331" spans="2:4" ht="15.75" customHeight="1" x14ac:dyDescent="0.3">
      <c r="B331" s="39"/>
      <c r="D331" s="39"/>
    </row>
    <row r="332" spans="2:4" ht="15.75" customHeight="1" x14ac:dyDescent="0.3">
      <c r="B332" s="39"/>
      <c r="D332" s="39"/>
    </row>
    <row r="333" spans="2:4" ht="15.75" customHeight="1" x14ac:dyDescent="0.3">
      <c r="B333" s="39"/>
      <c r="D333" s="39"/>
    </row>
    <row r="334" spans="2:4" ht="15.75" customHeight="1" x14ac:dyDescent="0.3">
      <c r="B334" s="39"/>
      <c r="D334" s="39"/>
    </row>
    <row r="335" spans="2:4" ht="15.75" customHeight="1" x14ac:dyDescent="0.3">
      <c r="B335" s="39"/>
      <c r="D335" s="39"/>
    </row>
    <row r="336" spans="2:4" ht="15.75" customHeight="1" x14ac:dyDescent="0.3">
      <c r="B336" s="39"/>
      <c r="D336" s="39"/>
    </row>
    <row r="337" spans="2:4" ht="15.75" customHeight="1" x14ac:dyDescent="0.3">
      <c r="B337" s="39"/>
      <c r="D337" s="39"/>
    </row>
    <row r="338" spans="2:4" ht="15.75" customHeight="1" x14ac:dyDescent="0.3">
      <c r="B338" s="39"/>
      <c r="D338" s="39"/>
    </row>
    <row r="339" spans="2:4" ht="15.75" customHeight="1" x14ac:dyDescent="0.3">
      <c r="B339" s="39"/>
      <c r="D339" s="39"/>
    </row>
    <row r="340" spans="2:4" ht="15.75" customHeight="1" x14ac:dyDescent="0.3">
      <c r="B340" s="39"/>
      <c r="D340" s="39"/>
    </row>
    <row r="341" spans="2:4" ht="15.75" customHeight="1" x14ac:dyDescent="0.3">
      <c r="B341" s="39"/>
      <c r="D341" s="39"/>
    </row>
    <row r="342" spans="2:4" ht="15.75" customHeight="1" x14ac:dyDescent="0.3">
      <c r="B342" s="39"/>
      <c r="D342" s="39"/>
    </row>
    <row r="343" spans="2:4" ht="15.75" customHeight="1" x14ac:dyDescent="0.3">
      <c r="B343" s="39"/>
      <c r="D343" s="39"/>
    </row>
    <row r="344" spans="2:4" ht="15.75" customHeight="1" x14ac:dyDescent="0.3">
      <c r="B344" s="39"/>
      <c r="D344" s="39"/>
    </row>
    <row r="345" spans="2:4" ht="15.75" customHeight="1" x14ac:dyDescent="0.3">
      <c r="B345" s="39"/>
      <c r="D345" s="39"/>
    </row>
    <row r="346" spans="2:4" ht="15.75" customHeight="1" x14ac:dyDescent="0.3">
      <c r="B346" s="39"/>
      <c r="D346" s="39"/>
    </row>
    <row r="347" spans="2:4" ht="15.75" customHeight="1" x14ac:dyDescent="0.3">
      <c r="B347" s="39"/>
      <c r="D347" s="39"/>
    </row>
    <row r="348" spans="2:4" ht="15.75" customHeight="1" x14ac:dyDescent="0.3">
      <c r="B348" s="39"/>
      <c r="D348" s="39"/>
    </row>
    <row r="349" spans="2:4" ht="15.75" customHeight="1" x14ac:dyDescent="0.3">
      <c r="B349" s="39"/>
      <c r="D349" s="39"/>
    </row>
    <row r="350" spans="2:4" ht="15.75" customHeight="1" x14ac:dyDescent="0.3">
      <c r="B350" s="39"/>
      <c r="D350" s="39"/>
    </row>
    <row r="351" spans="2:4" ht="15.75" customHeight="1" x14ac:dyDescent="0.3">
      <c r="B351" s="39"/>
      <c r="D351" s="39"/>
    </row>
    <row r="352" spans="2:4" ht="15.75" customHeight="1" x14ac:dyDescent="0.3">
      <c r="B352" s="39"/>
      <c r="D352" s="39"/>
    </row>
    <row r="353" spans="2:4" ht="15.75" customHeight="1" x14ac:dyDescent="0.3">
      <c r="B353" s="39"/>
      <c r="D353" s="39"/>
    </row>
    <row r="354" spans="2:4" ht="15.75" customHeight="1" x14ac:dyDescent="0.3">
      <c r="B354" s="39"/>
      <c r="D354" s="39"/>
    </row>
    <row r="355" spans="2:4" ht="15.75" customHeight="1" x14ac:dyDescent="0.3">
      <c r="B355" s="39"/>
      <c r="D355" s="39"/>
    </row>
    <row r="356" spans="2:4" ht="15.75" customHeight="1" x14ac:dyDescent="0.3">
      <c r="B356" s="39"/>
      <c r="D356" s="39"/>
    </row>
    <row r="357" spans="2:4" ht="15.75" customHeight="1" x14ac:dyDescent="0.3">
      <c r="B357" s="39"/>
      <c r="D357" s="39"/>
    </row>
    <row r="358" spans="2:4" ht="15.75" customHeight="1" x14ac:dyDescent="0.3">
      <c r="B358" s="39"/>
      <c r="D358" s="39"/>
    </row>
    <row r="359" spans="2:4" ht="15.75" customHeight="1" x14ac:dyDescent="0.3">
      <c r="B359" s="39"/>
      <c r="D359" s="39"/>
    </row>
    <row r="360" spans="2:4" ht="15.75" customHeight="1" x14ac:dyDescent="0.3">
      <c r="B360" s="39"/>
      <c r="D360" s="39"/>
    </row>
    <row r="361" spans="2:4" ht="15.75" customHeight="1" x14ac:dyDescent="0.3">
      <c r="B361" s="39"/>
      <c r="D361" s="39"/>
    </row>
    <row r="362" spans="2:4" ht="15.75" customHeight="1" x14ac:dyDescent="0.3">
      <c r="B362" s="39"/>
      <c r="D362" s="39"/>
    </row>
    <row r="363" spans="2:4" ht="15.75" customHeight="1" x14ac:dyDescent="0.3">
      <c r="B363" s="39"/>
      <c r="D363" s="39"/>
    </row>
    <row r="364" spans="2:4" ht="15.75" customHeight="1" x14ac:dyDescent="0.3">
      <c r="B364" s="39"/>
      <c r="D364" s="39"/>
    </row>
    <row r="365" spans="2:4" ht="15.75" customHeight="1" x14ac:dyDescent="0.3">
      <c r="B365" s="39"/>
      <c r="D365" s="39"/>
    </row>
    <row r="366" spans="2:4" ht="15.75" customHeight="1" x14ac:dyDescent="0.3">
      <c r="B366" s="39"/>
      <c r="D366" s="39"/>
    </row>
    <row r="367" spans="2:4" ht="15.75" customHeight="1" x14ac:dyDescent="0.3">
      <c r="B367" s="39"/>
      <c r="D367" s="39"/>
    </row>
    <row r="368" spans="2:4" ht="15.75" customHeight="1" x14ac:dyDescent="0.3">
      <c r="B368" s="39"/>
      <c r="D368" s="39"/>
    </row>
    <row r="369" spans="2:4" ht="15.75" customHeight="1" x14ac:dyDescent="0.3">
      <c r="B369" s="39"/>
      <c r="D369" s="39"/>
    </row>
    <row r="370" spans="2:4" ht="15.75" customHeight="1" x14ac:dyDescent="0.3">
      <c r="B370" s="39"/>
      <c r="D370" s="39"/>
    </row>
    <row r="371" spans="2:4" ht="15.75" customHeight="1" x14ac:dyDescent="0.3">
      <c r="B371" s="39"/>
      <c r="D371" s="39"/>
    </row>
    <row r="372" spans="2:4" ht="15.75" customHeight="1" x14ac:dyDescent="0.3">
      <c r="B372" s="39"/>
      <c r="D372" s="39"/>
    </row>
    <row r="373" spans="2:4" ht="15.75" customHeight="1" x14ac:dyDescent="0.3">
      <c r="B373" s="39"/>
      <c r="D373" s="39"/>
    </row>
    <row r="374" spans="2:4" ht="15.75" customHeight="1" x14ac:dyDescent="0.3">
      <c r="B374" s="39"/>
      <c r="D374" s="39"/>
    </row>
    <row r="375" spans="2:4" ht="15.75" customHeight="1" x14ac:dyDescent="0.3">
      <c r="B375" s="39"/>
      <c r="D375" s="39"/>
    </row>
    <row r="376" spans="2:4" ht="15.75" customHeight="1" x14ac:dyDescent="0.3">
      <c r="B376" s="39"/>
      <c r="D376" s="39"/>
    </row>
    <row r="377" spans="2:4" ht="15.75" customHeight="1" x14ac:dyDescent="0.3">
      <c r="B377" s="39"/>
      <c r="D377" s="39"/>
    </row>
    <row r="378" spans="2:4" ht="15.75" customHeight="1" x14ac:dyDescent="0.3">
      <c r="B378" s="39"/>
      <c r="D378" s="39"/>
    </row>
    <row r="379" spans="2:4" ht="15.75" customHeight="1" x14ac:dyDescent="0.3">
      <c r="B379" s="39"/>
      <c r="D379" s="39"/>
    </row>
    <row r="380" spans="2:4" ht="15.75" customHeight="1" x14ac:dyDescent="0.3">
      <c r="B380" s="39"/>
      <c r="D380" s="39"/>
    </row>
    <row r="381" spans="2:4" ht="15.75" customHeight="1" x14ac:dyDescent="0.3">
      <c r="B381" s="39"/>
      <c r="D381" s="39"/>
    </row>
    <row r="382" spans="2:4" ht="15.75" customHeight="1" x14ac:dyDescent="0.3">
      <c r="B382" s="39"/>
      <c r="D382" s="39"/>
    </row>
    <row r="383" spans="2:4" ht="15.75" customHeight="1" x14ac:dyDescent="0.3">
      <c r="B383" s="39"/>
      <c r="D383" s="39"/>
    </row>
    <row r="384" spans="2:4" ht="15.75" customHeight="1" x14ac:dyDescent="0.3">
      <c r="B384" s="39"/>
      <c r="D384" s="39"/>
    </row>
    <row r="385" spans="2:4" ht="15.75" customHeight="1" x14ac:dyDescent="0.3">
      <c r="B385" s="39"/>
      <c r="D385" s="39"/>
    </row>
    <row r="386" spans="2:4" ht="15.75" customHeight="1" x14ac:dyDescent="0.3">
      <c r="B386" s="39"/>
      <c r="D386" s="39"/>
    </row>
    <row r="387" spans="2:4" ht="15.75" customHeight="1" x14ac:dyDescent="0.3">
      <c r="B387" s="39"/>
      <c r="D387" s="39"/>
    </row>
    <row r="388" spans="2:4" ht="15.75" customHeight="1" x14ac:dyDescent="0.3">
      <c r="B388" s="39"/>
      <c r="D388" s="39"/>
    </row>
    <row r="389" spans="2:4" ht="15.75" customHeight="1" x14ac:dyDescent="0.3">
      <c r="B389" s="39"/>
      <c r="D389" s="39"/>
    </row>
    <row r="390" spans="2:4" ht="15.75" customHeight="1" x14ac:dyDescent="0.3">
      <c r="B390" s="39"/>
      <c r="D390" s="39"/>
    </row>
    <row r="391" spans="2:4" ht="15.75" customHeight="1" x14ac:dyDescent="0.3">
      <c r="B391" s="39"/>
      <c r="D391" s="39"/>
    </row>
    <row r="392" spans="2:4" ht="15.75" customHeight="1" x14ac:dyDescent="0.3">
      <c r="B392" s="39"/>
      <c r="D392" s="39"/>
    </row>
    <row r="393" spans="2:4" ht="15.75" customHeight="1" x14ac:dyDescent="0.3">
      <c r="B393" s="39"/>
      <c r="D393" s="39"/>
    </row>
    <row r="394" spans="2:4" ht="15.75" customHeight="1" x14ac:dyDescent="0.3">
      <c r="B394" s="39"/>
      <c r="D394" s="39"/>
    </row>
    <row r="395" spans="2:4" ht="15.75" customHeight="1" x14ac:dyDescent="0.3">
      <c r="B395" s="39"/>
      <c r="D395" s="39"/>
    </row>
    <row r="396" spans="2:4" ht="15.75" customHeight="1" x14ac:dyDescent="0.3">
      <c r="B396" s="39"/>
      <c r="D396" s="39"/>
    </row>
    <row r="397" spans="2:4" ht="15.75" customHeight="1" x14ac:dyDescent="0.3">
      <c r="B397" s="39"/>
      <c r="D397" s="39"/>
    </row>
    <row r="398" spans="2:4" ht="15.75" customHeight="1" x14ac:dyDescent="0.3">
      <c r="B398" s="39"/>
      <c r="D398" s="39"/>
    </row>
    <row r="399" spans="2:4" ht="15.75" customHeight="1" x14ac:dyDescent="0.3">
      <c r="B399" s="39"/>
      <c r="D399" s="39"/>
    </row>
    <row r="400" spans="2:4" ht="15.75" customHeight="1" x14ac:dyDescent="0.3">
      <c r="B400" s="39"/>
      <c r="D400" s="39"/>
    </row>
    <row r="401" spans="2:4" ht="15.75" customHeight="1" x14ac:dyDescent="0.3">
      <c r="B401" s="39"/>
      <c r="D401" s="39"/>
    </row>
    <row r="402" spans="2:4" ht="15.75" customHeight="1" x14ac:dyDescent="0.3">
      <c r="B402" s="39"/>
      <c r="D402" s="39"/>
    </row>
    <row r="403" spans="2:4" ht="15.75" customHeight="1" x14ac:dyDescent="0.3">
      <c r="B403" s="39"/>
      <c r="D403" s="39"/>
    </row>
    <row r="404" spans="2:4" ht="15.75" customHeight="1" x14ac:dyDescent="0.3">
      <c r="B404" s="39"/>
      <c r="D404" s="39"/>
    </row>
    <row r="405" spans="2:4" ht="15.75" customHeight="1" x14ac:dyDescent="0.3">
      <c r="B405" s="39"/>
      <c r="D405" s="39"/>
    </row>
    <row r="406" spans="2:4" ht="15.75" customHeight="1" x14ac:dyDescent="0.3">
      <c r="B406" s="39"/>
      <c r="D406" s="39"/>
    </row>
    <row r="407" spans="2:4" ht="15.75" customHeight="1" x14ac:dyDescent="0.3">
      <c r="B407" s="39"/>
      <c r="D407" s="39"/>
    </row>
    <row r="408" spans="2:4" ht="15.75" customHeight="1" x14ac:dyDescent="0.3">
      <c r="B408" s="39"/>
      <c r="D408" s="39"/>
    </row>
    <row r="409" spans="2:4" ht="15.75" customHeight="1" x14ac:dyDescent="0.3">
      <c r="B409" s="39"/>
      <c r="D409" s="39"/>
    </row>
    <row r="410" spans="2:4" ht="15.75" customHeight="1" x14ac:dyDescent="0.3">
      <c r="B410" s="39"/>
      <c r="D410" s="39"/>
    </row>
    <row r="411" spans="2:4" ht="15.75" customHeight="1" x14ac:dyDescent="0.3">
      <c r="B411" s="39"/>
      <c r="D411" s="39"/>
    </row>
    <row r="412" spans="2:4" ht="15.75" customHeight="1" x14ac:dyDescent="0.3">
      <c r="B412" s="39"/>
      <c r="D412" s="39"/>
    </row>
    <row r="413" spans="2:4" ht="15.75" customHeight="1" x14ac:dyDescent="0.3">
      <c r="B413" s="39"/>
      <c r="D413" s="39"/>
    </row>
    <row r="414" spans="2:4" ht="15.75" customHeight="1" x14ac:dyDescent="0.3">
      <c r="B414" s="39"/>
      <c r="D414" s="39"/>
    </row>
    <row r="415" spans="2:4" ht="15.75" customHeight="1" x14ac:dyDescent="0.3">
      <c r="B415" s="39"/>
      <c r="D415" s="39"/>
    </row>
    <row r="416" spans="2:4" ht="15.75" customHeight="1" x14ac:dyDescent="0.3">
      <c r="B416" s="39"/>
      <c r="D416" s="39"/>
    </row>
    <row r="417" spans="2:4" ht="15.75" customHeight="1" x14ac:dyDescent="0.3">
      <c r="B417" s="39"/>
      <c r="D417" s="39"/>
    </row>
    <row r="418" spans="2:4" ht="15.75" customHeight="1" x14ac:dyDescent="0.3">
      <c r="B418" s="39"/>
      <c r="D418" s="39"/>
    </row>
    <row r="419" spans="2:4" ht="15.75" customHeight="1" x14ac:dyDescent="0.3">
      <c r="B419" s="39"/>
      <c r="D419" s="39"/>
    </row>
    <row r="420" spans="2:4" ht="15.75" customHeight="1" x14ac:dyDescent="0.3">
      <c r="B420" s="39"/>
      <c r="D420" s="39"/>
    </row>
    <row r="421" spans="2:4" ht="15.75" customHeight="1" x14ac:dyDescent="0.3">
      <c r="B421" s="39"/>
      <c r="D421" s="39"/>
    </row>
    <row r="422" spans="2:4" ht="15.75" customHeight="1" x14ac:dyDescent="0.3">
      <c r="B422" s="39"/>
      <c r="D422" s="39"/>
    </row>
    <row r="423" spans="2:4" ht="15.75" customHeight="1" x14ac:dyDescent="0.3">
      <c r="B423" s="39"/>
      <c r="D423" s="39"/>
    </row>
    <row r="424" spans="2:4" ht="15.75" customHeight="1" x14ac:dyDescent="0.3">
      <c r="B424" s="39"/>
      <c r="D424" s="39"/>
    </row>
    <row r="425" spans="2:4" ht="15.75" customHeight="1" x14ac:dyDescent="0.3">
      <c r="B425" s="39"/>
      <c r="D425" s="39"/>
    </row>
    <row r="426" spans="2:4" ht="15.75" customHeight="1" x14ac:dyDescent="0.3">
      <c r="B426" s="39"/>
      <c r="D426" s="39"/>
    </row>
    <row r="427" spans="2:4" ht="15.75" customHeight="1" x14ac:dyDescent="0.3">
      <c r="B427" s="39"/>
      <c r="D427" s="39"/>
    </row>
    <row r="428" spans="2:4" ht="15.75" customHeight="1" x14ac:dyDescent="0.3">
      <c r="B428" s="39"/>
      <c r="D428" s="39"/>
    </row>
    <row r="429" spans="2:4" ht="15.75" customHeight="1" x14ac:dyDescent="0.3">
      <c r="B429" s="39"/>
      <c r="D429" s="39"/>
    </row>
    <row r="430" spans="2:4" ht="15.75" customHeight="1" x14ac:dyDescent="0.3">
      <c r="B430" s="39"/>
      <c r="D430" s="39"/>
    </row>
    <row r="431" spans="2:4" ht="15.75" customHeight="1" x14ac:dyDescent="0.3">
      <c r="B431" s="39"/>
      <c r="D431" s="39"/>
    </row>
    <row r="432" spans="2:4" ht="15.75" customHeight="1" x14ac:dyDescent="0.3">
      <c r="B432" s="39"/>
      <c r="D432" s="39"/>
    </row>
    <row r="433" spans="2:4" ht="15.75" customHeight="1" x14ac:dyDescent="0.3">
      <c r="B433" s="39"/>
      <c r="D433" s="39"/>
    </row>
    <row r="434" spans="2:4" ht="15.75" customHeight="1" x14ac:dyDescent="0.3">
      <c r="B434" s="39"/>
      <c r="D434" s="39"/>
    </row>
    <row r="435" spans="2:4" ht="15.75" customHeight="1" x14ac:dyDescent="0.3">
      <c r="B435" s="39"/>
      <c r="D435" s="39"/>
    </row>
    <row r="436" spans="2:4" ht="15.75" customHeight="1" x14ac:dyDescent="0.3">
      <c r="B436" s="39"/>
      <c r="D436" s="39"/>
    </row>
    <row r="437" spans="2:4" ht="15.75" customHeight="1" x14ac:dyDescent="0.3">
      <c r="B437" s="39"/>
      <c r="D437" s="39"/>
    </row>
    <row r="438" spans="2:4" ht="15.75" customHeight="1" x14ac:dyDescent="0.3">
      <c r="B438" s="39"/>
      <c r="D438" s="39"/>
    </row>
    <row r="439" spans="2:4" ht="15.75" customHeight="1" x14ac:dyDescent="0.3">
      <c r="B439" s="39"/>
      <c r="D439" s="39"/>
    </row>
    <row r="440" spans="2:4" ht="15.75" customHeight="1" x14ac:dyDescent="0.3">
      <c r="B440" s="39"/>
      <c r="D440" s="39"/>
    </row>
    <row r="441" spans="2:4" ht="15.75" customHeight="1" x14ac:dyDescent="0.3">
      <c r="B441" s="39"/>
      <c r="D441" s="39"/>
    </row>
    <row r="442" spans="2:4" ht="15.75" customHeight="1" x14ac:dyDescent="0.3">
      <c r="B442" s="39"/>
      <c r="D442" s="39"/>
    </row>
    <row r="443" spans="2:4" ht="15.75" customHeight="1" x14ac:dyDescent="0.3">
      <c r="B443" s="39"/>
      <c r="D443" s="39"/>
    </row>
    <row r="444" spans="2:4" ht="15.75" customHeight="1" x14ac:dyDescent="0.3">
      <c r="B444" s="39"/>
      <c r="D444" s="39"/>
    </row>
    <row r="445" spans="2:4" ht="15.75" customHeight="1" x14ac:dyDescent="0.3">
      <c r="B445" s="39"/>
      <c r="D445" s="39"/>
    </row>
    <row r="446" spans="2:4" ht="15.75" customHeight="1" x14ac:dyDescent="0.3">
      <c r="B446" s="39"/>
      <c r="D446" s="39"/>
    </row>
    <row r="447" spans="2:4" ht="15.75" customHeight="1" x14ac:dyDescent="0.3">
      <c r="B447" s="39"/>
      <c r="D447" s="39"/>
    </row>
    <row r="448" spans="2:4" ht="15.75" customHeight="1" x14ac:dyDescent="0.3">
      <c r="B448" s="39"/>
      <c r="D448" s="39"/>
    </row>
    <row r="449" spans="2:4" ht="15.75" customHeight="1" x14ac:dyDescent="0.3">
      <c r="B449" s="39"/>
      <c r="D449" s="39"/>
    </row>
    <row r="450" spans="2:4" ht="15.75" customHeight="1" x14ac:dyDescent="0.3">
      <c r="B450" s="39"/>
      <c r="D450" s="39"/>
    </row>
    <row r="451" spans="2:4" ht="15.75" customHeight="1" x14ac:dyDescent="0.3">
      <c r="B451" s="39"/>
      <c r="D451" s="39"/>
    </row>
    <row r="452" spans="2:4" ht="15.75" customHeight="1" x14ac:dyDescent="0.3">
      <c r="B452" s="39"/>
      <c r="D452" s="39"/>
    </row>
    <row r="453" spans="2:4" ht="15.75" customHeight="1" x14ac:dyDescent="0.3">
      <c r="B453" s="39"/>
      <c r="D453" s="39"/>
    </row>
    <row r="454" spans="2:4" ht="15.75" customHeight="1" x14ac:dyDescent="0.3">
      <c r="B454" s="39"/>
      <c r="D454" s="39"/>
    </row>
    <row r="455" spans="2:4" ht="15.75" customHeight="1" x14ac:dyDescent="0.3">
      <c r="B455" s="39"/>
      <c r="D455" s="39"/>
    </row>
    <row r="456" spans="2:4" ht="15.75" customHeight="1" x14ac:dyDescent="0.3">
      <c r="B456" s="39"/>
      <c r="D456" s="39"/>
    </row>
    <row r="457" spans="2:4" ht="15.75" customHeight="1" x14ac:dyDescent="0.3">
      <c r="B457" s="39"/>
      <c r="D457" s="39"/>
    </row>
    <row r="458" spans="2:4" ht="15.75" customHeight="1" x14ac:dyDescent="0.3">
      <c r="B458" s="39"/>
      <c r="D458" s="39"/>
    </row>
    <row r="459" spans="2:4" ht="15.75" customHeight="1" x14ac:dyDescent="0.3">
      <c r="B459" s="39"/>
      <c r="D459" s="39"/>
    </row>
    <row r="460" spans="2:4" ht="15.75" customHeight="1" x14ac:dyDescent="0.3">
      <c r="B460" s="39"/>
      <c r="D460" s="39"/>
    </row>
    <row r="461" spans="2:4" ht="15.75" customHeight="1" x14ac:dyDescent="0.3">
      <c r="B461" s="39"/>
      <c r="D461" s="39"/>
    </row>
    <row r="462" spans="2:4" ht="15.75" customHeight="1" x14ac:dyDescent="0.3">
      <c r="B462" s="39"/>
      <c r="D462" s="39"/>
    </row>
    <row r="463" spans="2:4" ht="15.75" customHeight="1" x14ac:dyDescent="0.3">
      <c r="B463" s="39"/>
      <c r="D463" s="39"/>
    </row>
    <row r="464" spans="2:4" ht="15.75" customHeight="1" x14ac:dyDescent="0.3">
      <c r="B464" s="39"/>
      <c r="D464" s="39"/>
    </row>
    <row r="465" spans="2:4" ht="15.75" customHeight="1" x14ac:dyDescent="0.3">
      <c r="B465" s="39"/>
      <c r="D465" s="39"/>
    </row>
    <row r="466" spans="2:4" ht="15.75" customHeight="1" x14ac:dyDescent="0.3">
      <c r="B466" s="39"/>
      <c r="D466" s="39"/>
    </row>
    <row r="467" spans="2:4" ht="15.75" customHeight="1" x14ac:dyDescent="0.3">
      <c r="B467" s="39"/>
      <c r="D467" s="39"/>
    </row>
    <row r="468" spans="2:4" ht="15.75" customHeight="1" x14ac:dyDescent="0.3">
      <c r="B468" s="39"/>
      <c r="D468" s="39"/>
    </row>
    <row r="469" spans="2:4" ht="15.75" customHeight="1" x14ac:dyDescent="0.3">
      <c r="B469" s="39"/>
      <c r="D469" s="39"/>
    </row>
    <row r="470" spans="2:4" ht="15.75" customHeight="1" x14ac:dyDescent="0.3">
      <c r="B470" s="39"/>
      <c r="D470" s="39"/>
    </row>
    <row r="471" spans="2:4" ht="15.75" customHeight="1" x14ac:dyDescent="0.3">
      <c r="B471" s="39"/>
      <c r="D471" s="39"/>
    </row>
    <row r="472" spans="2:4" ht="15.75" customHeight="1" x14ac:dyDescent="0.3">
      <c r="B472" s="39"/>
      <c r="D472" s="39"/>
    </row>
    <row r="473" spans="2:4" ht="15.75" customHeight="1" x14ac:dyDescent="0.3">
      <c r="B473" s="39"/>
      <c r="D473" s="39"/>
    </row>
    <row r="474" spans="2:4" ht="15.75" customHeight="1" x14ac:dyDescent="0.3">
      <c r="B474" s="39"/>
      <c r="D474" s="39"/>
    </row>
    <row r="475" spans="2:4" ht="15.75" customHeight="1" x14ac:dyDescent="0.3">
      <c r="B475" s="39"/>
      <c r="D475" s="39"/>
    </row>
    <row r="476" spans="2:4" ht="15.75" customHeight="1" x14ac:dyDescent="0.3">
      <c r="B476" s="39"/>
      <c r="D476" s="39"/>
    </row>
    <row r="477" spans="2:4" ht="15.75" customHeight="1" x14ac:dyDescent="0.3">
      <c r="B477" s="39"/>
      <c r="D477" s="39"/>
    </row>
    <row r="478" spans="2:4" ht="15.75" customHeight="1" x14ac:dyDescent="0.3">
      <c r="B478" s="39"/>
      <c r="D478" s="39"/>
    </row>
    <row r="479" spans="2:4" ht="15.75" customHeight="1" x14ac:dyDescent="0.3">
      <c r="B479" s="39"/>
      <c r="D479" s="39"/>
    </row>
    <row r="480" spans="2:4" ht="15.75" customHeight="1" x14ac:dyDescent="0.3">
      <c r="B480" s="39"/>
      <c r="D480" s="39"/>
    </row>
    <row r="481" spans="2:4" ht="15.75" customHeight="1" x14ac:dyDescent="0.3">
      <c r="B481" s="39"/>
      <c r="D481" s="39"/>
    </row>
    <row r="482" spans="2:4" ht="15.75" customHeight="1" x14ac:dyDescent="0.3">
      <c r="B482" s="39"/>
      <c r="D482" s="39"/>
    </row>
    <row r="483" spans="2:4" ht="15.75" customHeight="1" x14ac:dyDescent="0.3">
      <c r="B483" s="39"/>
      <c r="D483" s="39"/>
    </row>
    <row r="484" spans="2:4" ht="15.75" customHeight="1" x14ac:dyDescent="0.3">
      <c r="B484" s="39"/>
      <c r="D484" s="39"/>
    </row>
    <row r="485" spans="2:4" ht="15.75" customHeight="1" x14ac:dyDescent="0.3">
      <c r="B485" s="39"/>
      <c r="D485" s="39"/>
    </row>
    <row r="486" spans="2:4" ht="15.75" customHeight="1" x14ac:dyDescent="0.3">
      <c r="B486" s="39"/>
      <c r="D486" s="39"/>
    </row>
    <row r="487" spans="2:4" ht="15.75" customHeight="1" x14ac:dyDescent="0.3">
      <c r="B487" s="39"/>
      <c r="D487" s="39"/>
    </row>
    <row r="488" spans="2:4" ht="15.75" customHeight="1" x14ac:dyDescent="0.3">
      <c r="B488" s="39"/>
      <c r="D488" s="39"/>
    </row>
    <row r="489" spans="2:4" ht="15.75" customHeight="1" x14ac:dyDescent="0.3">
      <c r="B489" s="39"/>
      <c r="D489" s="39"/>
    </row>
    <row r="490" spans="2:4" ht="15.75" customHeight="1" x14ac:dyDescent="0.3">
      <c r="B490" s="39"/>
      <c r="D490" s="39"/>
    </row>
    <row r="491" spans="2:4" ht="15.75" customHeight="1" x14ac:dyDescent="0.3">
      <c r="B491" s="39"/>
      <c r="D491" s="39"/>
    </row>
    <row r="492" spans="2:4" ht="15.75" customHeight="1" x14ac:dyDescent="0.3">
      <c r="B492" s="39"/>
      <c r="D492" s="39"/>
    </row>
    <row r="493" spans="2:4" ht="15.75" customHeight="1" x14ac:dyDescent="0.3">
      <c r="B493" s="39"/>
      <c r="D493" s="39"/>
    </row>
    <row r="494" spans="2:4" ht="15.75" customHeight="1" x14ac:dyDescent="0.3">
      <c r="B494" s="39"/>
      <c r="D494" s="39"/>
    </row>
    <row r="495" spans="2:4" ht="15.75" customHeight="1" x14ac:dyDescent="0.3">
      <c r="B495" s="39"/>
      <c r="D495" s="39"/>
    </row>
    <row r="496" spans="2:4" ht="15.75" customHeight="1" x14ac:dyDescent="0.3">
      <c r="B496" s="39"/>
      <c r="D496" s="39"/>
    </row>
    <row r="497" spans="2:4" ht="15.75" customHeight="1" x14ac:dyDescent="0.3">
      <c r="B497" s="39"/>
      <c r="D497" s="39"/>
    </row>
    <row r="498" spans="2:4" ht="15.75" customHeight="1" x14ac:dyDescent="0.3">
      <c r="B498" s="39"/>
      <c r="D498" s="39"/>
    </row>
    <row r="499" spans="2:4" ht="15.75" customHeight="1" x14ac:dyDescent="0.3">
      <c r="B499" s="39"/>
      <c r="D499" s="39"/>
    </row>
    <row r="500" spans="2:4" ht="15.75" customHeight="1" x14ac:dyDescent="0.3">
      <c r="B500" s="39"/>
      <c r="D500" s="39"/>
    </row>
    <row r="501" spans="2:4" ht="15.75" customHeight="1" x14ac:dyDescent="0.3">
      <c r="B501" s="39"/>
      <c r="D501" s="39"/>
    </row>
    <row r="502" spans="2:4" ht="15.75" customHeight="1" x14ac:dyDescent="0.3">
      <c r="B502" s="39"/>
      <c r="D502" s="39"/>
    </row>
    <row r="503" spans="2:4" ht="15.75" customHeight="1" x14ac:dyDescent="0.3">
      <c r="B503" s="39"/>
      <c r="D503" s="39"/>
    </row>
    <row r="504" spans="2:4" ht="15.75" customHeight="1" x14ac:dyDescent="0.3">
      <c r="B504" s="39"/>
      <c r="D504" s="39"/>
    </row>
    <row r="505" spans="2:4" ht="15.75" customHeight="1" x14ac:dyDescent="0.3">
      <c r="B505" s="39"/>
      <c r="D505" s="39"/>
    </row>
    <row r="506" spans="2:4" ht="15.75" customHeight="1" x14ac:dyDescent="0.3">
      <c r="B506" s="39"/>
      <c r="D506" s="39"/>
    </row>
    <row r="507" spans="2:4" ht="15.75" customHeight="1" x14ac:dyDescent="0.3">
      <c r="B507" s="39"/>
      <c r="D507" s="39"/>
    </row>
    <row r="508" spans="2:4" ht="15.75" customHeight="1" x14ac:dyDescent="0.3">
      <c r="B508" s="39"/>
      <c r="D508" s="39"/>
    </row>
    <row r="509" spans="2:4" ht="15.75" customHeight="1" x14ac:dyDescent="0.3">
      <c r="B509" s="39"/>
      <c r="D509" s="39"/>
    </row>
    <row r="510" spans="2:4" ht="15.75" customHeight="1" x14ac:dyDescent="0.3">
      <c r="B510" s="39"/>
      <c r="D510" s="39"/>
    </row>
    <row r="511" spans="2:4" ht="15.75" customHeight="1" x14ac:dyDescent="0.3">
      <c r="B511" s="39"/>
      <c r="D511" s="39"/>
    </row>
    <row r="512" spans="2:4" ht="15.75" customHeight="1" x14ac:dyDescent="0.3">
      <c r="B512" s="39"/>
      <c r="D512" s="39"/>
    </row>
    <row r="513" spans="2:4" ht="15.75" customHeight="1" x14ac:dyDescent="0.3">
      <c r="B513" s="39"/>
      <c r="D513" s="39"/>
    </row>
    <row r="514" spans="2:4" ht="15.75" customHeight="1" x14ac:dyDescent="0.3">
      <c r="B514" s="39"/>
      <c r="D514" s="39"/>
    </row>
    <row r="515" spans="2:4" ht="15.75" customHeight="1" x14ac:dyDescent="0.3">
      <c r="B515" s="39"/>
      <c r="D515" s="39"/>
    </row>
    <row r="516" spans="2:4" ht="15.75" customHeight="1" x14ac:dyDescent="0.3">
      <c r="B516" s="39"/>
      <c r="D516" s="39"/>
    </row>
    <row r="517" spans="2:4" ht="15.75" customHeight="1" x14ac:dyDescent="0.3">
      <c r="B517" s="39"/>
      <c r="D517" s="39"/>
    </row>
    <row r="518" spans="2:4" ht="15.75" customHeight="1" x14ac:dyDescent="0.3">
      <c r="B518" s="39"/>
      <c r="D518" s="39"/>
    </row>
    <row r="519" spans="2:4" ht="15.75" customHeight="1" x14ac:dyDescent="0.3">
      <c r="B519" s="39"/>
      <c r="D519" s="39"/>
    </row>
    <row r="520" spans="2:4" ht="15.75" customHeight="1" x14ac:dyDescent="0.3">
      <c r="B520" s="39"/>
      <c r="D520" s="39"/>
    </row>
    <row r="521" spans="2:4" ht="15.75" customHeight="1" x14ac:dyDescent="0.3">
      <c r="B521" s="39"/>
      <c r="D521" s="39"/>
    </row>
    <row r="522" spans="2:4" ht="15.75" customHeight="1" x14ac:dyDescent="0.3">
      <c r="B522" s="39"/>
      <c r="D522" s="39"/>
    </row>
    <row r="523" spans="2:4" ht="15.75" customHeight="1" x14ac:dyDescent="0.3">
      <c r="B523" s="39"/>
      <c r="D523" s="39"/>
    </row>
    <row r="524" spans="2:4" ht="15.75" customHeight="1" x14ac:dyDescent="0.3">
      <c r="B524" s="39"/>
      <c r="D524" s="39"/>
    </row>
    <row r="525" spans="2:4" ht="15.75" customHeight="1" x14ac:dyDescent="0.3">
      <c r="B525" s="39"/>
      <c r="D525" s="39"/>
    </row>
    <row r="526" spans="2:4" ht="15.75" customHeight="1" x14ac:dyDescent="0.3">
      <c r="B526" s="39"/>
      <c r="D526" s="39"/>
    </row>
    <row r="527" spans="2:4" ht="15.75" customHeight="1" x14ac:dyDescent="0.3">
      <c r="B527" s="39"/>
      <c r="D527" s="39"/>
    </row>
    <row r="528" spans="2:4" ht="15.75" customHeight="1" x14ac:dyDescent="0.3">
      <c r="B528" s="39"/>
      <c r="D528" s="39"/>
    </row>
    <row r="529" spans="2:4" ht="15.75" customHeight="1" x14ac:dyDescent="0.3">
      <c r="B529" s="39"/>
      <c r="D529" s="39"/>
    </row>
    <row r="530" spans="2:4" ht="15.75" customHeight="1" x14ac:dyDescent="0.3">
      <c r="B530" s="39"/>
      <c r="D530" s="39"/>
    </row>
    <row r="531" spans="2:4" ht="15.75" customHeight="1" x14ac:dyDescent="0.3">
      <c r="B531" s="39"/>
      <c r="D531" s="39"/>
    </row>
    <row r="532" spans="2:4" ht="15.75" customHeight="1" x14ac:dyDescent="0.3">
      <c r="B532" s="39"/>
      <c r="D532" s="39"/>
    </row>
    <row r="533" spans="2:4" ht="15.75" customHeight="1" x14ac:dyDescent="0.3">
      <c r="B533" s="39"/>
      <c r="D533" s="39"/>
    </row>
    <row r="534" spans="2:4" ht="15.75" customHeight="1" x14ac:dyDescent="0.3">
      <c r="B534" s="39"/>
      <c r="D534" s="39"/>
    </row>
    <row r="535" spans="2:4" ht="15.75" customHeight="1" x14ac:dyDescent="0.3">
      <c r="B535" s="39"/>
      <c r="D535" s="39"/>
    </row>
    <row r="536" spans="2:4" ht="15.75" customHeight="1" x14ac:dyDescent="0.3">
      <c r="B536" s="39"/>
      <c r="D536" s="39"/>
    </row>
    <row r="537" spans="2:4" ht="15.75" customHeight="1" x14ac:dyDescent="0.3">
      <c r="B537" s="39"/>
      <c r="D537" s="39"/>
    </row>
    <row r="538" spans="2:4" ht="15.75" customHeight="1" x14ac:dyDescent="0.3">
      <c r="B538" s="39"/>
      <c r="D538" s="39"/>
    </row>
    <row r="539" spans="2:4" ht="15.75" customHeight="1" x14ac:dyDescent="0.3">
      <c r="B539" s="39"/>
      <c r="D539" s="39"/>
    </row>
    <row r="540" spans="2:4" ht="15.75" customHeight="1" x14ac:dyDescent="0.3">
      <c r="B540" s="39"/>
      <c r="D540" s="39"/>
    </row>
    <row r="541" spans="2:4" ht="15.75" customHeight="1" x14ac:dyDescent="0.3">
      <c r="B541" s="39"/>
      <c r="D541" s="39"/>
    </row>
    <row r="542" spans="2:4" ht="15.75" customHeight="1" x14ac:dyDescent="0.3">
      <c r="B542" s="39"/>
      <c r="D542" s="39"/>
    </row>
    <row r="543" spans="2:4" ht="15.75" customHeight="1" x14ac:dyDescent="0.3">
      <c r="B543" s="39"/>
      <c r="D543" s="39"/>
    </row>
    <row r="544" spans="2:4" ht="15.75" customHeight="1" x14ac:dyDescent="0.3">
      <c r="B544" s="39"/>
      <c r="D544" s="39"/>
    </row>
    <row r="545" spans="2:4" ht="15.75" customHeight="1" x14ac:dyDescent="0.3">
      <c r="B545" s="39"/>
      <c r="D545" s="39"/>
    </row>
    <row r="546" spans="2:4" ht="15.75" customHeight="1" x14ac:dyDescent="0.3">
      <c r="B546" s="39"/>
      <c r="D546" s="39"/>
    </row>
    <row r="547" spans="2:4" ht="15.75" customHeight="1" x14ac:dyDescent="0.3">
      <c r="B547" s="39"/>
      <c r="D547" s="39"/>
    </row>
    <row r="548" spans="2:4" ht="15.75" customHeight="1" x14ac:dyDescent="0.3">
      <c r="B548" s="39"/>
      <c r="D548" s="39"/>
    </row>
    <row r="549" spans="2:4" ht="15.75" customHeight="1" x14ac:dyDescent="0.3">
      <c r="B549" s="39"/>
      <c r="D549" s="39"/>
    </row>
    <row r="550" spans="2:4" ht="15.75" customHeight="1" x14ac:dyDescent="0.3">
      <c r="B550" s="39"/>
      <c r="D550" s="39"/>
    </row>
    <row r="551" spans="2:4" ht="15.75" customHeight="1" x14ac:dyDescent="0.3">
      <c r="B551" s="39"/>
      <c r="D551" s="39"/>
    </row>
    <row r="552" spans="2:4" ht="15.75" customHeight="1" x14ac:dyDescent="0.3">
      <c r="B552" s="39"/>
      <c r="D552" s="39"/>
    </row>
    <row r="553" spans="2:4" ht="15.75" customHeight="1" x14ac:dyDescent="0.3">
      <c r="B553" s="39"/>
      <c r="D553" s="39"/>
    </row>
    <row r="554" spans="2:4" ht="15.75" customHeight="1" x14ac:dyDescent="0.3">
      <c r="B554" s="39"/>
      <c r="D554" s="39"/>
    </row>
    <row r="555" spans="2:4" ht="15.75" customHeight="1" x14ac:dyDescent="0.3">
      <c r="B555" s="39"/>
      <c r="D555" s="39"/>
    </row>
    <row r="556" spans="2:4" ht="15.75" customHeight="1" x14ac:dyDescent="0.3">
      <c r="B556" s="39"/>
      <c r="D556" s="39"/>
    </row>
    <row r="557" spans="2:4" ht="15.75" customHeight="1" x14ac:dyDescent="0.3">
      <c r="B557" s="39"/>
      <c r="D557" s="39"/>
    </row>
    <row r="558" spans="2:4" ht="15.75" customHeight="1" x14ac:dyDescent="0.3">
      <c r="B558" s="39"/>
      <c r="D558" s="39"/>
    </row>
    <row r="559" spans="2:4" ht="15.75" customHeight="1" x14ac:dyDescent="0.3">
      <c r="B559" s="39"/>
      <c r="D559" s="39"/>
    </row>
    <row r="560" spans="2:4" ht="15.75" customHeight="1" x14ac:dyDescent="0.3">
      <c r="B560" s="39"/>
      <c r="D560" s="39"/>
    </row>
    <row r="561" spans="2:4" ht="15.75" customHeight="1" x14ac:dyDescent="0.3">
      <c r="B561" s="39"/>
      <c r="D561" s="39"/>
    </row>
    <row r="562" spans="2:4" ht="15.75" customHeight="1" x14ac:dyDescent="0.3">
      <c r="B562" s="39"/>
      <c r="D562" s="39"/>
    </row>
    <row r="563" spans="2:4" ht="15.75" customHeight="1" x14ac:dyDescent="0.3">
      <c r="B563" s="39"/>
      <c r="D563" s="39"/>
    </row>
    <row r="564" spans="2:4" ht="15.75" customHeight="1" x14ac:dyDescent="0.3">
      <c r="B564" s="39"/>
      <c r="D564" s="39"/>
    </row>
    <row r="565" spans="2:4" ht="15.75" customHeight="1" x14ac:dyDescent="0.3">
      <c r="B565" s="39"/>
      <c r="D565" s="39"/>
    </row>
    <row r="566" spans="2:4" ht="15.75" customHeight="1" x14ac:dyDescent="0.3">
      <c r="B566" s="39"/>
      <c r="D566" s="39"/>
    </row>
    <row r="567" spans="2:4" ht="15.75" customHeight="1" x14ac:dyDescent="0.3">
      <c r="B567" s="39"/>
      <c r="D567" s="39"/>
    </row>
    <row r="568" spans="2:4" ht="15.75" customHeight="1" x14ac:dyDescent="0.3">
      <c r="B568" s="39"/>
      <c r="D568" s="39"/>
    </row>
    <row r="569" spans="2:4" ht="15.75" customHeight="1" x14ac:dyDescent="0.3">
      <c r="B569" s="39"/>
      <c r="D569" s="39"/>
    </row>
    <row r="570" spans="2:4" ht="15.75" customHeight="1" x14ac:dyDescent="0.3">
      <c r="B570" s="39"/>
      <c r="D570" s="39"/>
    </row>
    <row r="571" spans="2:4" ht="15.75" customHeight="1" x14ac:dyDescent="0.3">
      <c r="B571" s="39"/>
      <c r="D571" s="39"/>
    </row>
    <row r="572" spans="2:4" ht="15.75" customHeight="1" x14ac:dyDescent="0.3">
      <c r="B572" s="39"/>
      <c r="D572" s="39"/>
    </row>
    <row r="573" spans="2:4" ht="15.75" customHeight="1" x14ac:dyDescent="0.3">
      <c r="B573" s="39"/>
      <c r="D573" s="39"/>
    </row>
    <row r="574" spans="2:4" ht="15.75" customHeight="1" x14ac:dyDescent="0.3">
      <c r="B574" s="39"/>
      <c r="D574" s="39"/>
    </row>
    <row r="575" spans="2:4" ht="15.75" customHeight="1" x14ac:dyDescent="0.3">
      <c r="B575" s="39"/>
      <c r="D575" s="39"/>
    </row>
    <row r="576" spans="2:4" ht="15.75" customHeight="1" x14ac:dyDescent="0.3">
      <c r="B576" s="39"/>
      <c r="D576" s="39"/>
    </row>
    <row r="577" spans="2:4" ht="15.75" customHeight="1" x14ac:dyDescent="0.3">
      <c r="B577" s="39"/>
      <c r="D577" s="39"/>
    </row>
    <row r="578" spans="2:4" ht="15.75" customHeight="1" x14ac:dyDescent="0.3">
      <c r="B578" s="39"/>
      <c r="D578" s="39"/>
    </row>
    <row r="579" spans="2:4" ht="15.75" customHeight="1" x14ac:dyDescent="0.3">
      <c r="B579" s="39"/>
      <c r="D579" s="39"/>
    </row>
    <row r="580" spans="2:4" ht="15.75" customHeight="1" x14ac:dyDescent="0.3">
      <c r="B580" s="39"/>
      <c r="D580" s="39"/>
    </row>
    <row r="581" spans="2:4" ht="15.75" customHeight="1" x14ac:dyDescent="0.3">
      <c r="B581" s="39"/>
      <c r="D581" s="39"/>
    </row>
    <row r="582" spans="2:4" ht="15.75" customHeight="1" x14ac:dyDescent="0.3">
      <c r="B582" s="39"/>
      <c r="D582" s="39"/>
    </row>
    <row r="583" spans="2:4" ht="15.75" customHeight="1" x14ac:dyDescent="0.3">
      <c r="B583" s="39"/>
      <c r="D583" s="39"/>
    </row>
    <row r="584" spans="2:4" ht="15.75" customHeight="1" x14ac:dyDescent="0.3">
      <c r="B584" s="39"/>
      <c r="D584" s="39"/>
    </row>
    <row r="585" spans="2:4" ht="15.75" customHeight="1" x14ac:dyDescent="0.3">
      <c r="B585" s="39"/>
      <c r="D585" s="39"/>
    </row>
    <row r="586" spans="2:4" ht="15.75" customHeight="1" x14ac:dyDescent="0.3">
      <c r="B586" s="39"/>
      <c r="D586" s="39"/>
    </row>
    <row r="587" spans="2:4" ht="15.75" customHeight="1" x14ac:dyDescent="0.3">
      <c r="B587" s="39"/>
      <c r="D587" s="39"/>
    </row>
    <row r="588" spans="2:4" ht="15.75" customHeight="1" x14ac:dyDescent="0.3">
      <c r="B588" s="39"/>
      <c r="D588" s="39"/>
    </row>
    <row r="589" spans="2:4" ht="15.75" customHeight="1" x14ac:dyDescent="0.3">
      <c r="B589" s="39"/>
      <c r="D589" s="39"/>
    </row>
    <row r="590" spans="2:4" ht="15.75" customHeight="1" x14ac:dyDescent="0.3">
      <c r="B590" s="39"/>
      <c r="D590" s="39"/>
    </row>
    <row r="591" spans="2:4" ht="15.75" customHeight="1" x14ac:dyDescent="0.3">
      <c r="B591" s="39"/>
      <c r="D591" s="39"/>
    </row>
    <row r="592" spans="2:4" ht="15.75" customHeight="1" x14ac:dyDescent="0.3">
      <c r="B592" s="39"/>
      <c r="D592" s="39"/>
    </row>
    <row r="593" spans="2:4" ht="15.75" customHeight="1" x14ac:dyDescent="0.3">
      <c r="B593" s="39"/>
      <c r="D593" s="39"/>
    </row>
    <row r="594" spans="2:4" ht="15.75" customHeight="1" x14ac:dyDescent="0.3">
      <c r="B594" s="39"/>
      <c r="D594" s="39"/>
    </row>
    <row r="595" spans="2:4" ht="15.75" customHeight="1" x14ac:dyDescent="0.3">
      <c r="B595" s="39"/>
      <c r="D595" s="39"/>
    </row>
    <row r="596" spans="2:4" ht="15.75" customHeight="1" x14ac:dyDescent="0.3">
      <c r="B596" s="39"/>
      <c r="D596" s="39"/>
    </row>
    <row r="597" spans="2:4" ht="15.75" customHeight="1" x14ac:dyDescent="0.3">
      <c r="B597" s="39"/>
      <c r="D597" s="39"/>
    </row>
    <row r="598" spans="2:4" ht="15.75" customHeight="1" x14ac:dyDescent="0.3">
      <c r="B598" s="39"/>
      <c r="D598" s="39"/>
    </row>
    <row r="599" spans="2:4" ht="15.75" customHeight="1" x14ac:dyDescent="0.3">
      <c r="B599" s="39"/>
      <c r="D599" s="39"/>
    </row>
    <row r="600" spans="2:4" ht="15.75" customHeight="1" x14ac:dyDescent="0.3">
      <c r="B600" s="39"/>
      <c r="D600" s="39"/>
    </row>
    <row r="601" spans="2:4" ht="15.75" customHeight="1" x14ac:dyDescent="0.3">
      <c r="B601" s="39"/>
      <c r="D601" s="39"/>
    </row>
    <row r="602" spans="2:4" ht="15.75" customHeight="1" x14ac:dyDescent="0.3">
      <c r="B602" s="39"/>
      <c r="D602" s="39"/>
    </row>
    <row r="603" spans="2:4" ht="15.75" customHeight="1" x14ac:dyDescent="0.3">
      <c r="B603" s="39"/>
      <c r="D603" s="39"/>
    </row>
    <row r="604" spans="2:4" ht="15.75" customHeight="1" x14ac:dyDescent="0.3">
      <c r="B604" s="39"/>
      <c r="D604" s="39"/>
    </row>
    <row r="605" spans="2:4" ht="15.75" customHeight="1" x14ac:dyDescent="0.3">
      <c r="B605" s="39"/>
      <c r="D605" s="39"/>
    </row>
    <row r="606" spans="2:4" ht="15.75" customHeight="1" x14ac:dyDescent="0.3">
      <c r="B606" s="39"/>
      <c r="D606" s="39"/>
    </row>
    <row r="607" spans="2:4" ht="15.75" customHeight="1" x14ac:dyDescent="0.3">
      <c r="B607" s="39"/>
      <c r="D607" s="39"/>
    </row>
    <row r="608" spans="2:4" ht="15.75" customHeight="1" x14ac:dyDescent="0.3">
      <c r="B608" s="39"/>
      <c r="D608" s="39"/>
    </row>
    <row r="609" spans="2:4" ht="15.75" customHeight="1" x14ac:dyDescent="0.3">
      <c r="B609" s="39"/>
      <c r="D609" s="39"/>
    </row>
    <row r="610" spans="2:4" ht="15.75" customHeight="1" x14ac:dyDescent="0.3">
      <c r="B610" s="39"/>
      <c r="D610" s="39"/>
    </row>
    <row r="611" spans="2:4" ht="15.75" customHeight="1" x14ac:dyDescent="0.3">
      <c r="B611" s="39"/>
      <c r="D611" s="39"/>
    </row>
    <row r="612" spans="2:4" ht="15.75" customHeight="1" x14ac:dyDescent="0.3">
      <c r="B612" s="39"/>
      <c r="D612" s="39"/>
    </row>
    <row r="613" spans="2:4" ht="15.75" customHeight="1" x14ac:dyDescent="0.3">
      <c r="B613" s="39"/>
      <c r="D613" s="39"/>
    </row>
    <row r="614" spans="2:4" ht="15.75" customHeight="1" x14ac:dyDescent="0.3">
      <c r="B614" s="39"/>
      <c r="D614" s="39"/>
    </row>
    <row r="615" spans="2:4" ht="15.75" customHeight="1" x14ac:dyDescent="0.3">
      <c r="B615" s="39"/>
      <c r="D615" s="39"/>
    </row>
    <row r="616" spans="2:4" ht="15.75" customHeight="1" x14ac:dyDescent="0.3">
      <c r="B616" s="39"/>
      <c r="D616" s="39"/>
    </row>
    <row r="617" spans="2:4" ht="15.75" customHeight="1" x14ac:dyDescent="0.3">
      <c r="B617" s="39"/>
      <c r="D617" s="39"/>
    </row>
    <row r="618" spans="2:4" ht="15.75" customHeight="1" x14ac:dyDescent="0.3">
      <c r="B618" s="39"/>
      <c r="D618" s="39"/>
    </row>
    <row r="619" spans="2:4" ht="15.75" customHeight="1" x14ac:dyDescent="0.3">
      <c r="B619" s="39"/>
      <c r="D619" s="39"/>
    </row>
    <row r="620" spans="2:4" ht="15.75" customHeight="1" x14ac:dyDescent="0.3">
      <c r="B620" s="39"/>
      <c r="D620" s="39"/>
    </row>
    <row r="621" spans="2:4" ht="15.75" customHeight="1" x14ac:dyDescent="0.3">
      <c r="B621" s="39"/>
      <c r="D621" s="39"/>
    </row>
    <row r="622" spans="2:4" ht="15.75" customHeight="1" x14ac:dyDescent="0.3">
      <c r="B622" s="39"/>
      <c r="D622" s="39"/>
    </row>
    <row r="623" spans="2:4" ht="15.75" customHeight="1" x14ac:dyDescent="0.3">
      <c r="B623" s="39"/>
      <c r="D623" s="39"/>
    </row>
    <row r="624" spans="2:4" ht="15.75" customHeight="1" x14ac:dyDescent="0.3">
      <c r="B624" s="39"/>
      <c r="D624" s="39"/>
    </row>
    <row r="625" spans="2:4" ht="15.75" customHeight="1" x14ac:dyDescent="0.3">
      <c r="B625" s="39"/>
      <c r="D625" s="39"/>
    </row>
    <row r="626" spans="2:4" ht="15.75" customHeight="1" x14ac:dyDescent="0.3">
      <c r="B626" s="39"/>
      <c r="D626" s="39"/>
    </row>
    <row r="627" spans="2:4" ht="15.75" customHeight="1" x14ac:dyDescent="0.3">
      <c r="B627" s="39"/>
      <c r="D627" s="39"/>
    </row>
    <row r="628" spans="2:4" ht="15.75" customHeight="1" x14ac:dyDescent="0.3">
      <c r="B628" s="39"/>
      <c r="D628" s="39"/>
    </row>
    <row r="629" spans="2:4" ht="15.75" customHeight="1" x14ac:dyDescent="0.3">
      <c r="B629" s="39"/>
      <c r="D629" s="39"/>
    </row>
    <row r="630" spans="2:4" ht="15.75" customHeight="1" x14ac:dyDescent="0.3">
      <c r="B630" s="39"/>
      <c r="D630" s="39"/>
    </row>
    <row r="631" spans="2:4" ht="15.75" customHeight="1" x14ac:dyDescent="0.3">
      <c r="B631" s="39"/>
      <c r="D631" s="39"/>
    </row>
    <row r="632" spans="2:4" ht="15.75" customHeight="1" x14ac:dyDescent="0.3">
      <c r="B632" s="39"/>
      <c r="D632" s="39"/>
    </row>
    <row r="633" spans="2:4" ht="15.75" customHeight="1" x14ac:dyDescent="0.3">
      <c r="B633" s="39"/>
      <c r="D633" s="39"/>
    </row>
    <row r="634" spans="2:4" ht="15.75" customHeight="1" x14ac:dyDescent="0.3">
      <c r="B634" s="39"/>
      <c r="D634" s="39"/>
    </row>
    <row r="635" spans="2:4" ht="15.75" customHeight="1" x14ac:dyDescent="0.3">
      <c r="B635" s="39"/>
      <c r="D635" s="39"/>
    </row>
    <row r="636" spans="2:4" ht="15.75" customHeight="1" x14ac:dyDescent="0.3">
      <c r="B636" s="39"/>
      <c r="D636" s="39"/>
    </row>
    <row r="637" spans="2:4" ht="15.75" customHeight="1" x14ac:dyDescent="0.3">
      <c r="B637" s="39"/>
      <c r="D637" s="39"/>
    </row>
    <row r="638" spans="2:4" ht="15.75" customHeight="1" x14ac:dyDescent="0.3">
      <c r="B638" s="39"/>
      <c r="D638" s="39"/>
    </row>
    <row r="639" spans="2:4" ht="15.75" customHeight="1" x14ac:dyDescent="0.3">
      <c r="B639" s="39"/>
      <c r="D639" s="39"/>
    </row>
    <row r="640" spans="2:4" ht="15.75" customHeight="1" x14ac:dyDescent="0.3">
      <c r="B640" s="39"/>
      <c r="D640" s="39"/>
    </row>
    <row r="641" spans="2:4" ht="15.75" customHeight="1" x14ac:dyDescent="0.3">
      <c r="B641" s="39"/>
      <c r="D641" s="39"/>
    </row>
    <row r="642" spans="2:4" ht="15.75" customHeight="1" x14ac:dyDescent="0.3">
      <c r="B642" s="39"/>
      <c r="D642" s="39"/>
    </row>
    <row r="643" spans="2:4" ht="15.75" customHeight="1" x14ac:dyDescent="0.3">
      <c r="B643" s="39"/>
      <c r="D643" s="39"/>
    </row>
    <row r="644" spans="2:4" ht="15.75" customHeight="1" x14ac:dyDescent="0.3">
      <c r="B644" s="39"/>
      <c r="D644" s="39"/>
    </row>
    <row r="645" spans="2:4" ht="15.75" customHeight="1" x14ac:dyDescent="0.3">
      <c r="B645" s="39"/>
      <c r="D645" s="39"/>
    </row>
    <row r="646" spans="2:4" ht="15.75" customHeight="1" x14ac:dyDescent="0.3">
      <c r="B646" s="39"/>
      <c r="D646" s="39"/>
    </row>
    <row r="647" spans="2:4" ht="15.75" customHeight="1" x14ac:dyDescent="0.3">
      <c r="B647" s="39"/>
      <c r="D647" s="39"/>
    </row>
    <row r="648" spans="2:4" ht="15.75" customHeight="1" x14ac:dyDescent="0.3">
      <c r="B648" s="39"/>
      <c r="D648" s="39"/>
    </row>
    <row r="649" spans="2:4" ht="15.75" customHeight="1" x14ac:dyDescent="0.3">
      <c r="B649" s="39"/>
      <c r="D649" s="39"/>
    </row>
    <row r="650" spans="2:4" ht="15.75" customHeight="1" x14ac:dyDescent="0.3">
      <c r="B650" s="39"/>
      <c r="D650" s="39"/>
    </row>
    <row r="651" spans="2:4" ht="15.75" customHeight="1" x14ac:dyDescent="0.3">
      <c r="B651" s="39"/>
      <c r="D651" s="39"/>
    </row>
    <row r="652" spans="2:4" ht="15.75" customHeight="1" x14ac:dyDescent="0.3">
      <c r="B652" s="39"/>
      <c r="D652" s="39"/>
    </row>
    <row r="653" spans="2:4" ht="15.75" customHeight="1" x14ac:dyDescent="0.3">
      <c r="B653" s="39"/>
      <c r="D653" s="39"/>
    </row>
    <row r="654" spans="2:4" ht="15.75" customHeight="1" x14ac:dyDescent="0.3">
      <c r="B654" s="39"/>
      <c r="D654" s="39"/>
    </row>
    <row r="655" spans="2:4" ht="15.75" customHeight="1" x14ac:dyDescent="0.3">
      <c r="B655" s="39"/>
      <c r="D655" s="39"/>
    </row>
    <row r="656" spans="2:4" ht="15.75" customHeight="1" x14ac:dyDescent="0.3">
      <c r="B656" s="39"/>
      <c r="D656" s="39"/>
    </row>
    <row r="657" spans="2:4" ht="15.75" customHeight="1" x14ac:dyDescent="0.3">
      <c r="B657" s="39"/>
      <c r="D657" s="39"/>
    </row>
    <row r="658" spans="2:4" ht="15.75" customHeight="1" x14ac:dyDescent="0.3">
      <c r="B658" s="39"/>
      <c r="D658" s="39"/>
    </row>
    <row r="659" spans="2:4" ht="15.75" customHeight="1" x14ac:dyDescent="0.3">
      <c r="B659" s="39"/>
      <c r="D659" s="39"/>
    </row>
    <row r="660" spans="2:4" ht="15.75" customHeight="1" x14ac:dyDescent="0.3">
      <c r="B660" s="39"/>
      <c r="D660" s="39"/>
    </row>
    <row r="661" spans="2:4" ht="15.75" customHeight="1" x14ac:dyDescent="0.3">
      <c r="B661" s="39"/>
      <c r="D661" s="39"/>
    </row>
    <row r="662" spans="2:4" ht="15.75" customHeight="1" x14ac:dyDescent="0.3">
      <c r="B662" s="39"/>
      <c r="D662" s="39"/>
    </row>
    <row r="663" spans="2:4" ht="15.75" customHeight="1" x14ac:dyDescent="0.3">
      <c r="B663" s="39"/>
      <c r="D663" s="39"/>
    </row>
    <row r="664" spans="2:4" ht="15.75" customHeight="1" x14ac:dyDescent="0.3">
      <c r="B664" s="39"/>
      <c r="D664" s="39"/>
    </row>
    <row r="665" spans="2:4" ht="15.75" customHeight="1" x14ac:dyDescent="0.3">
      <c r="B665" s="39"/>
      <c r="D665" s="39"/>
    </row>
    <row r="666" spans="2:4" ht="15.75" customHeight="1" x14ac:dyDescent="0.3">
      <c r="B666" s="39"/>
      <c r="D666" s="39"/>
    </row>
    <row r="667" spans="2:4" ht="15.75" customHeight="1" x14ac:dyDescent="0.3">
      <c r="B667" s="39"/>
      <c r="D667" s="39"/>
    </row>
    <row r="668" spans="2:4" ht="15.75" customHeight="1" x14ac:dyDescent="0.3">
      <c r="B668" s="39"/>
      <c r="D668" s="39"/>
    </row>
    <row r="669" spans="2:4" ht="15.75" customHeight="1" x14ac:dyDescent="0.3">
      <c r="B669" s="39"/>
      <c r="D669" s="39"/>
    </row>
    <row r="670" spans="2:4" ht="15.75" customHeight="1" x14ac:dyDescent="0.3">
      <c r="B670" s="39"/>
      <c r="D670" s="39"/>
    </row>
    <row r="671" spans="2:4" ht="15.75" customHeight="1" x14ac:dyDescent="0.3">
      <c r="B671" s="39"/>
      <c r="D671" s="39"/>
    </row>
    <row r="672" spans="2:4" ht="15.75" customHeight="1" x14ac:dyDescent="0.3">
      <c r="B672" s="39"/>
      <c r="D672" s="39"/>
    </row>
    <row r="673" spans="2:4" ht="15.75" customHeight="1" x14ac:dyDescent="0.3">
      <c r="B673" s="39"/>
      <c r="D673" s="39"/>
    </row>
    <row r="674" spans="2:4" ht="15.75" customHeight="1" x14ac:dyDescent="0.3">
      <c r="B674" s="39"/>
      <c r="D674" s="39"/>
    </row>
    <row r="675" spans="2:4" ht="15.75" customHeight="1" x14ac:dyDescent="0.3">
      <c r="B675" s="39"/>
      <c r="D675" s="39"/>
    </row>
    <row r="676" spans="2:4" ht="15.75" customHeight="1" x14ac:dyDescent="0.3">
      <c r="B676" s="39"/>
      <c r="D676" s="39"/>
    </row>
    <row r="677" spans="2:4" ht="15.75" customHeight="1" x14ac:dyDescent="0.3">
      <c r="B677" s="39"/>
      <c r="D677" s="39"/>
    </row>
    <row r="678" spans="2:4" ht="15.75" customHeight="1" x14ac:dyDescent="0.3">
      <c r="B678" s="39"/>
      <c r="D678" s="39"/>
    </row>
    <row r="679" spans="2:4" ht="15.75" customHeight="1" x14ac:dyDescent="0.3">
      <c r="B679" s="39"/>
      <c r="D679" s="39"/>
    </row>
    <row r="680" spans="2:4" ht="15.75" customHeight="1" x14ac:dyDescent="0.3">
      <c r="B680" s="39"/>
      <c r="D680" s="39"/>
    </row>
    <row r="681" spans="2:4" ht="15.75" customHeight="1" x14ac:dyDescent="0.3">
      <c r="B681" s="39"/>
      <c r="D681" s="39"/>
    </row>
    <row r="682" spans="2:4" ht="15.75" customHeight="1" x14ac:dyDescent="0.3">
      <c r="B682" s="39"/>
      <c r="D682" s="39"/>
    </row>
    <row r="683" spans="2:4" ht="15.75" customHeight="1" x14ac:dyDescent="0.3">
      <c r="B683" s="39"/>
      <c r="D683" s="39"/>
    </row>
    <row r="684" spans="2:4" ht="15.75" customHeight="1" x14ac:dyDescent="0.3">
      <c r="B684" s="39"/>
      <c r="D684" s="39"/>
    </row>
    <row r="685" spans="2:4" ht="15.75" customHeight="1" x14ac:dyDescent="0.3">
      <c r="B685" s="39"/>
      <c r="D685" s="39"/>
    </row>
    <row r="686" spans="2:4" ht="15.75" customHeight="1" x14ac:dyDescent="0.3">
      <c r="B686" s="39"/>
      <c r="D686" s="39"/>
    </row>
    <row r="687" spans="2:4" ht="15.75" customHeight="1" x14ac:dyDescent="0.3">
      <c r="B687" s="39"/>
      <c r="D687" s="39"/>
    </row>
    <row r="688" spans="2:4" ht="15.75" customHeight="1" x14ac:dyDescent="0.3">
      <c r="B688" s="39"/>
      <c r="D688" s="39"/>
    </row>
    <row r="689" spans="2:4" ht="15.75" customHeight="1" x14ac:dyDescent="0.3">
      <c r="B689" s="39"/>
      <c r="D689" s="39"/>
    </row>
    <row r="690" spans="2:4" ht="15.75" customHeight="1" x14ac:dyDescent="0.3">
      <c r="B690" s="39"/>
      <c r="D690" s="39"/>
    </row>
    <row r="691" spans="2:4" ht="15.75" customHeight="1" x14ac:dyDescent="0.3">
      <c r="B691" s="39"/>
      <c r="D691" s="39"/>
    </row>
    <row r="692" spans="2:4" ht="15.75" customHeight="1" x14ac:dyDescent="0.3">
      <c r="B692" s="39"/>
      <c r="D692" s="39"/>
    </row>
    <row r="693" spans="2:4" ht="15.75" customHeight="1" x14ac:dyDescent="0.3">
      <c r="B693" s="39"/>
      <c r="D693" s="39"/>
    </row>
    <row r="694" spans="2:4" ht="15.75" customHeight="1" x14ac:dyDescent="0.3">
      <c r="B694" s="39"/>
      <c r="D694" s="39"/>
    </row>
    <row r="695" spans="2:4" ht="15.75" customHeight="1" x14ac:dyDescent="0.3">
      <c r="B695" s="39"/>
      <c r="D695" s="39"/>
    </row>
    <row r="696" spans="2:4" ht="15.75" customHeight="1" x14ac:dyDescent="0.3">
      <c r="B696" s="39"/>
      <c r="D696" s="39"/>
    </row>
    <row r="697" spans="2:4" ht="15.75" customHeight="1" x14ac:dyDescent="0.3">
      <c r="B697" s="39"/>
      <c r="D697" s="39"/>
    </row>
    <row r="698" spans="2:4" ht="15.75" customHeight="1" x14ac:dyDescent="0.3">
      <c r="B698" s="39"/>
      <c r="D698" s="39"/>
    </row>
    <row r="699" spans="2:4" ht="15.75" customHeight="1" x14ac:dyDescent="0.3">
      <c r="B699" s="39"/>
      <c r="D699" s="39"/>
    </row>
    <row r="700" spans="2:4" ht="15.75" customHeight="1" x14ac:dyDescent="0.3">
      <c r="B700" s="39"/>
      <c r="D700" s="39"/>
    </row>
    <row r="701" spans="2:4" ht="15.75" customHeight="1" x14ac:dyDescent="0.3">
      <c r="B701" s="39"/>
      <c r="D701" s="39"/>
    </row>
    <row r="702" spans="2:4" ht="15.75" customHeight="1" x14ac:dyDescent="0.3">
      <c r="B702" s="39"/>
      <c r="D702" s="39"/>
    </row>
    <row r="703" spans="2:4" ht="15.75" customHeight="1" x14ac:dyDescent="0.3">
      <c r="B703" s="39"/>
      <c r="D703" s="39"/>
    </row>
    <row r="704" spans="2:4" ht="15.75" customHeight="1" x14ac:dyDescent="0.3">
      <c r="B704" s="39"/>
      <c r="D704" s="39"/>
    </row>
    <row r="705" spans="2:4" ht="15.75" customHeight="1" x14ac:dyDescent="0.3">
      <c r="B705" s="39"/>
      <c r="D705" s="39"/>
    </row>
    <row r="706" spans="2:4" ht="15.75" customHeight="1" x14ac:dyDescent="0.3">
      <c r="B706" s="39"/>
      <c r="D706" s="39"/>
    </row>
    <row r="707" spans="2:4" ht="15.75" customHeight="1" x14ac:dyDescent="0.3">
      <c r="B707" s="39"/>
      <c r="D707" s="39"/>
    </row>
    <row r="708" spans="2:4" ht="15.75" customHeight="1" x14ac:dyDescent="0.3">
      <c r="B708" s="39"/>
      <c r="D708" s="39"/>
    </row>
    <row r="709" spans="2:4" ht="15.75" customHeight="1" x14ac:dyDescent="0.3">
      <c r="B709" s="39"/>
      <c r="D709" s="39"/>
    </row>
    <row r="710" spans="2:4" ht="15.75" customHeight="1" x14ac:dyDescent="0.3">
      <c r="B710" s="39"/>
      <c r="D710" s="39"/>
    </row>
    <row r="711" spans="2:4" ht="15.75" customHeight="1" x14ac:dyDescent="0.3">
      <c r="B711" s="39"/>
      <c r="D711" s="39"/>
    </row>
    <row r="712" spans="2:4" ht="15.75" customHeight="1" x14ac:dyDescent="0.3">
      <c r="B712" s="39"/>
      <c r="D712" s="39"/>
    </row>
    <row r="713" spans="2:4" ht="15.75" customHeight="1" x14ac:dyDescent="0.3">
      <c r="B713" s="39"/>
      <c r="D713" s="39"/>
    </row>
    <row r="714" spans="2:4" ht="15.75" customHeight="1" x14ac:dyDescent="0.3">
      <c r="B714" s="39"/>
      <c r="D714" s="39"/>
    </row>
    <row r="715" spans="2:4" ht="15.75" customHeight="1" x14ac:dyDescent="0.3">
      <c r="B715" s="39"/>
      <c r="D715" s="39"/>
    </row>
    <row r="716" spans="2:4" ht="15.75" customHeight="1" x14ac:dyDescent="0.3">
      <c r="B716" s="39"/>
      <c r="D716" s="39"/>
    </row>
    <row r="717" spans="2:4" ht="15.75" customHeight="1" x14ac:dyDescent="0.3">
      <c r="B717" s="39"/>
      <c r="D717" s="39"/>
    </row>
    <row r="718" spans="2:4" ht="15.75" customHeight="1" x14ac:dyDescent="0.3">
      <c r="B718" s="39"/>
      <c r="D718" s="39"/>
    </row>
    <row r="719" spans="2:4" ht="15.75" customHeight="1" x14ac:dyDescent="0.3">
      <c r="B719" s="39"/>
      <c r="D719" s="39"/>
    </row>
    <row r="720" spans="2:4" ht="15.75" customHeight="1" x14ac:dyDescent="0.3">
      <c r="B720" s="39"/>
      <c r="D720" s="39"/>
    </row>
    <row r="721" spans="2:4" ht="15.75" customHeight="1" x14ac:dyDescent="0.3">
      <c r="B721" s="39"/>
      <c r="D721" s="39"/>
    </row>
    <row r="722" spans="2:4" ht="15.75" customHeight="1" x14ac:dyDescent="0.3">
      <c r="B722" s="39"/>
      <c r="D722" s="39"/>
    </row>
    <row r="723" spans="2:4" ht="15.75" customHeight="1" x14ac:dyDescent="0.3">
      <c r="B723" s="39"/>
      <c r="D723" s="39"/>
    </row>
    <row r="724" spans="2:4" ht="15.75" customHeight="1" x14ac:dyDescent="0.3">
      <c r="B724" s="39"/>
      <c r="D724" s="39"/>
    </row>
    <row r="725" spans="2:4" ht="15.75" customHeight="1" x14ac:dyDescent="0.3">
      <c r="B725" s="39"/>
      <c r="D725" s="39"/>
    </row>
    <row r="726" spans="2:4" ht="15.75" customHeight="1" x14ac:dyDescent="0.3">
      <c r="B726" s="39"/>
      <c r="D726" s="39"/>
    </row>
    <row r="727" spans="2:4" ht="15.75" customHeight="1" x14ac:dyDescent="0.3">
      <c r="B727" s="39"/>
      <c r="D727" s="39"/>
    </row>
    <row r="728" spans="2:4" ht="15.75" customHeight="1" x14ac:dyDescent="0.3">
      <c r="B728" s="39"/>
      <c r="D728" s="39"/>
    </row>
    <row r="729" spans="2:4" ht="15.75" customHeight="1" x14ac:dyDescent="0.3">
      <c r="B729" s="39"/>
      <c r="D729" s="39"/>
    </row>
    <row r="730" spans="2:4" ht="15.75" customHeight="1" x14ac:dyDescent="0.3">
      <c r="B730" s="39"/>
      <c r="D730" s="39"/>
    </row>
    <row r="731" spans="2:4" ht="15.75" customHeight="1" x14ac:dyDescent="0.3">
      <c r="B731" s="39"/>
      <c r="D731" s="39"/>
    </row>
    <row r="732" spans="2:4" ht="15.75" customHeight="1" x14ac:dyDescent="0.3">
      <c r="B732" s="39"/>
      <c r="D732" s="39"/>
    </row>
    <row r="733" spans="2:4" ht="15.75" customHeight="1" x14ac:dyDescent="0.3">
      <c r="B733" s="39"/>
      <c r="D733" s="39"/>
    </row>
    <row r="734" spans="2:4" ht="15.75" customHeight="1" x14ac:dyDescent="0.3">
      <c r="B734" s="39"/>
      <c r="D734" s="39"/>
    </row>
    <row r="735" spans="2:4" ht="15.75" customHeight="1" x14ac:dyDescent="0.3">
      <c r="B735" s="39"/>
      <c r="D735" s="39"/>
    </row>
    <row r="736" spans="2:4" ht="15.75" customHeight="1" x14ac:dyDescent="0.3">
      <c r="B736" s="39"/>
      <c r="D736" s="39"/>
    </row>
    <row r="737" spans="2:4" ht="15.75" customHeight="1" x14ac:dyDescent="0.3">
      <c r="B737" s="39"/>
      <c r="D737" s="39"/>
    </row>
    <row r="738" spans="2:4" ht="15.75" customHeight="1" x14ac:dyDescent="0.3">
      <c r="B738" s="39"/>
      <c r="D738" s="39"/>
    </row>
    <row r="739" spans="2:4" ht="15.75" customHeight="1" x14ac:dyDescent="0.3">
      <c r="B739" s="39"/>
      <c r="D739" s="39"/>
    </row>
    <row r="740" spans="2:4" ht="15.75" customHeight="1" x14ac:dyDescent="0.3">
      <c r="B740" s="39"/>
      <c r="D740" s="39"/>
    </row>
    <row r="741" spans="2:4" ht="15.75" customHeight="1" x14ac:dyDescent="0.3">
      <c r="B741" s="39"/>
      <c r="D741" s="39"/>
    </row>
    <row r="742" spans="2:4" ht="15.75" customHeight="1" x14ac:dyDescent="0.3">
      <c r="B742" s="39"/>
      <c r="D742" s="39"/>
    </row>
    <row r="743" spans="2:4" ht="15.75" customHeight="1" x14ac:dyDescent="0.3">
      <c r="B743" s="39"/>
      <c r="D743" s="39"/>
    </row>
    <row r="744" spans="2:4" ht="15.75" customHeight="1" x14ac:dyDescent="0.3">
      <c r="B744" s="39"/>
      <c r="D744" s="39"/>
    </row>
    <row r="745" spans="2:4" ht="15.75" customHeight="1" x14ac:dyDescent="0.3">
      <c r="B745" s="39"/>
      <c r="D745" s="39"/>
    </row>
    <row r="746" spans="2:4" ht="15.75" customHeight="1" x14ac:dyDescent="0.3">
      <c r="B746" s="39"/>
      <c r="D746" s="39"/>
    </row>
    <row r="747" spans="2:4" ht="15.75" customHeight="1" x14ac:dyDescent="0.3">
      <c r="B747" s="39"/>
      <c r="D747" s="39"/>
    </row>
    <row r="748" spans="2:4" ht="15.75" customHeight="1" x14ac:dyDescent="0.3">
      <c r="B748" s="39"/>
      <c r="D748" s="39"/>
    </row>
    <row r="749" spans="2:4" ht="15.75" customHeight="1" x14ac:dyDescent="0.3">
      <c r="B749" s="39"/>
      <c r="D749" s="39"/>
    </row>
    <row r="750" spans="2:4" ht="15.75" customHeight="1" x14ac:dyDescent="0.3">
      <c r="B750" s="39"/>
      <c r="D750" s="39"/>
    </row>
    <row r="751" spans="2:4" ht="15.75" customHeight="1" x14ac:dyDescent="0.3">
      <c r="B751" s="39"/>
      <c r="D751" s="39"/>
    </row>
    <row r="752" spans="2:4" ht="15.75" customHeight="1" x14ac:dyDescent="0.3">
      <c r="B752" s="39"/>
      <c r="D752" s="39"/>
    </row>
    <row r="753" spans="2:4" ht="15.75" customHeight="1" x14ac:dyDescent="0.3">
      <c r="B753" s="39"/>
      <c r="D753" s="39"/>
    </row>
    <row r="754" spans="2:4" ht="15.75" customHeight="1" x14ac:dyDescent="0.3">
      <c r="B754" s="39"/>
      <c r="D754" s="39"/>
    </row>
    <row r="755" spans="2:4" ht="15.75" customHeight="1" x14ac:dyDescent="0.3">
      <c r="B755" s="39"/>
      <c r="D755" s="39"/>
    </row>
    <row r="756" spans="2:4" ht="15.75" customHeight="1" x14ac:dyDescent="0.3">
      <c r="B756" s="39"/>
      <c r="D756" s="39"/>
    </row>
    <row r="757" spans="2:4" ht="15.75" customHeight="1" x14ac:dyDescent="0.3">
      <c r="B757" s="39"/>
      <c r="D757" s="39"/>
    </row>
    <row r="758" spans="2:4" ht="15.75" customHeight="1" x14ac:dyDescent="0.3">
      <c r="B758" s="39"/>
      <c r="D758" s="39"/>
    </row>
    <row r="759" spans="2:4" ht="15.75" customHeight="1" x14ac:dyDescent="0.3">
      <c r="B759" s="39"/>
      <c r="D759" s="39"/>
    </row>
    <row r="760" spans="2:4" ht="15.75" customHeight="1" x14ac:dyDescent="0.3">
      <c r="B760" s="39"/>
      <c r="D760" s="39"/>
    </row>
    <row r="761" spans="2:4" ht="15.75" customHeight="1" x14ac:dyDescent="0.3">
      <c r="B761" s="39"/>
      <c r="D761" s="39"/>
    </row>
    <row r="762" spans="2:4" ht="15.75" customHeight="1" x14ac:dyDescent="0.3">
      <c r="B762" s="39"/>
      <c r="D762" s="39"/>
    </row>
    <row r="763" spans="2:4" ht="15.75" customHeight="1" x14ac:dyDescent="0.3">
      <c r="B763" s="39"/>
      <c r="D763" s="39"/>
    </row>
    <row r="764" spans="2:4" ht="15.75" customHeight="1" x14ac:dyDescent="0.3">
      <c r="B764" s="39"/>
      <c r="D764" s="39"/>
    </row>
    <row r="765" spans="2:4" ht="15.75" customHeight="1" x14ac:dyDescent="0.3">
      <c r="B765" s="39"/>
      <c r="D765" s="39"/>
    </row>
    <row r="766" spans="2:4" ht="15.75" customHeight="1" x14ac:dyDescent="0.3">
      <c r="B766" s="39"/>
      <c r="D766" s="39"/>
    </row>
    <row r="767" spans="2:4" ht="15.75" customHeight="1" x14ac:dyDescent="0.3">
      <c r="B767" s="39"/>
      <c r="D767" s="39"/>
    </row>
    <row r="768" spans="2:4" ht="15.75" customHeight="1" x14ac:dyDescent="0.3">
      <c r="B768" s="39"/>
      <c r="D768" s="39"/>
    </row>
    <row r="769" spans="2:4" ht="15.75" customHeight="1" x14ac:dyDescent="0.3">
      <c r="B769" s="39"/>
      <c r="D769" s="39"/>
    </row>
    <row r="770" spans="2:4" ht="15.75" customHeight="1" x14ac:dyDescent="0.3">
      <c r="B770" s="39"/>
      <c r="D770" s="39"/>
    </row>
    <row r="771" spans="2:4" ht="15.75" customHeight="1" x14ac:dyDescent="0.3">
      <c r="B771" s="39"/>
      <c r="D771" s="39"/>
    </row>
    <row r="772" spans="2:4" ht="15.75" customHeight="1" x14ac:dyDescent="0.3">
      <c r="B772" s="39"/>
      <c r="D772" s="39"/>
    </row>
    <row r="773" spans="2:4" ht="15.75" customHeight="1" x14ac:dyDescent="0.3">
      <c r="B773" s="39"/>
      <c r="D773" s="39"/>
    </row>
    <row r="774" spans="2:4" ht="15.75" customHeight="1" x14ac:dyDescent="0.3">
      <c r="B774" s="39"/>
      <c r="D774" s="39"/>
    </row>
    <row r="775" spans="2:4" ht="15.75" customHeight="1" x14ac:dyDescent="0.3">
      <c r="B775" s="39"/>
      <c r="D775" s="39"/>
    </row>
    <row r="776" spans="2:4" ht="15.75" customHeight="1" x14ac:dyDescent="0.3">
      <c r="B776" s="39"/>
      <c r="D776" s="39"/>
    </row>
    <row r="777" spans="2:4" ht="15.75" customHeight="1" x14ac:dyDescent="0.3">
      <c r="B777" s="39"/>
      <c r="D777" s="39"/>
    </row>
    <row r="778" spans="2:4" ht="15.75" customHeight="1" x14ac:dyDescent="0.3">
      <c r="B778" s="39"/>
      <c r="D778" s="39"/>
    </row>
    <row r="779" spans="2:4" ht="15.75" customHeight="1" x14ac:dyDescent="0.3">
      <c r="B779" s="39"/>
      <c r="D779" s="39"/>
    </row>
    <row r="780" spans="2:4" ht="15.75" customHeight="1" x14ac:dyDescent="0.3">
      <c r="B780" s="39"/>
      <c r="D780" s="39"/>
    </row>
    <row r="781" spans="2:4" ht="15.75" customHeight="1" x14ac:dyDescent="0.3">
      <c r="B781" s="39"/>
      <c r="D781" s="39"/>
    </row>
    <row r="782" spans="2:4" ht="15.75" customHeight="1" x14ac:dyDescent="0.3">
      <c r="B782" s="39"/>
      <c r="D782" s="39"/>
    </row>
    <row r="783" spans="2:4" ht="15.75" customHeight="1" x14ac:dyDescent="0.3">
      <c r="B783" s="39"/>
      <c r="D783" s="39"/>
    </row>
    <row r="784" spans="2:4" ht="15.75" customHeight="1" x14ac:dyDescent="0.3">
      <c r="B784" s="39"/>
      <c r="D784" s="39"/>
    </row>
    <row r="785" spans="2:4" ht="15.75" customHeight="1" x14ac:dyDescent="0.3">
      <c r="B785" s="39"/>
      <c r="D785" s="39"/>
    </row>
    <row r="786" spans="2:4" ht="15.75" customHeight="1" x14ac:dyDescent="0.3">
      <c r="B786" s="39"/>
      <c r="D786" s="39"/>
    </row>
    <row r="787" spans="2:4" ht="15.75" customHeight="1" x14ac:dyDescent="0.3">
      <c r="B787" s="39"/>
      <c r="D787" s="39"/>
    </row>
    <row r="788" spans="2:4" ht="15.75" customHeight="1" x14ac:dyDescent="0.3">
      <c r="B788" s="39"/>
      <c r="D788" s="39"/>
    </row>
    <row r="789" spans="2:4" ht="15.75" customHeight="1" x14ac:dyDescent="0.3">
      <c r="B789" s="39"/>
      <c r="D789" s="39"/>
    </row>
    <row r="790" spans="2:4" ht="15.75" customHeight="1" x14ac:dyDescent="0.3">
      <c r="B790" s="39"/>
      <c r="D790" s="39"/>
    </row>
    <row r="791" spans="2:4" ht="15.75" customHeight="1" x14ac:dyDescent="0.3">
      <c r="B791" s="39"/>
      <c r="D791" s="39"/>
    </row>
    <row r="792" spans="2:4" ht="15.75" customHeight="1" x14ac:dyDescent="0.3">
      <c r="B792" s="39"/>
      <c r="D792" s="39"/>
    </row>
    <row r="793" spans="2:4" ht="15.75" customHeight="1" x14ac:dyDescent="0.3">
      <c r="B793" s="39"/>
      <c r="D793" s="39"/>
    </row>
    <row r="794" spans="2:4" ht="15.75" customHeight="1" x14ac:dyDescent="0.3">
      <c r="B794" s="39"/>
      <c r="D794" s="39"/>
    </row>
    <row r="795" spans="2:4" ht="15.75" customHeight="1" x14ac:dyDescent="0.3">
      <c r="B795" s="39"/>
      <c r="D795" s="39"/>
    </row>
    <row r="796" spans="2:4" ht="15.75" customHeight="1" x14ac:dyDescent="0.3">
      <c r="B796" s="39"/>
      <c r="D796" s="39"/>
    </row>
    <row r="797" spans="2:4" ht="15.75" customHeight="1" x14ac:dyDescent="0.3">
      <c r="B797" s="39"/>
      <c r="D797" s="39"/>
    </row>
    <row r="798" spans="2:4" ht="15.75" customHeight="1" x14ac:dyDescent="0.3">
      <c r="B798" s="39"/>
      <c r="D798" s="39"/>
    </row>
    <row r="799" spans="2:4" ht="15.75" customHeight="1" x14ac:dyDescent="0.3">
      <c r="B799" s="39"/>
      <c r="D799" s="39"/>
    </row>
    <row r="800" spans="2:4" ht="15.75" customHeight="1" x14ac:dyDescent="0.3">
      <c r="B800" s="39"/>
      <c r="D800" s="39"/>
    </row>
    <row r="801" spans="2:4" ht="15.75" customHeight="1" x14ac:dyDescent="0.3">
      <c r="B801" s="39"/>
      <c r="D801" s="39"/>
    </row>
    <row r="802" spans="2:4" ht="15.75" customHeight="1" x14ac:dyDescent="0.3">
      <c r="B802" s="39"/>
      <c r="D802" s="39"/>
    </row>
    <row r="803" spans="2:4" ht="15.75" customHeight="1" x14ac:dyDescent="0.3">
      <c r="B803" s="39"/>
      <c r="D803" s="39"/>
    </row>
    <row r="804" spans="2:4" ht="15.75" customHeight="1" x14ac:dyDescent="0.3">
      <c r="B804" s="39"/>
      <c r="D804" s="39"/>
    </row>
    <row r="805" spans="2:4" ht="15.75" customHeight="1" x14ac:dyDescent="0.3">
      <c r="B805" s="39"/>
      <c r="D805" s="39"/>
    </row>
    <row r="806" spans="2:4" ht="15.75" customHeight="1" x14ac:dyDescent="0.3">
      <c r="B806" s="39"/>
      <c r="D806" s="39"/>
    </row>
    <row r="807" spans="2:4" ht="15.75" customHeight="1" x14ac:dyDescent="0.3">
      <c r="B807" s="39"/>
      <c r="D807" s="39"/>
    </row>
    <row r="808" spans="2:4" ht="15.75" customHeight="1" x14ac:dyDescent="0.3">
      <c r="B808" s="39"/>
      <c r="D808" s="39"/>
    </row>
    <row r="809" spans="2:4" ht="15.75" customHeight="1" x14ac:dyDescent="0.3">
      <c r="B809" s="39"/>
      <c r="D809" s="39"/>
    </row>
    <row r="810" spans="2:4" ht="15.75" customHeight="1" x14ac:dyDescent="0.3">
      <c r="B810" s="39"/>
      <c r="D810" s="39"/>
    </row>
    <row r="811" spans="2:4" ht="15.75" customHeight="1" x14ac:dyDescent="0.3">
      <c r="B811" s="39"/>
      <c r="D811" s="39"/>
    </row>
    <row r="812" spans="2:4" ht="15.75" customHeight="1" x14ac:dyDescent="0.3">
      <c r="B812" s="39"/>
      <c r="D812" s="39"/>
    </row>
    <row r="813" spans="2:4" ht="15.75" customHeight="1" x14ac:dyDescent="0.3">
      <c r="B813" s="39"/>
      <c r="D813" s="39"/>
    </row>
    <row r="814" spans="2:4" ht="15.75" customHeight="1" x14ac:dyDescent="0.3">
      <c r="B814" s="39"/>
      <c r="D814" s="39"/>
    </row>
    <row r="815" spans="2:4" ht="15.75" customHeight="1" x14ac:dyDescent="0.3">
      <c r="B815" s="39"/>
      <c r="D815" s="39"/>
    </row>
    <row r="816" spans="2:4" ht="15.75" customHeight="1" x14ac:dyDescent="0.3">
      <c r="B816" s="39"/>
      <c r="D816" s="39"/>
    </row>
    <row r="817" spans="2:4" ht="15.75" customHeight="1" x14ac:dyDescent="0.3">
      <c r="B817" s="39"/>
      <c r="D817" s="39"/>
    </row>
    <row r="818" spans="2:4" ht="15.75" customHeight="1" x14ac:dyDescent="0.3">
      <c r="B818" s="39"/>
      <c r="D818" s="39"/>
    </row>
    <row r="819" spans="2:4" ht="15.75" customHeight="1" x14ac:dyDescent="0.3">
      <c r="B819" s="39"/>
      <c r="D819" s="39"/>
    </row>
    <row r="820" spans="2:4" ht="15.75" customHeight="1" x14ac:dyDescent="0.3">
      <c r="B820" s="39"/>
      <c r="D820" s="39"/>
    </row>
    <row r="821" spans="2:4" ht="15.75" customHeight="1" x14ac:dyDescent="0.3">
      <c r="B821" s="39"/>
      <c r="D821" s="39"/>
    </row>
    <row r="822" spans="2:4" ht="15.75" customHeight="1" x14ac:dyDescent="0.3">
      <c r="B822" s="39"/>
      <c r="D822" s="39"/>
    </row>
    <row r="823" spans="2:4" ht="15.75" customHeight="1" x14ac:dyDescent="0.3">
      <c r="B823" s="39"/>
      <c r="D823" s="39"/>
    </row>
    <row r="824" spans="2:4" ht="15.75" customHeight="1" x14ac:dyDescent="0.3">
      <c r="B824" s="39"/>
      <c r="D824" s="39"/>
    </row>
    <row r="825" spans="2:4" ht="15.75" customHeight="1" x14ac:dyDescent="0.3">
      <c r="B825" s="39"/>
      <c r="D825" s="39"/>
    </row>
    <row r="826" spans="2:4" ht="15.75" customHeight="1" x14ac:dyDescent="0.3">
      <c r="B826" s="39"/>
      <c r="D826" s="39"/>
    </row>
    <row r="827" spans="2:4" ht="15.75" customHeight="1" x14ac:dyDescent="0.3">
      <c r="B827" s="39"/>
      <c r="D827" s="39"/>
    </row>
    <row r="828" spans="2:4" ht="15.75" customHeight="1" x14ac:dyDescent="0.3">
      <c r="B828" s="39"/>
      <c r="D828" s="39"/>
    </row>
    <row r="829" spans="2:4" ht="15.75" customHeight="1" x14ac:dyDescent="0.3">
      <c r="B829" s="39"/>
      <c r="D829" s="39"/>
    </row>
    <row r="830" spans="2:4" ht="15.75" customHeight="1" x14ac:dyDescent="0.3">
      <c r="B830" s="39"/>
      <c r="D830" s="39"/>
    </row>
    <row r="831" spans="2:4" ht="15.75" customHeight="1" x14ac:dyDescent="0.3">
      <c r="B831" s="39"/>
      <c r="D831" s="39"/>
    </row>
    <row r="832" spans="2:4" ht="15.75" customHeight="1" x14ac:dyDescent="0.3">
      <c r="B832" s="39"/>
      <c r="D832" s="39"/>
    </row>
    <row r="833" spans="2:4" ht="15.75" customHeight="1" x14ac:dyDescent="0.3">
      <c r="B833" s="39"/>
      <c r="D833" s="39"/>
    </row>
    <row r="834" spans="2:4" ht="15.75" customHeight="1" x14ac:dyDescent="0.3">
      <c r="B834" s="39"/>
      <c r="D834" s="39"/>
    </row>
    <row r="835" spans="2:4" ht="15.75" customHeight="1" x14ac:dyDescent="0.3">
      <c r="B835" s="39"/>
      <c r="D835" s="39"/>
    </row>
    <row r="836" spans="2:4" ht="15.75" customHeight="1" x14ac:dyDescent="0.3">
      <c r="B836" s="39"/>
      <c r="D836" s="39"/>
    </row>
    <row r="837" spans="2:4" ht="15.75" customHeight="1" x14ac:dyDescent="0.3">
      <c r="B837" s="39"/>
      <c r="D837" s="39"/>
    </row>
    <row r="838" spans="2:4" ht="15.75" customHeight="1" x14ac:dyDescent="0.3">
      <c r="B838" s="39"/>
      <c r="D838" s="39"/>
    </row>
    <row r="839" spans="2:4" ht="15.75" customHeight="1" x14ac:dyDescent="0.3">
      <c r="B839" s="39"/>
      <c r="D839" s="39"/>
    </row>
    <row r="840" spans="2:4" ht="15.75" customHeight="1" x14ac:dyDescent="0.3">
      <c r="B840" s="39"/>
      <c r="D840" s="39"/>
    </row>
    <row r="841" spans="2:4" ht="15.75" customHeight="1" x14ac:dyDescent="0.3">
      <c r="B841" s="39"/>
      <c r="D841" s="39"/>
    </row>
    <row r="842" spans="2:4" ht="15.75" customHeight="1" x14ac:dyDescent="0.3">
      <c r="B842" s="39"/>
      <c r="D842" s="39"/>
    </row>
    <row r="843" spans="2:4" ht="15.75" customHeight="1" x14ac:dyDescent="0.3">
      <c r="B843" s="39"/>
      <c r="D843" s="39"/>
    </row>
    <row r="844" spans="2:4" ht="15.75" customHeight="1" x14ac:dyDescent="0.3">
      <c r="B844" s="39"/>
      <c r="D844" s="39"/>
    </row>
    <row r="845" spans="2:4" ht="15.75" customHeight="1" x14ac:dyDescent="0.3">
      <c r="B845" s="39"/>
      <c r="D845" s="39"/>
    </row>
    <row r="846" spans="2:4" ht="15.75" customHeight="1" x14ac:dyDescent="0.3">
      <c r="B846" s="39"/>
      <c r="D846" s="39"/>
    </row>
    <row r="847" spans="2:4" ht="15.75" customHeight="1" x14ac:dyDescent="0.3">
      <c r="B847" s="39"/>
      <c r="D847" s="39"/>
    </row>
    <row r="848" spans="2:4" ht="15.75" customHeight="1" x14ac:dyDescent="0.3">
      <c r="B848" s="39"/>
      <c r="D848" s="39"/>
    </row>
    <row r="849" spans="2:4" ht="15.75" customHeight="1" x14ac:dyDescent="0.3">
      <c r="B849" s="39"/>
      <c r="D849" s="39"/>
    </row>
    <row r="850" spans="2:4" ht="15.75" customHeight="1" x14ac:dyDescent="0.3">
      <c r="B850" s="39"/>
      <c r="D850" s="39"/>
    </row>
    <row r="851" spans="2:4" ht="15.75" customHeight="1" x14ac:dyDescent="0.3">
      <c r="B851" s="39"/>
      <c r="D851" s="39"/>
    </row>
    <row r="852" spans="2:4" ht="15.75" customHeight="1" x14ac:dyDescent="0.3">
      <c r="B852" s="39"/>
      <c r="D852" s="39"/>
    </row>
    <row r="853" spans="2:4" ht="15.75" customHeight="1" x14ac:dyDescent="0.3">
      <c r="B853" s="39"/>
      <c r="D853" s="39"/>
    </row>
    <row r="854" spans="2:4" ht="15.75" customHeight="1" x14ac:dyDescent="0.3">
      <c r="B854" s="39"/>
      <c r="D854" s="39"/>
    </row>
    <row r="855" spans="2:4" ht="15.75" customHeight="1" x14ac:dyDescent="0.3">
      <c r="B855" s="39"/>
      <c r="D855" s="39"/>
    </row>
    <row r="856" spans="2:4" ht="15.75" customHeight="1" x14ac:dyDescent="0.3">
      <c r="B856" s="39"/>
      <c r="D856" s="39"/>
    </row>
    <row r="857" spans="2:4" ht="15.75" customHeight="1" x14ac:dyDescent="0.3">
      <c r="B857" s="39"/>
      <c r="D857" s="39"/>
    </row>
    <row r="858" spans="2:4" ht="15.75" customHeight="1" x14ac:dyDescent="0.3">
      <c r="B858" s="39"/>
      <c r="D858" s="39"/>
    </row>
    <row r="859" spans="2:4" ht="15.75" customHeight="1" x14ac:dyDescent="0.3">
      <c r="B859" s="39"/>
      <c r="D859" s="39"/>
    </row>
    <row r="860" spans="2:4" ht="15.75" customHeight="1" x14ac:dyDescent="0.3">
      <c r="B860" s="39"/>
      <c r="D860" s="39"/>
    </row>
    <row r="861" spans="2:4" ht="15.75" customHeight="1" x14ac:dyDescent="0.3">
      <c r="B861" s="39"/>
      <c r="D861" s="39"/>
    </row>
    <row r="862" spans="2:4" ht="15.75" customHeight="1" x14ac:dyDescent="0.3">
      <c r="B862" s="39"/>
      <c r="D862" s="39"/>
    </row>
    <row r="863" spans="2:4" ht="15.75" customHeight="1" x14ac:dyDescent="0.3">
      <c r="B863" s="39"/>
      <c r="D863" s="39"/>
    </row>
    <row r="864" spans="2:4" ht="15.75" customHeight="1" x14ac:dyDescent="0.3">
      <c r="B864" s="39"/>
      <c r="D864" s="39"/>
    </row>
    <row r="865" spans="2:4" ht="15.75" customHeight="1" x14ac:dyDescent="0.3">
      <c r="B865" s="39"/>
      <c r="D865" s="39"/>
    </row>
    <row r="866" spans="2:4" ht="15.75" customHeight="1" x14ac:dyDescent="0.3">
      <c r="B866" s="39"/>
      <c r="D866" s="39"/>
    </row>
    <row r="867" spans="2:4" ht="15.75" customHeight="1" x14ac:dyDescent="0.3">
      <c r="B867" s="39"/>
      <c r="D867" s="39"/>
    </row>
    <row r="868" spans="2:4" ht="15.75" customHeight="1" x14ac:dyDescent="0.3">
      <c r="B868" s="39"/>
      <c r="D868" s="39"/>
    </row>
    <row r="869" spans="2:4" ht="15.75" customHeight="1" x14ac:dyDescent="0.3">
      <c r="B869" s="39"/>
      <c r="D869" s="39"/>
    </row>
    <row r="870" spans="2:4" ht="15.75" customHeight="1" x14ac:dyDescent="0.3">
      <c r="B870" s="39"/>
      <c r="D870" s="39"/>
    </row>
    <row r="871" spans="2:4" ht="15.75" customHeight="1" x14ac:dyDescent="0.3">
      <c r="B871" s="39"/>
      <c r="D871" s="39"/>
    </row>
    <row r="872" spans="2:4" ht="15.75" customHeight="1" x14ac:dyDescent="0.3">
      <c r="B872" s="39"/>
      <c r="D872" s="39"/>
    </row>
    <row r="873" spans="2:4" ht="15.75" customHeight="1" x14ac:dyDescent="0.3">
      <c r="B873" s="39"/>
      <c r="D873" s="39"/>
    </row>
    <row r="874" spans="2:4" ht="15.75" customHeight="1" x14ac:dyDescent="0.3">
      <c r="B874" s="39"/>
      <c r="D874" s="39"/>
    </row>
    <row r="875" spans="2:4" ht="15.75" customHeight="1" x14ac:dyDescent="0.3">
      <c r="B875" s="39"/>
      <c r="D875" s="39"/>
    </row>
    <row r="876" spans="2:4" ht="15.75" customHeight="1" x14ac:dyDescent="0.3">
      <c r="B876" s="39"/>
      <c r="D876" s="39"/>
    </row>
    <row r="877" spans="2:4" ht="15.75" customHeight="1" x14ac:dyDescent="0.3">
      <c r="B877" s="39"/>
      <c r="D877" s="39"/>
    </row>
    <row r="878" spans="2:4" ht="15.75" customHeight="1" x14ac:dyDescent="0.3">
      <c r="B878" s="39"/>
      <c r="D878" s="39"/>
    </row>
    <row r="879" spans="2:4" ht="15.75" customHeight="1" x14ac:dyDescent="0.3">
      <c r="B879" s="39"/>
      <c r="D879" s="39"/>
    </row>
    <row r="880" spans="2:4" ht="15.75" customHeight="1" x14ac:dyDescent="0.3">
      <c r="B880" s="39"/>
      <c r="D880" s="39"/>
    </row>
    <row r="881" spans="2:4" ht="15.75" customHeight="1" x14ac:dyDescent="0.3">
      <c r="B881" s="39"/>
      <c r="D881" s="39"/>
    </row>
    <row r="882" spans="2:4" ht="15.75" customHeight="1" x14ac:dyDescent="0.3">
      <c r="B882" s="39"/>
      <c r="D882" s="39"/>
    </row>
    <row r="883" spans="2:4" ht="15.75" customHeight="1" x14ac:dyDescent="0.3">
      <c r="B883" s="39"/>
      <c r="D883" s="39"/>
    </row>
    <row r="884" spans="2:4" ht="15.75" customHeight="1" x14ac:dyDescent="0.3">
      <c r="B884" s="39"/>
      <c r="D884" s="39"/>
    </row>
    <row r="885" spans="2:4" ht="15.75" customHeight="1" x14ac:dyDescent="0.3">
      <c r="B885" s="39"/>
      <c r="D885" s="39"/>
    </row>
    <row r="886" spans="2:4" ht="15.75" customHeight="1" x14ac:dyDescent="0.3">
      <c r="B886" s="39"/>
      <c r="D886" s="39"/>
    </row>
    <row r="887" spans="2:4" ht="15.75" customHeight="1" x14ac:dyDescent="0.3">
      <c r="B887" s="39"/>
      <c r="D887" s="39"/>
    </row>
    <row r="888" spans="2:4" ht="15.75" customHeight="1" x14ac:dyDescent="0.3">
      <c r="B888" s="39"/>
      <c r="D888" s="39"/>
    </row>
    <row r="889" spans="2:4" ht="15.75" customHeight="1" x14ac:dyDescent="0.3">
      <c r="B889" s="39"/>
      <c r="D889" s="39"/>
    </row>
    <row r="890" spans="2:4" ht="15.75" customHeight="1" x14ac:dyDescent="0.3">
      <c r="B890" s="39"/>
      <c r="D890" s="39"/>
    </row>
    <row r="891" spans="2:4" ht="15.75" customHeight="1" x14ac:dyDescent="0.3">
      <c r="B891" s="39"/>
      <c r="D891" s="39"/>
    </row>
    <row r="892" spans="2:4" ht="15.75" customHeight="1" x14ac:dyDescent="0.3">
      <c r="B892" s="39"/>
      <c r="D892" s="39"/>
    </row>
    <row r="893" spans="2:4" ht="15.75" customHeight="1" x14ac:dyDescent="0.3">
      <c r="B893" s="39"/>
      <c r="D893" s="39"/>
    </row>
    <row r="894" spans="2:4" ht="15.75" customHeight="1" x14ac:dyDescent="0.3">
      <c r="B894" s="39"/>
      <c r="D894" s="39"/>
    </row>
    <row r="895" spans="2:4" ht="15.75" customHeight="1" x14ac:dyDescent="0.3">
      <c r="B895" s="39"/>
      <c r="D895" s="39"/>
    </row>
    <row r="896" spans="2:4" ht="15.75" customHeight="1" x14ac:dyDescent="0.3">
      <c r="B896" s="39"/>
      <c r="D896" s="39"/>
    </row>
    <row r="897" spans="2:4" ht="15.75" customHeight="1" x14ac:dyDescent="0.3">
      <c r="B897" s="39"/>
      <c r="D897" s="39"/>
    </row>
    <row r="898" spans="2:4" ht="15.75" customHeight="1" x14ac:dyDescent="0.3">
      <c r="B898" s="39"/>
      <c r="D898" s="39"/>
    </row>
    <row r="899" spans="2:4" ht="15.75" customHeight="1" x14ac:dyDescent="0.3">
      <c r="B899" s="39"/>
      <c r="D899" s="39"/>
    </row>
    <row r="900" spans="2:4" ht="15.75" customHeight="1" x14ac:dyDescent="0.3">
      <c r="B900" s="39"/>
      <c r="D900" s="39"/>
    </row>
    <row r="901" spans="2:4" ht="15.75" customHeight="1" x14ac:dyDescent="0.3">
      <c r="B901" s="39"/>
      <c r="D901" s="39"/>
    </row>
    <row r="902" spans="2:4" ht="15.75" customHeight="1" x14ac:dyDescent="0.3">
      <c r="B902" s="39"/>
      <c r="D902" s="39"/>
    </row>
    <row r="903" spans="2:4" ht="15.75" customHeight="1" x14ac:dyDescent="0.3">
      <c r="B903" s="39"/>
      <c r="D903" s="39"/>
    </row>
    <row r="904" spans="2:4" ht="15.75" customHeight="1" x14ac:dyDescent="0.3">
      <c r="B904" s="39"/>
      <c r="D904" s="39"/>
    </row>
    <row r="905" spans="2:4" ht="15.75" customHeight="1" x14ac:dyDescent="0.3">
      <c r="B905" s="39"/>
      <c r="D905" s="39"/>
    </row>
    <row r="906" spans="2:4" ht="15.75" customHeight="1" x14ac:dyDescent="0.3">
      <c r="B906" s="39"/>
      <c r="D906" s="39"/>
    </row>
    <row r="907" spans="2:4" ht="15.75" customHeight="1" x14ac:dyDescent="0.3">
      <c r="B907" s="39"/>
      <c r="D907" s="39"/>
    </row>
    <row r="908" spans="2:4" ht="15.75" customHeight="1" x14ac:dyDescent="0.3">
      <c r="B908" s="39"/>
      <c r="D908" s="39"/>
    </row>
    <row r="909" spans="2:4" ht="15.75" customHeight="1" x14ac:dyDescent="0.3">
      <c r="B909" s="39"/>
      <c r="D909" s="39"/>
    </row>
    <row r="910" spans="2:4" ht="15.75" customHeight="1" x14ac:dyDescent="0.3">
      <c r="B910" s="39"/>
      <c r="D910" s="39"/>
    </row>
    <row r="911" spans="2:4" ht="15.75" customHeight="1" x14ac:dyDescent="0.3">
      <c r="B911" s="39"/>
      <c r="D911" s="39"/>
    </row>
    <row r="912" spans="2:4" ht="15.75" customHeight="1" x14ac:dyDescent="0.3">
      <c r="B912" s="39"/>
      <c r="D912" s="39"/>
    </row>
    <row r="913" spans="2:4" ht="15.75" customHeight="1" x14ac:dyDescent="0.3">
      <c r="B913" s="39"/>
      <c r="D913" s="39"/>
    </row>
    <row r="914" spans="2:4" ht="15.75" customHeight="1" x14ac:dyDescent="0.3">
      <c r="B914" s="39"/>
      <c r="D914" s="39"/>
    </row>
    <row r="915" spans="2:4" ht="15.75" customHeight="1" x14ac:dyDescent="0.3">
      <c r="B915" s="39"/>
      <c r="D915" s="39"/>
    </row>
    <row r="916" spans="2:4" ht="15.75" customHeight="1" x14ac:dyDescent="0.3">
      <c r="B916" s="39"/>
      <c r="D916" s="39"/>
    </row>
    <row r="917" spans="2:4" ht="15.75" customHeight="1" x14ac:dyDescent="0.3">
      <c r="B917" s="39"/>
      <c r="D917" s="39"/>
    </row>
    <row r="918" spans="2:4" ht="15.75" customHeight="1" x14ac:dyDescent="0.3">
      <c r="B918" s="39"/>
      <c r="D918" s="39"/>
    </row>
    <row r="919" spans="2:4" ht="15.75" customHeight="1" x14ac:dyDescent="0.3">
      <c r="B919" s="39"/>
      <c r="D919" s="39"/>
    </row>
    <row r="920" spans="2:4" ht="15.75" customHeight="1" x14ac:dyDescent="0.3">
      <c r="B920" s="39"/>
      <c r="D920" s="39"/>
    </row>
    <row r="921" spans="2:4" ht="15.75" customHeight="1" x14ac:dyDescent="0.3">
      <c r="B921" s="39"/>
      <c r="D921" s="39"/>
    </row>
    <row r="922" spans="2:4" ht="15.75" customHeight="1" x14ac:dyDescent="0.3">
      <c r="B922" s="39"/>
      <c r="D922" s="39"/>
    </row>
    <row r="923" spans="2:4" ht="15.75" customHeight="1" x14ac:dyDescent="0.3">
      <c r="B923" s="39"/>
      <c r="D923" s="39"/>
    </row>
    <row r="924" spans="2:4" ht="15.75" customHeight="1" x14ac:dyDescent="0.3">
      <c r="B924" s="39"/>
      <c r="D924" s="39"/>
    </row>
    <row r="925" spans="2:4" ht="15.75" customHeight="1" x14ac:dyDescent="0.3">
      <c r="B925" s="39"/>
      <c r="D925" s="39"/>
    </row>
    <row r="926" spans="2:4" ht="15.75" customHeight="1" x14ac:dyDescent="0.3">
      <c r="B926" s="39"/>
      <c r="D926" s="39"/>
    </row>
    <row r="927" spans="2:4" ht="15.75" customHeight="1" x14ac:dyDescent="0.3">
      <c r="B927" s="39"/>
      <c r="D927" s="39"/>
    </row>
    <row r="928" spans="2:4" ht="15.75" customHeight="1" x14ac:dyDescent="0.3">
      <c r="B928" s="39"/>
      <c r="D928" s="39"/>
    </row>
    <row r="929" spans="2:4" ht="15.75" customHeight="1" x14ac:dyDescent="0.3">
      <c r="B929" s="39"/>
      <c r="D929" s="39"/>
    </row>
    <row r="930" spans="2:4" ht="15.75" customHeight="1" x14ac:dyDescent="0.3">
      <c r="B930" s="39"/>
      <c r="D930" s="39"/>
    </row>
    <row r="931" spans="2:4" ht="15.75" customHeight="1" x14ac:dyDescent="0.3">
      <c r="B931" s="39"/>
      <c r="D931" s="39"/>
    </row>
    <row r="932" spans="2:4" ht="15.75" customHeight="1" x14ac:dyDescent="0.3">
      <c r="B932" s="39"/>
      <c r="D932" s="39"/>
    </row>
    <row r="933" spans="2:4" ht="15.75" customHeight="1" x14ac:dyDescent="0.3">
      <c r="B933" s="39"/>
      <c r="D933" s="39"/>
    </row>
    <row r="934" spans="2:4" ht="15.75" customHeight="1" x14ac:dyDescent="0.3">
      <c r="B934" s="39"/>
      <c r="D934" s="39"/>
    </row>
    <row r="935" spans="2:4" ht="15.75" customHeight="1" x14ac:dyDescent="0.3">
      <c r="B935" s="39"/>
      <c r="D935" s="39"/>
    </row>
    <row r="936" spans="2:4" ht="15.75" customHeight="1" x14ac:dyDescent="0.3">
      <c r="B936" s="39"/>
      <c r="D936" s="39"/>
    </row>
    <row r="937" spans="2:4" ht="15.75" customHeight="1" x14ac:dyDescent="0.3">
      <c r="B937" s="39"/>
      <c r="D937" s="39"/>
    </row>
    <row r="938" spans="2:4" ht="15.75" customHeight="1" x14ac:dyDescent="0.3">
      <c r="B938" s="39"/>
      <c r="D938" s="39"/>
    </row>
    <row r="939" spans="2:4" ht="15.75" customHeight="1" x14ac:dyDescent="0.3">
      <c r="B939" s="39"/>
      <c r="D939" s="39"/>
    </row>
    <row r="940" spans="2:4" ht="15.75" customHeight="1" x14ac:dyDescent="0.3">
      <c r="B940" s="39"/>
      <c r="D940" s="39"/>
    </row>
    <row r="941" spans="2:4" ht="15.75" customHeight="1" x14ac:dyDescent="0.3">
      <c r="B941" s="39"/>
      <c r="D941" s="39"/>
    </row>
    <row r="942" spans="2:4" ht="15.75" customHeight="1" x14ac:dyDescent="0.3">
      <c r="B942" s="39"/>
      <c r="D942" s="39"/>
    </row>
    <row r="943" spans="2:4" ht="15.75" customHeight="1" x14ac:dyDescent="0.3">
      <c r="B943" s="39"/>
      <c r="D943" s="39"/>
    </row>
    <row r="944" spans="2:4" ht="15.75" customHeight="1" x14ac:dyDescent="0.3">
      <c r="B944" s="39"/>
      <c r="D944" s="39"/>
    </row>
    <row r="945" spans="2:4" ht="15.75" customHeight="1" x14ac:dyDescent="0.3">
      <c r="B945" s="39"/>
      <c r="D945" s="39"/>
    </row>
    <row r="946" spans="2:4" ht="15.75" customHeight="1" x14ac:dyDescent="0.3">
      <c r="B946" s="39"/>
      <c r="D946" s="39"/>
    </row>
    <row r="947" spans="2:4" ht="15.75" customHeight="1" x14ac:dyDescent="0.3">
      <c r="B947" s="39"/>
      <c r="D947" s="39"/>
    </row>
    <row r="948" spans="2:4" ht="15.75" customHeight="1" x14ac:dyDescent="0.3">
      <c r="B948" s="39"/>
      <c r="D948" s="39"/>
    </row>
    <row r="949" spans="2:4" ht="15.75" customHeight="1" x14ac:dyDescent="0.3">
      <c r="B949" s="39"/>
      <c r="D949" s="39"/>
    </row>
    <row r="950" spans="2:4" ht="15.75" customHeight="1" x14ac:dyDescent="0.3">
      <c r="B950" s="39"/>
      <c r="D950" s="39"/>
    </row>
    <row r="951" spans="2:4" ht="15.75" customHeight="1" x14ac:dyDescent="0.3">
      <c r="B951" s="39"/>
      <c r="D951" s="39"/>
    </row>
    <row r="952" spans="2:4" ht="15.75" customHeight="1" x14ac:dyDescent="0.3">
      <c r="B952" s="39"/>
      <c r="D952" s="39"/>
    </row>
    <row r="953" spans="2:4" ht="15.75" customHeight="1" x14ac:dyDescent="0.3">
      <c r="B953" s="39"/>
      <c r="D953" s="39"/>
    </row>
    <row r="954" spans="2:4" ht="15.75" customHeight="1" x14ac:dyDescent="0.3">
      <c r="B954" s="39"/>
      <c r="D954" s="39"/>
    </row>
    <row r="955" spans="2:4" ht="15.75" customHeight="1" x14ac:dyDescent="0.3">
      <c r="B955" s="39"/>
      <c r="D955" s="39"/>
    </row>
    <row r="956" spans="2:4" ht="15.75" customHeight="1" x14ac:dyDescent="0.3">
      <c r="B956" s="39"/>
      <c r="D956" s="39"/>
    </row>
    <row r="957" spans="2:4" ht="15.75" customHeight="1" x14ac:dyDescent="0.3">
      <c r="B957" s="39"/>
      <c r="D957" s="39"/>
    </row>
    <row r="958" spans="2:4" ht="15.75" customHeight="1" x14ac:dyDescent="0.3">
      <c r="B958" s="39"/>
      <c r="D958" s="39"/>
    </row>
    <row r="959" spans="2:4" ht="15.75" customHeight="1" x14ac:dyDescent="0.3">
      <c r="B959" s="39"/>
      <c r="D959" s="39"/>
    </row>
    <row r="960" spans="2:4" ht="15.75" customHeight="1" x14ac:dyDescent="0.3">
      <c r="B960" s="39"/>
      <c r="D960" s="39"/>
    </row>
    <row r="961" spans="2:4" ht="15.75" customHeight="1" x14ac:dyDescent="0.3">
      <c r="B961" s="39"/>
      <c r="D961" s="39"/>
    </row>
    <row r="962" spans="2:4" ht="15.75" customHeight="1" x14ac:dyDescent="0.3">
      <c r="B962" s="39"/>
      <c r="D962" s="39"/>
    </row>
    <row r="963" spans="2:4" ht="15.75" customHeight="1" x14ac:dyDescent="0.3">
      <c r="B963" s="39"/>
      <c r="D963" s="39"/>
    </row>
    <row r="964" spans="2:4" ht="15.75" customHeight="1" x14ac:dyDescent="0.3">
      <c r="B964" s="39"/>
      <c r="D964" s="39"/>
    </row>
    <row r="965" spans="2:4" ht="15.75" customHeight="1" x14ac:dyDescent="0.3">
      <c r="B965" s="39"/>
      <c r="D965" s="39"/>
    </row>
    <row r="966" spans="2:4" ht="15.75" customHeight="1" x14ac:dyDescent="0.3">
      <c r="B966" s="39"/>
      <c r="D966" s="39"/>
    </row>
    <row r="967" spans="2:4" ht="15.75" customHeight="1" x14ac:dyDescent="0.3">
      <c r="B967" s="39"/>
      <c r="D967" s="39"/>
    </row>
    <row r="968" spans="2:4" ht="15.75" customHeight="1" x14ac:dyDescent="0.3">
      <c r="B968" s="39"/>
      <c r="D968" s="39"/>
    </row>
    <row r="969" spans="2:4" ht="15.75" customHeight="1" x14ac:dyDescent="0.3">
      <c r="B969" s="39"/>
      <c r="D969" s="39"/>
    </row>
    <row r="970" spans="2:4" ht="15.75" customHeight="1" x14ac:dyDescent="0.3">
      <c r="B970" s="39"/>
      <c r="D970" s="39"/>
    </row>
    <row r="971" spans="2:4" ht="15.75" customHeight="1" x14ac:dyDescent="0.3">
      <c r="B971" s="39"/>
      <c r="D971" s="39"/>
    </row>
    <row r="972" spans="2:4" ht="15.75" customHeight="1" x14ac:dyDescent="0.3">
      <c r="B972" s="39"/>
      <c r="D972" s="39"/>
    </row>
    <row r="973" spans="2:4" ht="15.75" customHeight="1" x14ac:dyDescent="0.3">
      <c r="B973" s="39"/>
      <c r="D973" s="39"/>
    </row>
    <row r="974" spans="2:4" ht="15.75" customHeight="1" x14ac:dyDescent="0.3">
      <c r="B974" s="39"/>
      <c r="D974" s="39"/>
    </row>
    <row r="975" spans="2:4" ht="15.75" customHeight="1" x14ac:dyDescent="0.3">
      <c r="B975" s="39"/>
      <c r="D975" s="39"/>
    </row>
    <row r="976" spans="2:4" ht="15.75" customHeight="1" x14ac:dyDescent="0.3">
      <c r="B976" s="39"/>
      <c r="D976" s="39"/>
    </row>
    <row r="977" spans="2:4" ht="15.75" customHeight="1" x14ac:dyDescent="0.3">
      <c r="B977" s="39"/>
      <c r="D977" s="39"/>
    </row>
    <row r="978" spans="2:4" ht="15.75" customHeight="1" x14ac:dyDescent="0.3">
      <c r="B978" s="39"/>
      <c r="D978" s="39"/>
    </row>
    <row r="979" spans="2:4" ht="15.75" customHeight="1" x14ac:dyDescent="0.3">
      <c r="B979" s="39"/>
      <c r="D979" s="39"/>
    </row>
    <row r="980" spans="2:4" ht="15.75" customHeight="1" x14ac:dyDescent="0.3">
      <c r="B980" s="39"/>
      <c r="D980" s="39"/>
    </row>
    <row r="981" spans="2:4" ht="15.75" customHeight="1" x14ac:dyDescent="0.3">
      <c r="B981" s="39"/>
      <c r="D981" s="39"/>
    </row>
    <row r="982" spans="2:4" ht="15.75" customHeight="1" x14ac:dyDescent="0.3">
      <c r="B982" s="39"/>
      <c r="D982" s="39"/>
    </row>
    <row r="983" spans="2:4" ht="15.75" customHeight="1" x14ac:dyDescent="0.3">
      <c r="B983" s="39"/>
      <c r="D983" s="39"/>
    </row>
    <row r="984" spans="2:4" ht="15.75" customHeight="1" x14ac:dyDescent="0.3">
      <c r="B984" s="39"/>
      <c r="D984" s="39"/>
    </row>
    <row r="985" spans="2:4" ht="15.75" customHeight="1" x14ac:dyDescent="0.3">
      <c r="B985" s="39"/>
      <c r="D985" s="39"/>
    </row>
    <row r="986" spans="2:4" ht="15.75" customHeight="1" x14ac:dyDescent="0.3">
      <c r="B986" s="39"/>
      <c r="D986" s="39"/>
    </row>
    <row r="987" spans="2:4" ht="15.75" customHeight="1" x14ac:dyDescent="0.3">
      <c r="B987" s="39"/>
      <c r="D987" s="39"/>
    </row>
    <row r="988" spans="2:4" ht="15.75" customHeight="1" x14ac:dyDescent="0.3">
      <c r="B988" s="39"/>
      <c r="D988" s="39"/>
    </row>
    <row r="989" spans="2:4" ht="15.75" customHeight="1" x14ac:dyDescent="0.3">
      <c r="B989" s="39"/>
      <c r="D989" s="39"/>
    </row>
    <row r="990" spans="2:4" ht="15.75" customHeight="1" x14ac:dyDescent="0.3">
      <c r="B990" s="39"/>
      <c r="D990" s="39"/>
    </row>
    <row r="991" spans="2:4" ht="15.75" customHeight="1" x14ac:dyDescent="0.3">
      <c r="B991" s="39"/>
      <c r="D991" s="39"/>
    </row>
    <row r="992" spans="2:4" ht="15.75" customHeight="1" x14ac:dyDescent="0.3">
      <c r="B992" s="39"/>
      <c r="D992" s="39"/>
    </row>
    <row r="993" spans="2:4" ht="15.75" customHeight="1" x14ac:dyDescent="0.3">
      <c r="B993" s="39"/>
      <c r="D993" s="39"/>
    </row>
    <row r="994" spans="2:4" ht="15.75" customHeight="1" x14ac:dyDescent="0.3">
      <c r="B994" s="39"/>
      <c r="D994" s="39"/>
    </row>
    <row r="995" spans="2:4" ht="15.75" customHeight="1" x14ac:dyDescent="0.3">
      <c r="B995" s="39"/>
      <c r="D995" s="39"/>
    </row>
    <row r="996" spans="2:4" ht="15.75" customHeight="1" x14ac:dyDescent="0.3">
      <c r="B996" s="39"/>
      <c r="D996" s="39"/>
    </row>
    <row r="997" spans="2:4" ht="15.75" customHeight="1" x14ac:dyDescent="0.3">
      <c r="B997" s="39"/>
      <c r="D997" s="39"/>
    </row>
    <row r="998" spans="2:4" ht="15.75" customHeight="1" x14ac:dyDescent="0.3">
      <c r="B998" s="39"/>
      <c r="D998" s="39"/>
    </row>
    <row r="999" spans="2:4" ht="15.75" customHeight="1" x14ac:dyDescent="0.3">
      <c r="B999" s="39"/>
      <c r="D999" s="39"/>
    </row>
    <row r="1000" spans="2:4" ht="15.75" customHeight="1" x14ac:dyDescent="0.3">
      <c r="B1000" s="39"/>
      <c r="D1000" s="39"/>
    </row>
  </sheetData>
  <mergeCells count="7">
    <mergeCell ref="A2:F2"/>
    <mergeCell ref="A3:B3"/>
    <mergeCell ref="A5:A6"/>
    <mergeCell ref="B5:B6"/>
    <mergeCell ref="C5:C6"/>
    <mergeCell ref="D5:D6"/>
    <mergeCell ref="E5:G5"/>
  </mergeCells>
  <pageMargins left="0.7" right="0.7" top="0.75" bottom="0.75" header="0" footer="0"/>
  <pageSetup paperSize="9" scale="97" orientation="portrait"/>
  <headerFooter>
    <oddFooter>&amp;L000000Open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J17"/>
  <sheetViews>
    <sheetView workbookViewId="0">
      <selection activeCell="C24" sqref="C24"/>
    </sheetView>
  </sheetViews>
  <sheetFormatPr defaultColWidth="14.44140625" defaultRowHeight="15" customHeight="1" x14ac:dyDescent="0.3"/>
  <cols>
    <col min="2" max="2" width="64.88671875" customWidth="1"/>
  </cols>
  <sheetData>
    <row r="1" spans="1:10" x14ac:dyDescent="0.3">
      <c r="A1" s="128" t="s">
        <v>1060</v>
      </c>
    </row>
    <row r="2" spans="1:10" x14ac:dyDescent="0.3">
      <c r="C2" s="20"/>
      <c r="D2" s="20" t="s">
        <v>1061</v>
      </c>
      <c r="G2" s="20" t="s">
        <v>1062</v>
      </c>
    </row>
    <row r="3" spans="1:10" x14ac:dyDescent="0.3">
      <c r="B3" s="20" t="s">
        <v>1063</v>
      </c>
      <c r="C3" s="20"/>
      <c r="D3" s="128">
        <v>1500</v>
      </c>
      <c r="G3" s="20" t="s">
        <v>1064</v>
      </c>
    </row>
    <row r="4" spans="1:10" x14ac:dyDescent="0.3">
      <c r="B4" s="20" t="s">
        <v>1065</v>
      </c>
      <c r="C4" s="20"/>
      <c r="D4" s="20">
        <v>120</v>
      </c>
      <c r="G4" s="20" t="s">
        <v>1066</v>
      </c>
    </row>
    <row r="5" spans="1:10" x14ac:dyDescent="0.3">
      <c r="B5" s="20" t="s">
        <v>1067</v>
      </c>
      <c r="C5" s="20"/>
      <c r="D5" s="20">
        <v>120</v>
      </c>
      <c r="G5" s="129">
        <v>44593</v>
      </c>
    </row>
    <row r="6" spans="1:10" x14ac:dyDescent="0.3">
      <c r="B6" s="25" t="s">
        <v>1068</v>
      </c>
      <c r="C6" s="25"/>
      <c r="D6" s="25"/>
      <c r="E6" s="25">
        <v>1500</v>
      </c>
      <c r="F6" s="25"/>
      <c r="G6" s="25" t="s">
        <v>1066</v>
      </c>
      <c r="H6" s="20"/>
      <c r="I6" s="20"/>
    </row>
    <row r="7" spans="1:10" x14ac:dyDescent="0.3">
      <c r="B7" s="25" t="s">
        <v>1069</v>
      </c>
      <c r="C7" s="25" t="s">
        <v>1070</v>
      </c>
      <c r="D7" s="25"/>
      <c r="E7" s="25">
        <v>1800</v>
      </c>
      <c r="F7" s="25"/>
      <c r="G7" s="25" t="s">
        <v>1066</v>
      </c>
      <c r="H7" s="20" t="s">
        <v>1071</v>
      </c>
      <c r="I7" s="20">
        <v>86030362331</v>
      </c>
      <c r="J7" s="20" t="s">
        <v>1072</v>
      </c>
    </row>
    <row r="8" spans="1:10" x14ac:dyDescent="0.3">
      <c r="B8" s="20" t="s">
        <v>1073</v>
      </c>
      <c r="C8" s="20" t="s">
        <v>1074</v>
      </c>
      <c r="E8" s="20">
        <v>500</v>
      </c>
    </row>
    <row r="9" spans="1:10" x14ac:dyDescent="0.3">
      <c r="B9" s="20" t="s">
        <v>1075</v>
      </c>
      <c r="E9" s="20">
        <v>105</v>
      </c>
      <c r="G9" s="20" t="s">
        <v>1064</v>
      </c>
    </row>
    <row r="10" spans="1:10" x14ac:dyDescent="0.3">
      <c r="B10" s="20" t="s">
        <v>1076</v>
      </c>
      <c r="E10" s="20">
        <v>268</v>
      </c>
      <c r="G10" s="20" t="s">
        <v>1064</v>
      </c>
    </row>
    <row r="11" spans="1:10" x14ac:dyDescent="0.3">
      <c r="B11" s="20" t="s">
        <v>1077</v>
      </c>
      <c r="E11" s="20">
        <v>13.3</v>
      </c>
      <c r="G11" s="20" t="s">
        <v>1066</v>
      </c>
    </row>
    <row r="12" spans="1:10" x14ac:dyDescent="0.3">
      <c r="B12" s="20" t="s">
        <v>1078</v>
      </c>
      <c r="E12" s="20">
        <v>27</v>
      </c>
      <c r="G12" s="20" t="s">
        <v>1066</v>
      </c>
    </row>
    <row r="13" spans="1:10" x14ac:dyDescent="0.3">
      <c r="B13" s="20" t="s">
        <v>1079</v>
      </c>
      <c r="C13" s="20" t="s">
        <v>1080</v>
      </c>
      <c r="E13" s="20">
        <v>260</v>
      </c>
      <c r="G13" s="20" t="s">
        <v>1066</v>
      </c>
    </row>
    <row r="14" spans="1:10" x14ac:dyDescent="0.3">
      <c r="B14" s="20" t="s">
        <v>1081</v>
      </c>
      <c r="E14" s="20">
        <v>110</v>
      </c>
    </row>
    <row r="16" spans="1:10" x14ac:dyDescent="0.3">
      <c r="B16" s="20" t="s">
        <v>1082</v>
      </c>
      <c r="E16" s="128">
        <f>SUM(E6:E14)</f>
        <v>4583.3</v>
      </c>
    </row>
    <row r="17" spans="2:5" x14ac:dyDescent="0.3">
      <c r="B17" s="20" t="s">
        <v>1083</v>
      </c>
      <c r="E17" s="130">
        <f>D3-E16</f>
        <v>-3083.3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2:I108"/>
  <sheetViews>
    <sheetView workbookViewId="0">
      <selection activeCell="F6" sqref="F6"/>
    </sheetView>
  </sheetViews>
  <sheetFormatPr defaultColWidth="14.44140625" defaultRowHeight="15" customHeight="1" x14ac:dyDescent="0.3"/>
  <cols>
    <col min="1" max="1" width="12.88671875" customWidth="1"/>
    <col min="2" max="2" width="87.5546875" customWidth="1"/>
    <col min="3" max="3" width="14.33203125" customWidth="1"/>
  </cols>
  <sheetData>
    <row r="2" spans="1:9" ht="15.6" x14ac:dyDescent="0.3">
      <c r="A2" s="131" t="s">
        <v>1084</v>
      </c>
      <c r="B2" s="132"/>
      <c r="C2" s="132"/>
      <c r="D2" s="132"/>
    </row>
    <row r="3" spans="1:9" ht="15.6" x14ac:dyDescent="0.3">
      <c r="A3" s="131"/>
      <c r="B3" s="132"/>
      <c r="C3" s="132"/>
      <c r="D3" s="132"/>
    </row>
    <row r="4" spans="1:9" ht="15.6" x14ac:dyDescent="0.3">
      <c r="A4" s="131" t="s">
        <v>1085</v>
      </c>
      <c r="B4" s="132"/>
      <c r="C4" s="132"/>
      <c r="D4" s="132"/>
    </row>
    <row r="5" spans="1:9" ht="15.6" x14ac:dyDescent="0.3">
      <c r="A5" s="131"/>
      <c r="B5" s="132"/>
      <c r="C5" s="132"/>
      <c r="D5" s="132"/>
    </row>
    <row r="6" spans="1:9" ht="15.6" x14ac:dyDescent="0.3">
      <c r="A6" s="131" t="s">
        <v>1086</v>
      </c>
      <c r="B6" s="132"/>
      <c r="C6" s="132"/>
      <c r="D6" s="132"/>
    </row>
    <row r="7" spans="1:9" ht="15.6" x14ac:dyDescent="0.3">
      <c r="A7" s="131"/>
      <c r="B7" s="132"/>
      <c r="C7" s="132"/>
      <c r="D7" s="132"/>
    </row>
    <row r="8" spans="1:9" ht="15.6" x14ac:dyDescent="0.3">
      <c r="A8" s="131" t="s">
        <v>1087</v>
      </c>
      <c r="B8" s="132"/>
      <c r="C8" s="132"/>
      <c r="D8" s="132"/>
    </row>
    <row r="9" spans="1:9" ht="15.6" x14ac:dyDescent="0.3">
      <c r="A9" s="131"/>
      <c r="B9" s="132"/>
      <c r="C9" s="132"/>
      <c r="D9" s="132"/>
    </row>
    <row r="10" spans="1:9" ht="15.6" x14ac:dyDescent="0.3">
      <c r="A10" s="133" t="s">
        <v>1088</v>
      </c>
      <c r="B10" s="134" t="s">
        <v>1089</v>
      </c>
      <c r="C10" s="301" t="s">
        <v>1209</v>
      </c>
      <c r="D10" s="132">
        <v>2022</v>
      </c>
      <c r="E10">
        <v>2021</v>
      </c>
      <c r="F10">
        <v>2020</v>
      </c>
      <c r="G10">
        <v>2019</v>
      </c>
      <c r="H10">
        <v>2023</v>
      </c>
      <c r="I10">
        <v>20</v>
      </c>
    </row>
    <row r="11" spans="1:9" ht="15.6" x14ac:dyDescent="0.3">
      <c r="A11" s="135">
        <v>1</v>
      </c>
      <c r="B11" s="136" t="s">
        <v>1212</v>
      </c>
      <c r="C11" s="300">
        <v>4560</v>
      </c>
      <c r="D11" s="225">
        <v>7</v>
      </c>
      <c r="E11">
        <v>1</v>
      </c>
      <c r="I11">
        <v>1</v>
      </c>
    </row>
    <row r="12" spans="1:9" ht="15.6" x14ac:dyDescent="0.3">
      <c r="A12" s="135"/>
      <c r="B12" s="136" t="s">
        <v>1213</v>
      </c>
      <c r="C12" s="300">
        <v>50</v>
      </c>
      <c r="D12" s="225"/>
    </row>
    <row r="13" spans="1:9" ht="15.6" x14ac:dyDescent="0.3">
      <c r="A13" s="135">
        <v>2</v>
      </c>
      <c r="B13" s="136" t="s">
        <v>1214</v>
      </c>
      <c r="C13" s="300">
        <v>480</v>
      </c>
      <c r="D13" s="225">
        <v>4</v>
      </c>
    </row>
    <row r="14" spans="1:9" ht="15.6" x14ac:dyDescent="0.3">
      <c r="A14" s="135">
        <v>3</v>
      </c>
      <c r="B14" s="136" t="s">
        <v>1215</v>
      </c>
      <c r="C14" s="300">
        <v>240</v>
      </c>
      <c r="D14" s="225">
        <v>2</v>
      </c>
    </row>
    <row r="15" spans="1:9" ht="15.6" x14ac:dyDescent="0.3">
      <c r="A15" s="135">
        <v>4</v>
      </c>
      <c r="B15" s="136" t="s">
        <v>1216</v>
      </c>
      <c r="C15" s="300">
        <v>240</v>
      </c>
      <c r="D15" s="225">
        <v>1</v>
      </c>
      <c r="E15">
        <v>1</v>
      </c>
    </row>
    <row r="16" spans="1:9" ht="15.6" x14ac:dyDescent="0.3">
      <c r="A16" s="135">
        <v>5</v>
      </c>
      <c r="B16" s="136" t="s">
        <v>1217</v>
      </c>
      <c r="C16" s="300">
        <v>20</v>
      </c>
      <c r="D16" s="321">
        <v>2</v>
      </c>
    </row>
    <row r="17" spans="1:8" ht="15.6" x14ac:dyDescent="0.3">
      <c r="A17" s="135">
        <v>6</v>
      </c>
      <c r="B17" s="136" t="s">
        <v>1218</v>
      </c>
      <c r="C17" s="300">
        <v>120</v>
      </c>
      <c r="D17" s="225">
        <v>11</v>
      </c>
      <c r="E17">
        <v>1</v>
      </c>
      <c r="F17">
        <v>1</v>
      </c>
      <c r="G17">
        <v>1</v>
      </c>
    </row>
    <row r="18" spans="1:8" ht="15.6" x14ac:dyDescent="0.3">
      <c r="A18" s="135"/>
      <c r="B18" s="136"/>
      <c r="C18" s="300"/>
      <c r="D18" s="225">
        <v>6</v>
      </c>
      <c r="E18">
        <v>1</v>
      </c>
      <c r="F18">
        <v>1</v>
      </c>
      <c r="G18">
        <v>1</v>
      </c>
      <c r="H18">
        <v>1</v>
      </c>
    </row>
    <row r="19" spans="1:8" ht="15.6" x14ac:dyDescent="0.3">
      <c r="A19" s="135"/>
      <c r="B19" s="136"/>
      <c r="C19" s="300"/>
      <c r="D19" s="225">
        <v>6</v>
      </c>
    </row>
    <row r="20" spans="1:8" ht="15.6" x14ac:dyDescent="0.3">
      <c r="A20" s="135"/>
      <c r="B20" s="136" t="s">
        <v>1091</v>
      </c>
      <c r="C20" s="300">
        <f>SUM(C11:C19)</f>
        <v>5710</v>
      </c>
      <c r="D20" s="132">
        <f>SUM(D11:D19)</f>
        <v>39</v>
      </c>
    </row>
    <row r="21" spans="1:8" ht="15.6" x14ac:dyDescent="0.3">
      <c r="A21" s="131"/>
      <c r="B21" s="132"/>
      <c r="C21" s="132"/>
      <c r="D21" s="132"/>
    </row>
    <row r="22" spans="1:8" ht="15.6" x14ac:dyDescent="0.3">
      <c r="A22" s="131" t="s">
        <v>1092</v>
      </c>
      <c r="B22" s="132"/>
      <c r="C22" s="132"/>
      <c r="D22" s="132"/>
    </row>
    <row r="23" spans="1:8" ht="15.6" x14ac:dyDescent="0.3">
      <c r="A23" s="131"/>
      <c r="B23" s="132"/>
      <c r="C23" s="132"/>
      <c r="D23" s="132"/>
    </row>
    <row r="24" spans="1:8" ht="15.6" x14ac:dyDescent="0.3">
      <c r="A24" s="171" t="s">
        <v>1207</v>
      </c>
      <c r="B24" s="134" t="s">
        <v>1089</v>
      </c>
      <c r="C24" s="134"/>
      <c r="D24" s="134" t="s">
        <v>1090</v>
      </c>
    </row>
    <row r="25" spans="1:8" ht="15.6" x14ac:dyDescent="0.3">
      <c r="A25" s="172">
        <v>1</v>
      </c>
      <c r="B25" s="136" t="s">
        <v>1093</v>
      </c>
      <c r="C25" s="136"/>
      <c r="D25" s="168">
        <v>1800</v>
      </c>
    </row>
    <row r="26" spans="1:8" ht="15.6" x14ac:dyDescent="0.3">
      <c r="A26" s="172">
        <v>2</v>
      </c>
      <c r="B26" s="136" t="s">
        <v>1094</v>
      </c>
      <c r="C26" s="136"/>
      <c r="D26" s="136">
        <v>1500</v>
      </c>
    </row>
    <row r="27" spans="1:8" ht="15.6" x14ac:dyDescent="0.3">
      <c r="A27" s="395" t="s">
        <v>1095</v>
      </c>
      <c r="B27" s="297" t="s">
        <v>1073</v>
      </c>
      <c r="C27" s="298">
        <v>500</v>
      </c>
      <c r="D27" s="136"/>
      <c r="E27" t="s">
        <v>1203</v>
      </c>
    </row>
    <row r="28" spans="1:8" ht="15.6" x14ac:dyDescent="0.3">
      <c r="A28" s="396"/>
      <c r="B28" s="138" t="s">
        <v>1075</v>
      </c>
      <c r="C28" s="170">
        <v>105</v>
      </c>
      <c r="D28" s="136"/>
    </row>
    <row r="29" spans="1:8" ht="15.6" x14ac:dyDescent="0.3">
      <c r="A29" s="396"/>
      <c r="B29" s="138" t="s">
        <v>1076</v>
      </c>
      <c r="C29" s="170">
        <v>268.2</v>
      </c>
      <c r="D29" s="136"/>
      <c r="E29" t="s">
        <v>1199</v>
      </c>
    </row>
    <row r="30" spans="1:8" ht="15.6" x14ac:dyDescent="0.3">
      <c r="A30" s="396"/>
      <c r="B30" s="138" t="s">
        <v>1077</v>
      </c>
      <c r="C30" s="170">
        <v>13.3</v>
      </c>
      <c r="D30" s="136"/>
      <c r="E30" t="s">
        <v>1198</v>
      </c>
    </row>
    <row r="31" spans="1:8" ht="15.6" x14ac:dyDescent="0.3">
      <c r="A31" s="396"/>
      <c r="B31" s="138" t="s">
        <v>1078</v>
      </c>
      <c r="C31" s="170">
        <v>27</v>
      </c>
      <c r="D31" s="136"/>
      <c r="E31" t="s">
        <v>1200</v>
      </c>
    </row>
    <row r="32" spans="1:8" ht="15.6" x14ac:dyDescent="0.3">
      <c r="A32" s="396"/>
      <c r="B32" s="138" t="s">
        <v>1096</v>
      </c>
      <c r="C32" s="170">
        <v>260</v>
      </c>
      <c r="D32" s="136"/>
      <c r="E32" t="s">
        <v>1201</v>
      </c>
    </row>
    <row r="33" spans="1:7" ht="15.6" x14ac:dyDescent="0.3">
      <c r="A33" s="396"/>
      <c r="B33" s="297" t="s">
        <v>1081</v>
      </c>
      <c r="C33" s="299">
        <v>110</v>
      </c>
      <c r="D33" s="136"/>
      <c r="E33" t="s">
        <v>1203</v>
      </c>
    </row>
    <row r="34" spans="1:7" ht="16.2" thickBot="1" x14ac:dyDescent="0.35">
      <c r="A34" s="397"/>
      <c r="B34" s="138"/>
      <c r="C34" s="169">
        <f>SUM(C27:C33)</f>
        <v>1283.5</v>
      </c>
      <c r="D34" s="136"/>
      <c r="G34">
        <v>1283.3</v>
      </c>
    </row>
    <row r="35" spans="1:7" ht="16.2" thickTop="1" x14ac:dyDescent="0.3">
      <c r="A35" s="381"/>
      <c r="B35" s="138" t="s">
        <v>1097</v>
      </c>
      <c r="C35" s="183">
        <f>+D26-C34</f>
        <v>216.5</v>
      </c>
      <c r="D35" s="136"/>
    </row>
    <row r="36" spans="1:7" ht="15.6" x14ac:dyDescent="0.3">
      <c r="A36" s="172">
        <v>3</v>
      </c>
      <c r="B36" s="136" t="s">
        <v>1098</v>
      </c>
      <c r="C36" s="136" t="s">
        <v>1099</v>
      </c>
      <c r="D36" s="185">
        <v>1650</v>
      </c>
    </row>
    <row r="37" spans="1:7" ht="15.6" x14ac:dyDescent="0.3">
      <c r="A37" s="172">
        <v>4</v>
      </c>
      <c r="B37" s="136" t="s">
        <v>1100</v>
      </c>
      <c r="C37" s="136" t="s">
        <v>1099</v>
      </c>
      <c r="D37" s="168">
        <v>805</v>
      </c>
    </row>
    <row r="38" spans="1:7" ht="15.6" x14ac:dyDescent="0.3">
      <c r="A38" s="172">
        <v>5</v>
      </c>
      <c r="B38" s="136" t="s">
        <v>1101</v>
      </c>
      <c r="C38" s="136"/>
      <c r="D38" s="185">
        <v>200</v>
      </c>
    </row>
    <row r="39" spans="1:7" ht="15.6" x14ac:dyDescent="0.3">
      <c r="A39" s="172"/>
      <c r="B39" s="136"/>
      <c r="C39" s="136"/>
      <c r="D39" s="136"/>
    </row>
    <row r="40" spans="1:7" ht="15.6" x14ac:dyDescent="0.3">
      <c r="A40" s="172"/>
      <c r="B40" s="136"/>
      <c r="C40" s="136"/>
      <c r="D40" s="136"/>
    </row>
    <row r="41" spans="1:7" ht="15.6" x14ac:dyDescent="0.3">
      <c r="A41" s="172"/>
      <c r="B41" s="136" t="s">
        <v>1131</v>
      </c>
      <c r="C41" s="184"/>
      <c r="D41" s="136">
        <v>137</v>
      </c>
      <c r="E41" t="s">
        <v>1157</v>
      </c>
    </row>
    <row r="42" spans="1:7" ht="15.6" x14ac:dyDescent="0.3">
      <c r="A42" s="172"/>
      <c r="B42" s="136" t="s">
        <v>1142</v>
      </c>
      <c r="C42" s="136"/>
      <c r="D42" s="136">
        <v>500</v>
      </c>
      <c r="E42" s="192" t="s">
        <v>1176</v>
      </c>
    </row>
    <row r="43" spans="1:7" ht="15.6" x14ac:dyDescent="0.3">
      <c r="A43" s="172"/>
      <c r="B43" s="187" t="s">
        <v>1147</v>
      </c>
      <c r="C43" s="136"/>
      <c r="D43" s="136">
        <v>195</v>
      </c>
      <c r="E43" t="s">
        <v>1158</v>
      </c>
    </row>
    <row r="44" spans="1:7" ht="15.6" x14ac:dyDescent="0.3">
      <c r="A44" s="186"/>
      <c r="B44" s="188" t="s">
        <v>1148</v>
      </c>
      <c r="C44" s="136"/>
      <c r="D44" s="136">
        <v>51</v>
      </c>
      <c r="E44" t="s">
        <v>1159</v>
      </c>
    </row>
    <row r="45" spans="1:7" ht="15.6" x14ac:dyDescent="0.3">
      <c r="A45" s="186"/>
      <c r="B45" s="188" t="s">
        <v>1149</v>
      </c>
      <c r="C45" s="136"/>
      <c r="D45" s="136">
        <v>1081</v>
      </c>
      <c r="E45" t="s">
        <v>1158</v>
      </c>
    </row>
    <row r="46" spans="1:7" ht="15.6" x14ac:dyDescent="0.3">
      <c r="A46" s="186"/>
      <c r="B46" s="189" t="s">
        <v>1164</v>
      </c>
      <c r="C46" s="136"/>
      <c r="D46" s="136">
        <v>168.2</v>
      </c>
      <c r="E46" t="s">
        <v>1162</v>
      </c>
    </row>
    <row r="47" spans="1:7" ht="15.6" x14ac:dyDescent="0.3">
      <c r="A47" s="186"/>
      <c r="B47" s="189" t="s">
        <v>1165</v>
      </c>
      <c r="C47" s="136"/>
      <c r="D47" s="136">
        <v>436</v>
      </c>
      <c r="E47" t="s">
        <v>1163</v>
      </c>
    </row>
    <row r="48" spans="1:7" ht="15.6" x14ac:dyDescent="0.3">
      <c r="A48" s="186"/>
      <c r="B48" s="189" t="s">
        <v>1165</v>
      </c>
      <c r="C48" s="136"/>
      <c r="D48" s="136">
        <v>147.80000000000001</v>
      </c>
      <c r="E48" t="s">
        <v>1163</v>
      </c>
    </row>
    <row r="49" spans="1:5" ht="15.6" x14ac:dyDescent="0.3">
      <c r="A49" s="186"/>
      <c r="B49" s="189" t="s">
        <v>1155</v>
      </c>
      <c r="C49" s="136"/>
      <c r="D49" s="136">
        <v>600</v>
      </c>
      <c r="E49" t="s">
        <v>1166</v>
      </c>
    </row>
    <row r="50" spans="1:5" ht="15.6" x14ac:dyDescent="0.3">
      <c r="A50" s="186"/>
      <c r="B50" s="189" t="s">
        <v>1156</v>
      </c>
      <c r="C50" s="136"/>
      <c r="D50" s="136">
        <v>85</v>
      </c>
      <c r="E50" t="s">
        <v>1161</v>
      </c>
    </row>
    <row r="51" spans="1:5" ht="15.6" x14ac:dyDescent="0.3">
      <c r="A51" s="186"/>
      <c r="B51" s="189" t="s">
        <v>1167</v>
      </c>
      <c r="C51" s="136"/>
      <c r="D51" s="185"/>
      <c r="E51" t="s">
        <v>1174</v>
      </c>
    </row>
    <row r="52" spans="1:5" ht="15.6" x14ac:dyDescent="0.3">
      <c r="A52" s="186"/>
      <c r="B52" s="189" t="s">
        <v>1170</v>
      </c>
      <c r="C52" s="136"/>
      <c r="D52" s="136">
        <v>250</v>
      </c>
      <c r="E52" t="s">
        <v>1160</v>
      </c>
    </row>
    <row r="53" spans="1:5" ht="15.6" x14ac:dyDescent="0.3">
      <c r="A53" s="186"/>
      <c r="B53" s="190" t="s">
        <v>1171</v>
      </c>
      <c r="C53" s="187"/>
      <c r="D53" s="187">
        <v>535</v>
      </c>
      <c r="E53" t="s">
        <v>1173</v>
      </c>
    </row>
    <row r="54" spans="1:5" ht="15.6" x14ac:dyDescent="0.3">
      <c r="A54" s="186"/>
      <c r="B54" s="189"/>
      <c r="C54" s="188"/>
      <c r="D54" s="188"/>
    </row>
    <row r="55" spans="1:5" ht="15.6" x14ac:dyDescent="0.3">
      <c r="A55" s="186"/>
      <c r="B55" s="189" t="s">
        <v>1172</v>
      </c>
      <c r="C55" s="188"/>
      <c r="D55" s="188"/>
    </row>
    <row r="56" spans="1:5" ht="15.6" x14ac:dyDescent="0.3">
      <c r="A56" s="186"/>
      <c r="B56" s="189" t="s">
        <v>1168</v>
      </c>
      <c r="C56" s="188"/>
      <c r="D56" s="188">
        <v>500</v>
      </c>
    </row>
    <row r="57" spans="1:5" ht="15.6" x14ac:dyDescent="0.3">
      <c r="A57" s="186"/>
      <c r="B57" s="189" t="s">
        <v>1169</v>
      </c>
      <c r="C57" s="188"/>
      <c r="D57" s="188">
        <v>50</v>
      </c>
    </row>
    <row r="58" spans="1:5" ht="15.6" x14ac:dyDescent="0.3">
      <c r="A58" s="186"/>
      <c r="B58" s="188" t="s">
        <v>1175</v>
      </c>
      <c r="C58" s="188"/>
      <c r="D58" s="191"/>
    </row>
    <row r="59" spans="1:5" ht="15.6" x14ac:dyDescent="0.3">
      <c r="A59" s="186"/>
      <c r="B59" s="188"/>
      <c r="C59" s="188"/>
      <c r="D59" s="188"/>
    </row>
    <row r="60" spans="1:5" ht="15.6" x14ac:dyDescent="0.3">
      <c r="A60" s="135"/>
      <c r="B60" s="136" t="s">
        <v>1102</v>
      </c>
      <c r="C60" s="136"/>
      <c r="D60" s="137">
        <f>SUM(D25:D50)</f>
        <v>9356</v>
      </c>
    </row>
    <row r="61" spans="1:5" ht="15.6" x14ac:dyDescent="0.3">
      <c r="A61" s="131"/>
      <c r="B61" s="132"/>
      <c r="C61" s="132"/>
      <c r="D61" s="132"/>
    </row>
    <row r="62" spans="1:5" ht="15.6" x14ac:dyDescent="0.3">
      <c r="A62" s="131" t="s">
        <v>1103</v>
      </c>
      <c r="B62" s="132"/>
      <c r="C62" s="132"/>
      <c r="D62" s="132"/>
    </row>
    <row r="63" spans="1:5" ht="15.6" x14ac:dyDescent="0.3">
      <c r="A63" s="131"/>
      <c r="B63" s="132"/>
      <c r="C63" s="132"/>
      <c r="D63" s="132"/>
    </row>
    <row r="64" spans="1:5" ht="15.6" x14ac:dyDescent="0.3">
      <c r="A64" s="171" t="s">
        <v>1208</v>
      </c>
      <c r="B64" s="301" t="s">
        <v>1089</v>
      </c>
      <c r="C64" s="309" t="s">
        <v>1061</v>
      </c>
      <c r="D64" s="314" t="s">
        <v>1061</v>
      </c>
    </row>
    <row r="65" spans="1:7" ht="15.6" x14ac:dyDescent="0.3">
      <c r="A65" s="172">
        <v>1</v>
      </c>
      <c r="B65" s="135" t="s">
        <v>1205</v>
      </c>
      <c r="C65" s="310">
        <v>21286.69</v>
      </c>
      <c r="D65" s="315"/>
    </row>
    <row r="66" spans="1:7" ht="15.6" x14ac:dyDescent="0.3">
      <c r="A66" s="172">
        <v>2</v>
      </c>
      <c r="B66" s="135" t="s">
        <v>1210</v>
      </c>
      <c r="C66" s="304">
        <v>0</v>
      </c>
      <c r="D66" s="316"/>
    </row>
    <row r="67" spans="1:7" ht="15.6" x14ac:dyDescent="0.3">
      <c r="A67" s="172">
        <v>3</v>
      </c>
      <c r="B67" s="135" t="s">
        <v>1206</v>
      </c>
      <c r="C67" s="304">
        <v>5710</v>
      </c>
      <c r="D67" s="316">
        <f>SUM(C65:C67)</f>
        <v>26996.69</v>
      </c>
    </row>
    <row r="68" spans="1:7" ht="15.6" x14ac:dyDescent="0.3">
      <c r="A68" s="135"/>
      <c r="B68" s="135"/>
      <c r="C68" s="303"/>
      <c r="D68" s="188"/>
    </row>
    <row r="69" spans="1:7" ht="15.6" x14ac:dyDescent="0.3">
      <c r="A69" s="135"/>
      <c r="B69" s="135"/>
      <c r="C69" s="303"/>
      <c r="D69" s="188"/>
    </row>
    <row r="70" spans="1:7" ht="15.6" x14ac:dyDescent="0.3">
      <c r="A70" s="135"/>
      <c r="B70" s="135" t="s">
        <v>1204</v>
      </c>
      <c r="C70" s="302">
        <v>-1800</v>
      </c>
      <c r="D70" s="317"/>
      <c r="E70" s="305"/>
      <c r="F70" s="306"/>
      <c r="G70" s="305"/>
    </row>
    <row r="71" spans="1:7" ht="15.6" x14ac:dyDescent="0.3">
      <c r="A71" s="135"/>
      <c r="B71" s="135"/>
      <c r="C71" s="302">
        <v>-1500</v>
      </c>
      <c r="D71" s="188"/>
      <c r="E71" s="307"/>
      <c r="F71" s="306"/>
      <c r="G71" s="307"/>
    </row>
    <row r="72" spans="1:7" ht="15.6" x14ac:dyDescent="0.3">
      <c r="A72" s="135"/>
      <c r="B72" s="135"/>
      <c r="C72" s="302">
        <v>-1650</v>
      </c>
      <c r="D72" s="188"/>
      <c r="E72" s="307"/>
      <c r="F72" s="306"/>
      <c r="G72" s="307"/>
    </row>
    <row r="73" spans="1:7" ht="15.6" x14ac:dyDescent="0.3">
      <c r="A73" s="135"/>
      <c r="B73" s="135"/>
      <c r="C73" s="302">
        <v>-805</v>
      </c>
      <c r="D73" s="188"/>
      <c r="E73" s="307"/>
      <c r="F73" s="306"/>
      <c r="G73" s="307"/>
    </row>
    <row r="74" spans="1:7" ht="15.6" x14ac:dyDescent="0.3">
      <c r="A74" s="135"/>
      <c r="B74" s="135" t="s">
        <v>1211</v>
      </c>
      <c r="C74" s="302">
        <v>-0.4</v>
      </c>
      <c r="D74" s="317">
        <f>SUM(C70:C74)</f>
        <v>-5755.4</v>
      </c>
      <c r="E74" s="308"/>
      <c r="F74" s="306"/>
      <c r="G74" s="308"/>
    </row>
    <row r="75" spans="1:7" ht="15.6" x14ac:dyDescent="0.3">
      <c r="A75" s="135"/>
      <c r="B75" s="135"/>
      <c r="C75" s="303"/>
      <c r="D75" s="188"/>
    </row>
    <row r="76" spans="1:7" ht="15.6" x14ac:dyDescent="0.3">
      <c r="A76" s="135"/>
      <c r="B76" s="135" t="s">
        <v>1104</v>
      </c>
      <c r="C76" s="311"/>
      <c r="D76" s="318">
        <f>SUM(D67:D74)</f>
        <v>21241.29</v>
      </c>
    </row>
    <row r="77" spans="1:7" ht="15.6" x14ac:dyDescent="0.3">
      <c r="A77" s="135"/>
      <c r="B77" s="135" t="s">
        <v>1105</v>
      </c>
      <c r="C77" s="312" t="s">
        <v>1106</v>
      </c>
      <c r="D77" s="319" t="s">
        <v>1106</v>
      </c>
    </row>
    <row r="78" spans="1:7" ht="15.6" x14ac:dyDescent="0.3">
      <c r="A78" s="135"/>
      <c r="B78" s="135" t="s">
        <v>1107</v>
      </c>
      <c r="C78" s="313" t="s">
        <v>1106</v>
      </c>
      <c r="D78" s="320" t="s">
        <v>1106</v>
      </c>
    </row>
    <row r="79" spans="1:7" ht="15.6" x14ac:dyDescent="0.3">
      <c r="A79" s="131"/>
      <c r="B79" s="132"/>
      <c r="C79" s="132"/>
      <c r="D79" s="132"/>
    </row>
    <row r="83" spans="1:1" ht="15.6" x14ac:dyDescent="0.3">
      <c r="A83" s="139" t="s">
        <v>1108</v>
      </c>
    </row>
    <row r="84" spans="1:1" ht="15.6" x14ac:dyDescent="0.3">
      <c r="A84" s="139"/>
    </row>
    <row r="85" spans="1:1" ht="15.6" x14ac:dyDescent="0.3">
      <c r="A85" s="139" t="s">
        <v>1109</v>
      </c>
    </row>
    <row r="86" spans="1:1" ht="15.6" x14ac:dyDescent="0.3">
      <c r="A86" s="139"/>
    </row>
    <row r="87" spans="1:1" ht="15.6" x14ac:dyDescent="0.3">
      <c r="A87" s="139" t="s">
        <v>1110</v>
      </c>
    </row>
    <row r="88" spans="1:1" ht="15.6" x14ac:dyDescent="0.3">
      <c r="A88" s="139"/>
    </row>
    <row r="89" spans="1:1" ht="15.6" x14ac:dyDescent="0.3">
      <c r="A89" s="139" t="s">
        <v>1111</v>
      </c>
    </row>
    <row r="90" spans="1:1" ht="15.6" x14ac:dyDescent="0.3">
      <c r="A90" s="139"/>
    </row>
    <row r="91" spans="1:1" ht="15.6" x14ac:dyDescent="0.3">
      <c r="A91" s="139" t="s">
        <v>1112</v>
      </c>
    </row>
    <row r="92" spans="1:1" ht="15.6" x14ac:dyDescent="0.3">
      <c r="A92" s="139"/>
    </row>
    <row r="93" spans="1:1" ht="15.6" x14ac:dyDescent="0.3">
      <c r="A93" s="139" t="s">
        <v>1113</v>
      </c>
    </row>
    <row r="94" spans="1:1" ht="15.6" x14ac:dyDescent="0.3">
      <c r="A94" s="139"/>
    </row>
    <row r="95" spans="1:1" ht="15.6" x14ac:dyDescent="0.3">
      <c r="A95" s="139" t="s">
        <v>1114</v>
      </c>
    </row>
    <row r="96" spans="1:1" ht="15.6" x14ac:dyDescent="0.3">
      <c r="A96" s="139"/>
    </row>
    <row r="97" spans="1:1" ht="15.6" x14ac:dyDescent="0.3">
      <c r="A97" s="139" t="s">
        <v>1115</v>
      </c>
    </row>
    <row r="98" spans="1:1" ht="15.6" x14ac:dyDescent="0.3">
      <c r="A98" s="139"/>
    </row>
    <row r="99" spans="1:1" ht="15.6" x14ac:dyDescent="0.3">
      <c r="A99" s="139" t="s">
        <v>1116</v>
      </c>
    </row>
    <row r="100" spans="1:1" ht="15.6" x14ac:dyDescent="0.3">
      <c r="A100" s="139"/>
    </row>
    <row r="101" spans="1:1" ht="15.6" x14ac:dyDescent="0.3">
      <c r="A101" s="139" t="s">
        <v>1117</v>
      </c>
    </row>
    <row r="102" spans="1:1" ht="15.6" x14ac:dyDescent="0.3">
      <c r="A102" s="139"/>
    </row>
    <row r="103" spans="1:1" ht="15.6" x14ac:dyDescent="0.3">
      <c r="A103" s="139" t="s">
        <v>1118</v>
      </c>
    </row>
    <row r="104" spans="1:1" ht="15.6" x14ac:dyDescent="0.3">
      <c r="A104" s="139"/>
    </row>
    <row r="105" spans="1:1" ht="15.6" x14ac:dyDescent="0.3">
      <c r="A105" s="139" t="s">
        <v>1119</v>
      </c>
    </row>
    <row r="106" spans="1:1" ht="15.6" x14ac:dyDescent="0.3">
      <c r="A106" s="139"/>
    </row>
    <row r="107" spans="1:1" ht="15.6" x14ac:dyDescent="0.3">
      <c r="A107" s="139" t="s">
        <v>1120</v>
      </c>
    </row>
    <row r="108" spans="1:1" ht="15.6" x14ac:dyDescent="0.3">
      <c r="A108" s="139"/>
    </row>
  </sheetData>
  <mergeCells count="1">
    <mergeCell ref="A27:A35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D1000"/>
  <sheetViews>
    <sheetView workbookViewId="0"/>
  </sheetViews>
  <sheetFormatPr defaultColWidth="14.44140625" defaultRowHeight="15" customHeight="1" x14ac:dyDescent="0.3"/>
  <cols>
    <col min="1" max="26" width="8.88671875" customWidth="1"/>
  </cols>
  <sheetData>
    <row r="3" spans="1:4" ht="14.4" x14ac:dyDescent="0.3">
      <c r="A3" s="20" t="s">
        <v>1121</v>
      </c>
      <c r="C3" s="140" t="s">
        <v>759</v>
      </c>
      <c r="D3" s="20">
        <v>100</v>
      </c>
    </row>
    <row r="4" spans="1:4" ht="14.4" x14ac:dyDescent="0.3">
      <c r="A4" s="20" t="s">
        <v>1122</v>
      </c>
      <c r="C4" s="141" t="s">
        <v>747</v>
      </c>
      <c r="D4" s="20">
        <v>100</v>
      </c>
    </row>
    <row r="5" spans="1:4" ht="14.4" x14ac:dyDescent="0.3">
      <c r="A5" s="20" t="s">
        <v>1123</v>
      </c>
      <c r="C5" s="141" t="s">
        <v>771</v>
      </c>
      <c r="D5" s="20">
        <v>100</v>
      </c>
    </row>
    <row r="6" spans="1:4" ht="14.4" x14ac:dyDescent="0.3">
      <c r="A6" s="20" t="s">
        <v>1124</v>
      </c>
      <c r="C6" s="141" t="s">
        <v>838</v>
      </c>
      <c r="D6" s="20">
        <v>200</v>
      </c>
    </row>
    <row r="7" spans="1:4" ht="14.4" x14ac:dyDescent="0.3">
      <c r="A7" s="20" t="s">
        <v>1125</v>
      </c>
      <c r="C7" s="141" t="s">
        <v>711</v>
      </c>
      <c r="D7" s="20">
        <v>300</v>
      </c>
    </row>
    <row r="8" spans="1:4" ht="14.4" x14ac:dyDescent="0.3">
      <c r="A8" s="20" t="s">
        <v>1126</v>
      </c>
      <c r="D8" s="20">
        <v>150</v>
      </c>
    </row>
    <row r="9" spans="1:4" ht="14.4" x14ac:dyDescent="0.3">
      <c r="A9" s="20" t="s">
        <v>1127</v>
      </c>
      <c r="C9" s="20" t="s">
        <v>748</v>
      </c>
    </row>
    <row r="10" spans="1:4" ht="14.4" x14ac:dyDescent="0.3">
      <c r="A10" s="20" t="s">
        <v>1128</v>
      </c>
      <c r="C10" s="141" t="s">
        <v>721</v>
      </c>
      <c r="D10" s="20">
        <v>100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portrait"/>
  <headerFooter>
    <oddFooter>&amp;L000000Open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Rekod register</vt:lpstr>
      <vt:lpstr>Yuran 2017</vt:lpstr>
      <vt:lpstr>Yuran 2018</vt:lpstr>
      <vt:lpstr>Yuran 2019</vt:lpstr>
      <vt:lpstr>Yuran 2020</vt:lpstr>
      <vt:lpstr>Yuran 2021</vt:lpstr>
      <vt:lpstr>Tunggakan Yuran (31.12.2022) A</vt:lpstr>
      <vt:lpstr>Yuran 2022</vt:lpstr>
      <vt:lpstr>Yuran 2023</vt:lpstr>
      <vt:lpstr>Tunggakan Yuran (Bendahari Farh</vt:lpstr>
      <vt:lpstr>Catatan Perbelanjaan 2022</vt:lpstr>
      <vt:lpstr>Penyata Kewangan Tahun 2022</vt:lpstr>
      <vt:lpstr>Sumbangan Raya 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MARWELIES BIN MOHD YUSOFF</cp:lastModifiedBy>
  <dcterms:created xsi:type="dcterms:W3CDTF">2017-01-07T02:50:27Z</dcterms:created>
  <dcterms:modified xsi:type="dcterms:W3CDTF">2025-02-13T08:40:20Z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09b689e3-521d-479c-9f4e-f08b591c0dc6</vt:lpwstr>
  </property>
  <property fmtid="{D5CDD505-2E9C-101B-9397-08002B2CF9AE}" pid="3" name="bjSaver">
    <vt:lpwstr>xbsTL7ibUUPb8faJLMeuszb2bmTEIiuB</vt:lpwstr>
  </property>
  <property fmtid="{D5CDD505-2E9C-101B-9397-08002B2CF9AE}" pid="4" name="ContentTypeId">
    <vt:lpwstr>0x010100FC7D3C101C4FB747BF0F118ACA3CCBA2</vt:lpwstr>
  </property>
  <property fmtid="{D5CDD505-2E9C-101B-9397-08002B2CF9AE}" pid="5" name="bjDocumentLabelXML">
    <vt:lpwstr>&lt;?xml version="1.0" encoding="us-ascii"?&gt;&lt;sisl xmlns:xsd="http://www.w3.org/2001/XMLSchema" xmlns:xsi="http://www.w3.org/2001/XMLSchema-instance" sislVersion="0" policy="a894df29-9e07-45ae-95a6-4e7eb881815a" xmlns="http://www.boldonjames.com/2008/01/sie/i</vt:lpwstr>
  </property>
  <property fmtid="{D5CDD505-2E9C-101B-9397-08002B2CF9AE}" pid="6" name="bjDocumentLabelXML-0">
    <vt:lpwstr>nternal/label"&gt;&lt;element uid="156167bd-046a-459b-9d5a-a42ee179a501" value="" /&gt;&lt;element uid="01a40373-b9dd-4b9b-9ec4-eb7a27c52a46" value="" /&gt;&lt;element uid="88b1ccf5-78db-4d3a-a0cb-abb5249bc791" value="" /&gt;&lt;/sisl&gt;</vt:lpwstr>
  </property>
  <property fmtid="{D5CDD505-2E9C-101B-9397-08002B2CF9AE}" pid="7" name="bjDocumentSecurityLabel">
    <vt:lpwstr>[Open]</vt:lpwstr>
  </property>
  <property fmtid="{D5CDD505-2E9C-101B-9397-08002B2CF9AE}" pid="8" name="DCSMetadata">
    <vt:lpwstr>P37r0n45DCS_OpenExternal</vt:lpwstr>
  </property>
  <property fmtid="{D5CDD505-2E9C-101B-9397-08002B2CF9AE}" pid="9" name="bjLeftFooterLabel">
    <vt:lpwstr>&amp;"Verdana,Regular"&amp;6&amp;K000000Open</vt:lpwstr>
  </property>
</Properties>
</file>