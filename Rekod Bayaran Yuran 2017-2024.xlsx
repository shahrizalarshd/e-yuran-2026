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TT\"/>
    </mc:Choice>
  </mc:AlternateContent>
  <xr:revisionPtr revIDLastSave="0" documentId="13_ncr:1_{415CDA41-9216-4797-8B65-4C93F9644A6B}" xr6:coauthVersionLast="36" xr6:coauthVersionMax="36" xr10:uidLastSave="{00000000-0000-0000-0000-000000000000}"/>
  <bookViews>
    <workbookView xWindow="0" yWindow="0" windowWidth="19344" windowHeight="6744" activeTab="7" xr2:uid="{2562C89C-4F1E-4CB7-966A-DB11010FD6A4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3" i="8" l="1"/>
  <c r="P143" i="8"/>
  <c r="O143" i="8"/>
  <c r="N143" i="8"/>
  <c r="M143" i="8"/>
  <c r="L143" i="8"/>
  <c r="K143" i="8"/>
  <c r="J143" i="8"/>
  <c r="I143" i="8"/>
  <c r="H143" i="8"/>
  <c r="G143" i="8"/>
  <c r="F143" i="8"/>
  <c r="E143" i="8"/>
  <c r="E144" i="8" s="1"/>
  <c r="R141" i="8"/>
  <c r="R140" i="8"/>
  <c r="R139" i="8"/>
  <c r="R138" i="8"/>
  <c r="R137" i="8"/>
  <c r="R136" i="8"/>
  <c r="R135" i="8"/>
  <c r="R134" i="8"/>
  <c r="R133" i="8"/>
  <c r="R132" i="8"/>
  <c r="R131" i="8"/>
  <c r="R129" i="8"/>
  <c r="R127" i="8"/>
  <c r="R126" i="8"/>
  <c r="R118" i="8"/>
  <c r="R117" i="8"/>
  <c r="R111" i="8"/>
  <c r="R96" i="8"/>
  <c r="R95" i="8"/>
  <c r="R94" i="8"/>
  <c r="R93" i="8"/>
  <c r="R92" i="8"/>
  <c r="R91" i="8"/>
  <c r="R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143" i="8" s="1"/>
  <c r="X6" i="8"/>
  <c r="X8" i="8" s="1"/>
  <c r="T143" i="7"/>
  <c r="S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R145" i="7" s="1"/>
  <c r="R141" i="7"/>
  <c r="R140" i="7"/>
  <c r="R139" i="7"/>
  <c r="R138" i="7"/>
  <c r="R137" i="7"/>
  <c r="R136" i="7"/>
  <c r="R135" i="7"/>
  <c r="R134" i="7"/>
  <c r="R133" i="7"/>
  <c r="R132" i="7"/>
  <c r="R131" i="7"/>
  <c r="R129" i="7"/>
  <c r="R127" i="7"/>
  <c r="R126" i="7"/>
  <c r="R118" i="7"/>
  <c r="R117" i="7"/>
  <c r="R111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R7" i="7"/>
  <c r="R143" i="7" s="1"/>
  <c r="C3" i="7" s="1"/>
  <c r="X6" i="7"/>
  <c r="X8" i="7" s="1"/>
  <c r="U143" i="6"/>
  <c r="T143" i="6"/>
  <c r="S143" i="6"/>
  <c r="S146" i="6" s="1"/>
  <c r="S147" i="6" s="1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E144" i="6" s="1"/>
  <c r="R136" i="6"/>
  <c r="R117" i="6"/>
  <c r="R94" i="6"/>
  <c r="R81" i="6"/>
  <c r="R79" i="6"/>
  <c r="R68" i="6"/>
  <c r="R59" i="6"/>
  <c r="R58" i="6"/>
  <c r="R54" i="6"/>
  <c r="R49" i="6"/>
  <c r="R46" i="6"/>
  <c r="R45" i="6"/>
  <c r="R41" i="6"/>
  <c r="R40" i="6"/>
  <c r="R31" i="6"/>
  <c r="R26" i="6"/>
  <c r="R25" i="6"/>
  <c r="R24" i="6"/>
  <c r="R14" i="6"/>
  <c r="R13" i="6"/>
  <c r="R143" i="6" s="1"/>
  <c r="C3" i="6" s="1"/>
  <c r="R12" i="6"/>
  <c r="R10" i="6"/>
  <c r="Y6" i="6"/>
  <c r="Y8" i="6" s="1"/>
  <c r="V3" i="6"/>
  <c r="S143" i="5"/>
  <c r="S146" i="5" s="1"/>
  <c r="S147" i="5" s="1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R141" i="5"/>
  <c r="R139" i="5"/>
  <c r="U138" i="5"/>
  <c r="T138" i="5"/>
  <c r="T143" i="5" s="1"/>
  <c r="U137" i="5"/>
  <c r="R136" i="5"/>
  <c r="U136" i="5" s="1"/>
  <c r="U135" i="5"/>
  <c r="U143" i="5" s="1"/>
  <c r="R134" i="5"/>
  <c r="R131" i="5"/>
  <c r="R129" i="5"/>
  <c r="R117" i="5"/>
  <c r="R111" i="5"/>
  <c r="R94" i="5"/>
  <c r="R89" i="5"/>
  <c r="R79" i="5"/>
  <c r="R74" i="5"/>
  <c r="R73" i="5"/>
  <c r="R69" i="5"/>
  <c r="R68" i="5"/>
  <c r="R66" i="5"/>
  <c r="R54" i="5"/>
  <c r="R49" i="5"/>
  <c r="R47" i="5"/>
  <c r="R46" i="5"/>
  <c r="R45" i="5"/>
  <c r="R44" i="5"/>
  <c r="R41" i="5"/>
  <c r="R40" i="5"/>
  <c r="R39" i="5"/>
  <c r="R38" i="5"/>
  <c r="R24" i="5"/>
  <c r="R20" i="5"/>
  <c r="R19" i="5"/>
  <c r="R16" i="5"/>
  <c r="R15" i="5"/>
  <c r="R14" i="5"/>
  <c r="R13" i="5"/>
  <c r="R12" i="5"/>
  <c r="R9" i="5"/>
  <c r="Y8" i="5"/>
  <c r="R7" i="5"/>
  <c r="R143" i="5" s="1"/>
  <c r="Y6" i="5"/>
  <c r="V3" i="5"/>
  <c r="T143" i="4"/>
  <c r="S143" i="4"/>
  <c r="S146" i="4" s="1"/>
  <c r="S147" i="4" s="1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E144" i="4" s="1"/>
  <c r="U139" i="4"/>
  <c r="U138" i="4"/>
  <c r="T138" i="4"/>
  <c r="U137" i="4"/>
  <c r="R136" i="4"/>
  <c r="U136" i="4" s="1"/>
  <c r="U135" i="4"/>
  <c r="R134" i="4"/>
  <c r="R94" i="4"/>
  <c r="R89" i="4"/>
  <c r="R66" i="4"/>
  <c r="R54" i="4"/>
  <c r="R52" i="4"/>
  <c r="R48" i="4"/>
  <c r="R41" i="4"/>
  <c r="R40" i="4"/>
  <c r="R38" i="4"/>
  <c r="R35" i="4"/>
  <c r="R34" i="4"/>
  <c r="R33" i="4"/>
  <c r="R24" i="4"/>
  <c r="U24" i="4" s="1"/>
  <c r="R21" i="4"/>
  <c r="R20" i="4"/>
  <c r="R12" i="4"/>
  <c r="U10" i="4"/>
  <c r="U143" i="4" s="1"/>
  <c r="R10" i="4"/>
  <c r="R9" i="4"/>
  <c r="R7" i="4"/>
  <c r="R143" i="4" s="1"/>
  <c r="C3" i="4" s="1"/>
  <c r="Y6" i="4"/>
  <c r="Y8" i="4" s="1"/>
  <c r="V3" i="4"/>
  <c r="W3" i="4" s="1"/>
  <c r="S146" i="3"/>
  <c r="S147" i="3" s="1"/>
  <c r="S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U139" i="3"/>
  <c r="U138" i="3"/>
  <c r="T138" i="3"/>
  <c r="U137" i="3"/>
  <c r="R136" i="3"/>
  <c r="U136" i="3" s="1"/>
  <c r="U135" i="3"/>
  <c r="U134" i="3"/>
  <c r="R134" i="3"/>
  <c r="U133" i="3"/>
  <c r="U132" i="3"/>
  <c r="U131" i="3"/>
  <c r="R131" i="3"/>
  <c r="U130" i="3"/>
  <c r="R129" i="3"/>
  <c r="U129" i="3" s="1"/>
  <c r="U128" i="3"/>
  <c r="R127" i="3"/>
  <c r="U127" i="3" s="1"/>
  <c r="U126" i="3"/>
  <c r="U125" i="3"/>
  <c r="U124" i="3"/>
  <c r="U123" i="3"/>
  <c r="U122" i="3"/>
  <c r="U121" i="3"/>
  <c r="U120" i="3"/>
  <c r="U119" i="3"/>
  <c r="U118" i="3"/>
  <c r="R117" i="3"/>
  <c r="U117" i="3" s="1"/>
  <c r="U116" i="3"/>
  <c r="U115" i="3"/>
  <c r="U114" i="3"/>
  <c r="U113" i="3"/>
  <c r="U112" i="3"/>
  <c r="U111" i="3"/>
  <c r="R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R94" i="3"/>
  <c r="U94" i="3" s="1"/>
  <c r="U93" i="3"/>
  <c r="U92" i="3"/>
  <c r="R91" i="3"/>
  <c r="U91" i="3" s="1"/>
  <c r="U90" i="3"/>
  <c r="R89" i="3"/>
  <c r="U89" i="3" s="1"/>
  <c r="R88" i="3"/>
  <c r="U88" i="3" s="1"/>
  <c r="U87" i="3"/>
  <c r="U86" i="3"/>
  <c r="U85" i="3"/>
  <c r="U84" i="3"/>
  <c r="U83" i="3"/>
  <c r="U82" i="3"/>
  <c r="U81" i="3"/>
  <c r="U80" i="3"/>
  <c r="R79" i="3"/>
  <c r="U79" i="3" s="1"/>
  <c r="R78" i="3"/>
  <c r="U78" i="3" s="1"/>
  <c r="U77" i="3"/>
  <c r="U76" i="3"/>
  <c r="U75" i="3"/>
  <c r="U74" i="3"/>
  <c r="R74" i="3"/>
  <c r="U73" i="3"/>
  <c r="T73" i="3"/>
  <c r="U72" i="3"/>
  <c r="T72" i="3"/>
  <c r="R71" i="3"/>
  <c r="U71" i="3" s="1"/>
  <c r="U70" i="3"/>
  <c r="T70" i="3"/>
  <c r="U69" i="3"/>
  <c r="T69" i="3"/>
  <c r="U68" i="3"/>
  <c r="U67" i="3"/>
  <c r="U66" i="3"/>
  <c r="T66" i="3"/>
  <c r="R66" i="3"/>
  <c r="R59" i="3"/>
  <c r="U55" i="3"/>
  <c r="T55" i="3"/>
  <c r="R55" i="3"/>
  <c r="R54" i="3"/>
  <c r="R52" i="3"/>
  <c r="R49" i="3"/>
  <c r="R46" i="3"/>
  <c r="R45" i="3"/>
  <c r="U44" i="3"/>
  <c r="U43" i="3"/>
  <c r="R43" i="3"/>
  <c r="U42" i="3"/>
  <c r="R41" i="3"/>
  <c r="U41" i="3" s="1"/>
  <c r="R40" i="3"/>
  <c r="U40" i="3" s="1"/>
  <c r="U39" i="3"/>
  <c r="U38" i="3"/>
  <c r="R38" i="3"/>
  <c r="R37" i="3"/>
  <c r="U37" i="3" s="1"/>
  <c r="U36" i="3"/>
  <c r="R36" i="3"/>
  <c r="R35" i="3"/>
  <c r="U35" i="3" s="1"/>
  <c r="U34" i="3"/>
  <c r="R34" i="3"/>
  <c r="R33" i="3"/>
  <c r="U33" i="3" s="1"/>
  <c r="U32" i="3"/>
  <c r="R31" i="3"/>
  <c r="U31" i="3" s="1"/>
  <c r="U30" i="3"/>
  <c r="U29" i="3"/>
  <c r="R29" i="3"/>
  <c r="R28" i="3"/>
  <c r="U28" i="3" s="1"/>
  <c r="U27" i="3"/>
  <c r="R26" i="3"/>
  <c r="U26" i="3" s="1"/>
  <c r="R25" i="3"/>
  <c r="U25" i="3" s="1"/>
  <c r="R24" i="3"/>
  <c r="U24" i="3" s="1"/>
  <c r="U23" i="3"/>
  <c r="U22" i="3"/>
  <c r="R21" i="3"/>
  <c r="U21" i="3" s="1"/>
  <c r="R20" i="3"/>
  <c r="U20" i="3" s="1"/>
  <c r="R19" i="3"/>
  <c r="U19" i="3" s="1"/>
  <c r="U18" i="3"/>
  <c r="U17" i="3"/>
  <c r="U16" i="3"/>
  <c r="U15" i="3"/>
  <c r="R14" i="3"/>
  <c r="U14" i="3" s="1"/>
  <c r="R13" i="3"/>
  <c r="U13" i="3" s="1"/>
  <c r="U12" i="3"/>
  <c r="U11" i="3"/>
  <c r="R11" i="3"/>
  <c r="R10" i="3"/>
  <c r="U10" i="3" s="1"/>
  <c r="R9" i="3"/>
  <c r="R8" i="3"/>
  <c r="U8" i="3" s="1"/>
  <c r="U7" i="3"/>
  <c r="R7" i="3"/>
  <c r="Y6" i="3"/>
  <c r="Y8" i="3" s="1"/>
  <c r="V3" i="3"/>
  <c r="C3" i="8" l="1"/>
  <c r="E144" i="7"/>
  <c r="W3" i="6"/>
  <c r="C3" i="5"/>
  <c r="W3" i="5" s="1"/>
  <c r="E144" i="5"/>
  <c r="U143" i="3"/>
  <c r="R143" i="3"/>
  <c r="C3" i="3" s="1"/>
  <c r="W3" i="3" s="1"/>
  <c r="T71" i="3"/>
  <c r="T143" i="3" s="1"/>
  <c r="E144" i="3"/>
  <c r="Q143" i="2" l="1"/>
  <c r="P143" i="2"/>
  <c r="O143" i="2"/>
  <c r="N143" i="2"/>
  <c r="M143" i="2"/>
  <c r="L143" i="2"/>
  <c r="K143" i="2"/>
  <c r="J143" i="2"/>
  <c r="I143" i="2"/>
  <c r="H143" i="2"/>
  <c r="G143" i="2"/>
  <c r="F143" i="2"/>
  <c r="E143" i="2"/>
  <c r="E144" i="2" s="1"/>
  <c r="S141" i="2"/>
  <c r="R141" i="2"/>
  <c r="R140" i="2"/>
  <c r="S140" i="2" s="1"/>
  <c r="R139" i="2"/>
  <c r="U139" i="2" s="1"/>
  <c r="R138" i="2"/>
  <c r="T138" i="2" s="1"/>
  <c r="U137" i="2"/>
  <c r="R137" i="2"/>
  <c r="S137" i="2" s="1"/>
  <c r="R136" i="2"/>
  <c r="U136" i="2" s="1"/>
  <c r="R135" i="2"/>
  <c r="U135" i="2" s="1"/>
  <c r="R134" i="2"/>
  <c r="U134" i="2" s="1"/>
  <c r="S133" i="2"/>
  <c r="R133" i="2"/>
  <c r="U133" i="2" s="1"/>
  <c r="U132" i="2"/>
  <c r="S132" i="2"/>
  <c r="R132" i="2"/>
  <c r="S131" i="2"/>
  <c r="R131" i="2"/>
  <c r="U131" i="2" s="1"/>
  <c r="R130" i="2"/>
  <c r="U130" i="2" s="1"/>
  <c r="U129" i="2"/>
  <c r="R129" i="2"/>
  <c r="S129" i="2" s="1"/>
  <c r="R128" i="2"/>
  <c r="U128" i="2" s="1"/>
  <c r="R127" i="2"/>
  <c r="U127" i="2" s="1"/>
  <c r="R126" i="2"/>
  <c r="U126" i="2" s="1"/>
  <c r="S125" i="2"/>
  <c r="R125" i="2"/>
  <c r="U125" i="2" s="1"/>
  <c r="U124" i="2"/>
  <c r="S124" i="2"/>
  <c r="R124" i="2"/>
  <c r="U123" i="2"/>
  <c r="S123" i="2"/>
  <c r="R123" i="2"/>
  <c r="R122" i="2"/>
  <c r="U122" i="2" s="1"/>
  <c r="U121" i="2"/>
  <c r="R121" i="2"/>
  <c r="S121" i="2" s="1"/>
  <c r="R120" i="2"/>
  <c r="U120" i="2" s="1"/>
  <c r="R119" i="2"/>
  <c r="U119" i="2" s="1"/>
  <c r="S118" i="2"/>
  <c r="R118" i="2"/>
  <c r="U118" i="2" s="1"/>
  <c r="S117" i="2"/>
  <c r="R117" i="2"/>
  <c r="U117" i="2" s="1"/>
  <c r="U116" i="2"/>
  <c r="S116" i="2"/>
  <c r="R116" i="2"/>
  <c r="U115" i="2"/>
  <c r="S115" i="2"/>
  <c r="R115" i="2"/>
  <c r="R114" i="2"/>
  <c r="U114" i="2" s="1"/>
  <c r="U113" i="2"/>
  <c r="R113" i="2"/>
  <c r="S113" i="2" s="1"/>
  <c r="R112" i="2"/>
  <c r="U112" i="2" s="1"/>
  <c r="R111" i="2"/>
  <c r="S111" i="2" s="1"/>
  <c r="S110" i="2"/>
  <c r="R110" i="2"/>
  <c r="U110" i="2" s="1"/>
  <c r="S109" i="2"/>
  <c r="R109" i="2"/>
  <c r="U109" i="2" s="1"/>
  <c r="U108" i="2"/>
  <c r="S108" i="2"/>
  <c r="R108" i="2"/>
  <c r="U107" i="2"/>
  <c r="S107" i="2"/>
  <c r="R107" i="2"/>
  <c r="R106" i="2"/>
  <c r="U106" i="2" s="1"/>
  <c r="U105" i="2"/>
  <c r="R105" i="2"/>
  <c r="S105" i="2" s="1"/>
  <c r="R104" i="2"/>
  <c r="U104" i="2" s="1"/>
  <c r="R103" i="2"/>
  <c r="S103" i="2" s="1"/>
  <c r="S102" i="2"/>
  <c r="R102" i="2"/>
  <c r="U102" i="2" s="1"/>
  <c r="S101" i="2"/>
  <c r="R101" i="2"/>
  <c r="U101" i="2" s="1"/>
  <c r="U100" i="2"/>
  <c r="S100" i="2"/>
  <c r="R100" i="2"/>
  <c r="U99" i="2"/>
  <c r="S99" i="2"/>
  <c r="R99" i="2"/>
  <c r="R98" i="2"/>
  <c r="U98" i="2" s="1"/>
  <c r="U97" i="2"/>
  <c r="R97" i="2"/>
  <c r="S97" i="2" s="1"/>
  <c r="R96" i="2"/>
  <c r="U96" i="2" s="1"/>
  <c r="R95" i="2"/>
  <c r="U95" i="2" s="1"/>
  <c r="S94" i="2"/>
  <c r="R94" i="2"/>
  <c r="U94" i="2" s="1"/>
  <c r="S93" i="2"/>
  <c r="R93" i="2"/>
  <c r="U93" i="2" s="1"/>
  <c r="U92" i="2"/>
  <c r="S92" i="2"/>
  <c r="R92" i="2"/>
  <c r="U91" i="2"/>
  <c r="S91" i="2"/>
  <c r="R91" i="2"/>
  <c r="R90" i="2"/>
  <c r="U90" i="2" s="1"/>
  <c r="U89" i="2"/>
  <c r="R89" i="2"/>
  <c r="S89" i="2" s="1"/>
  <c r="R88" i="2"/>
  <c r="U88" i="2" s="1"/>
  <c r="R87" i="2"/>
  <c r="S87" i="2" s="1"/>
  <c r="S86" i="2"/>
  <c r="R86" i="2"/>
  <c r="U86" i="2" s="1"/>
  <c r="S85" i="2"/>
  <c r="R85" i="2"/>
  <c r="U85" i="2" s="1"/>
  <c r="U84" i="2"/>
  <c r="S84" i="2"/>
  <c r="R84" i="2"/>
  <c r="U83" i="2"/>
  <c r="S83" i="2"/>
  <c r="R83" i="2"/>
  <c r="R82" i="2"/>
  <c r="U82" i="2" s="1"/>
  <c r="U81" i="2"/>
  <c r="R81" i="2"/>
  <c r="S81" i="2" s="1"/>
  <c r="R80" i="2"/>
  <c r="U80" i="2" s="1"/>
  <c r="R79" i="2"/>
  <c r="S79" i="2" s="1"/>
  <c r="S78" i="2"/>
  <c r="R78" i="2"/>
  <c r="U78" i="2" s="1"/>
  <c r="S77" i="2"/>
  <c r="R77" i="2"/>
  <c r="U77" i="2" s="1"/>
  <c r="U76" i="2"/>
  <c r="S76" i="2"/>
  <c r="R76" i="2"/>
  <c r="U75" i="2"/>
  <c r="S75" i="2"/>
  <c r="R75" i="2"/>
  <c r="R74" i="2"/>
  <c r="U74" i="2" s="1"/>
  <c r="U73" i="2"/>
  <c r="S73" i="2"/>
  <c r="R73" i="2"/>
  <c r="T73" i="2" s="1"/>
  <c r="R72" i="2"/>
  <c r="T72" i="2" s="1"/>
  <c r="R71" i="2"/>
  <c r="T70" i="2"/>
  <c r="S70" i="2"/>
  <c r="R70" i="2"/>
  <c r="U70" i="2" s="1"/>
  <c r="R69" i="2"/>
  <c r="R68" i="2"/>
  <c r="S68" i="2" s="1"/>
  <c r="S67" i="2"/>
  <c r="R67" i="2"/>
  <c r="U67" i="2" s="1"/>
  <c r="R66" i="2"/>
  <c r="T66" i="2" s="1"/>
  <c r="U65" i="2"/>
  <c r="S65" i="2"/>
  <c r="R65" i="2"/>
  <c r="T65" i="2" s="1"/>
  <c r="R64" i="2"/>
  <c r="T64" i="2" s="1"/>
  <c r="U63" i="2"/>
  <c r="S63" i="2"/>
  <c r="R63" i="2"/>
  <c r="T63" i="2" s="1"/>
  <c r="S62" i="2"/>
  <c r="R62" i="2"/>
  <c r="U62" i="2" s="1"/>
  <c r="U61" i="2"/>
  <c r="S61" i="2"/>
  <c r="R61" i="2"/>
  <c r="U60" i="2"/>
  <c r="S60" i="2"/>
  <c r="R60" i="2"/>
  <c r="R59" i="2"/>
  <c r="U59" i="2" s="1"/>
  <c r="U58" i="2"/>
  <c r="R58" i="2"/>
  <c r="S58" i="2" s="1"/>
  <c r="R57" i="2"/>
  <c r="U57" i="2" s="1"/>
  <c r="R56" i="2"/>
  <c r="S56" i="2" s="1"/>
  <c r="T55" i="2"/>
  <c r="S55" i="2"/>
  <c r="R55" i="2"/>
  <c r="U55" i="2" s="1"/>
  <c r="R54" i="2"/>
  <c r="U54" i="2" s="1"/>
  <c r="U53" i="2"/>
  <c r="R53" i="2"/>
  <c r="S53" i="2" s="1"/>
  <c r="R52" i="2"/>
  <c r="U52" i="2" s="1"/>
  <c r="R51" i="2"/>
  <c r="S51" i="2" s="1"/>
  <c r="S50" i="2"/>
  <c r="R50" i="2"/>
  <c r="U50" i="2" s="1"/>
  <c r="S49" i="2"/>
  <c r="R49" i="2"/>
  <c r="U49" i="2" s="1"/>
  <c r="U48" i="2"/>
  <c r="S48" i="2"/>
  <c r="R48" i="2"/>
  <c r="U47" i="2"/>
  <c r="S47" i="2"/>
  <c r="R47" i="2"/>
  <c r="R46" i="2"/>
  <c r="U46" i="2" s="1"/>
  <c r="S45" i="2"/>
  <c r="R45" i="2"/>
  <c r="U45" i="2" s="1"/>
  <c r="S44" i="2"/>
  <c r="R44" i="2"/>
  <c r="U44" i="2" s="1"/>
  <c r="U43" i="2"/>
  <c r="S43" i="2"/>
  <c r="R43" i="2"/>
  <c r="U42" i="2"/>
  <c r="S42" i="2"/>
  <c r="R42" i="2"/>
  <c r="R41" i="2"/>
  <c r="U41" i="2" s="1"/>
  <c r="U40" i="2"/>
  <c r="R40" i="2"/>
  <c r="S40" i="2" s="1"/>
  <c r="R39" i="2"/>
  <c r="U39" i="2" s="1"/>
  <c r="R38" i="2"/>
  <c r="S38" i="2" s="1"/>
  <c r="S37" i="2"/>
  <c r="R37" i="2"/>
  <c r="U37" i="2" s="1"/>
  <c r="S36" i="2"/>
  <c r="R36" i="2"/>
  <c r="U36" i="2" s="1"/>
  <c r="U35" i="2"/>
  <c r="S35" i="2"/>
  <c r="R35" i="2"/>
  <c r="U34" i="2"/>
  <c r="S34" i="2"/>
  <c r="R34" i="2"/>
  <c r="R33" i="2"/>
  <c r="U33" i="2" s="1"/>
  <c r="U32" i="2"/>
  <c r="R32" i="2"/>
  <c r="S32" i="2" s="1"/>
  <c r="R31" i="2"/>
  <c r="U31" i="2" s="1"/>
  <c r="R30" i="2"/>
  <c r="S30" i="2" s="1"/>
  <c r="S29" i="2"/>
  <c r="R29" i="2"/>
  <c r="U29" i="2" s="1"/>
  <c r="S28" i="2"/>
  <c r="R28" i="2"/>
  <c r="U28" i="2" s="1"/>
  <c r="U27" i="2"/>
  <c r="S27" i="2"/>
  <c r="R27" i="2"/>
  <c r="U26" i="2"/>
  <c r="R26" i="2"/>
  <c r="S26" i="2" s="1"/>
  <c r="R25" i="2"/>
  <c r="U25" i="2" s="1"/>
  <c r="U24" i="2"/>
  <c r="R24" i="2"/>
  <c r="S24" i="2" s="1"/>
  <c r="R23" i="2"/>
  <c r="U23" i="2" s="1"/>
  <c r="R22" i="2"/>
  <c r="U22" i="2" s="1"/>
  <c r="S21" i="2"/>
  <c r="R21" i="2"/>
  <c r="U21" i="2" s="1"/>
  <c r="S20" i="2"/>
  <c r="R20" i="2"/>
  <c r="U20" i="2" s="1"/>
  <c r="U19" i="2"/>
  <c r="S19" i="2"/>
  <c r="R19" i="2"/>
  <c r="U18" i="2"/>
  <c r="R18" i="2"/>
  <c r="S18" i="2" s="1"/>
  <c r="R17" i="2"/>
  <c r="U17" i="2" s="1"/>
  <c r="U16" i="2"/>
  <c r="R16" i="2"/>
  <c r="S16" i="2" s="1"/>
  <c r="R15" i="2"/>
  <c r="U15" i="2" s="1"/>
  <c r="R14" i="2"/>
  <c r="S14" i="2" s="1"/>
  <c r="S13" i="2"/>
  <c r="R13" i="2"/>
  <c r="U13" i="2" s="1"/>
  <c r="S12" i="2"/>
  <c r="R12" i="2"/>
  <c r="U12" i="2" s="1"/>
  <c r="U11" i="2"/>
  <c r="S11" i="2"/>
  <c r="R11" i="2"/>
  <c r="U10" i="2"/>
  <c r="R10" i="2"/>
  <c r="S10" i="2" s="1"/>
  <c r="R9" i="2"/>
  <c r="U9" i="2" s="1"/>
  <c r="Y8" i="2"/>
  <c r="S8" i="2"/>
  <c r="R8" i="2"/>
  <c r="U8" i="2" s="1"/>
  <c r="S7" i="2"/>
  <c r="R7" i="2"/>
  <c r="U7" i="2" s="1"/>
  <c r="Y6" i="2"/>
  <c r="V3" i="2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E144" i="1" s="1"/>
  <c r="R140" i="1"/>
  <c r="T139" i="1"/>
  <c r="R139" i="1"/>
  <c r="T138" i="1"/>
  <c r="S138" i="1"/>
  <c r="R138" i="1"/>
  <c r="R137" i="1"/>
  <c r="T137" i="1" s="1"/>
  <c r="T136" i="1"/>
  <c r="R136" i="1"/>
  <c r="R135" i="1"/>
  <c r="T135" i="1" s="1"/>
  <c r="R134" i="1"/>
  <c r="T134" i="1" s="1"/>
  <c r="R133" i="1"/>
  <c r="T133" i="1" s="1"/>
  <c r="T132" i="1"/>
  <c r="R132" i="1"/>
  <c r="R131" i="1"/>
  <c r="T131" i="1" s="1"/>
  <c r="R130" i="1"/>
  <c r="T130" i="1" s="1"/>
  <c r="R129" i="1"/>
  <c r="T129" i="1" s="1"/>
  <c r="T128" i="1"/>
  <c r="R128" i="1"/>
  <c r="R127" i="1"/>
  <c r="T127" i="1" s="1"/>
  <c r="R126" i="1"/>
  <c r="T126" i="1" s="1"/>
  <c r="R125" i="1"/>
  <c r="T125" i="1" s="1"/>
  <c r="T124" i="1"/>
  <c r="R124" i="1"/>
  <c r="R123" i="1"/>
  <c r="T123" i="1" s="1"/>
  <c r="R122" i="1"/>
  <c r="T122" i="1" s="1"/>
  <c r="R121" i="1"/>
  <c r="T121" i="1" s="1"/>
  <c r="T120" i="1"/>
  <c r="R120" i="1"/>
  <c r="R119" i="1"/>
  <c r="T119" i="1" s="1"/>
  <c r="R118" i="1"/>
  <c r="T118" i="1" s="1"/>
  <c r="R117" i="1"/>
  <c r="T117" i="1" s="1"/>
  <c r="T116" i="1"/>
  <c r="R116" i="1"/>
  <c r="R115" i="1"/>
  <c r="T115" i="1" s="1"/>
  <c r="R114" i="1"/>
  <c r="T114" i="1" s="1"/>
  <c r="R113" i="1"/>
  <c r="T113" i="1" s="1"/>
  <c r="T112" i="1"/>
  <c r="R112" i="1"/>
  <c r="R111" i="1"/>
  <c r="T111" i="1" s="1"/>
  <c r="R110" i="1"/>
  <c r="T110" i="1" s="1"/>
  <c r="R109" i="1"/>
  <c r="T109" i="1" s="1"/>
  <c r="T108" i="1"/>
  <c r="R108" i="1"/>
  <c r="R107" i="1"/>
  <c r="T107" i="1" s="1"/>
  <c r="R106" i="1"/>
  <c r="T106" i="1" s="1"/>
  <c r="R105" i="1"/>
  <c r="T105" i="1" s="1"/>
  <c r="T104" i="1"/>
  <c r="R104" i="1"/>
  <c r="R103" i="1"/>
  <c r="T103" i="1" s="1"/>
  <c r="R102" i="1"/>
  <c r="T102" i="1" s="1"/>
  <c r="R101" i="1"/>
  <c r="T101" i="1" s="1"/>
  <c r="T100" i="1"/>
  <c r="R100" i="1"/>
  <c r="R99" i="1"/>
  <c r="T99" i="1" s="1"/>
  <c r="R98" i="1"/>
  <c r="T98" i="1" s="1"/>
  <c r="R97" i="1"/>
  <c r="T97" i="1" s="1"/>
  <c r="T96" i="1"/>
  <c r="R96" i="1"/>
  <c r="R95" i="1"/>
  <c r="T95" i="1" s="1"/>
  <c r="R94" i="1"/>
  <c r="T94" i="1" s="1"/>
  <c r="R93" i="1"/>
  <c r="T93" i="1" s="1"/>
  <c r="T92" i="1"/>
  <c r="R92" i="1"/>
  <c r="R91" i="1"/>
  <c r="T91" i="1" s="1"/>
  <c r="R90" i="1"/>
  <c r="T90" i="1" s="1"/>
  <c r="R89" i="1"/>
  <c r="T89" i="1" s="1"/>
  <c r="T88" i="1"/>
  <c r="R88" i="1"/>
  <c r="T87" i="1"/>
  <c r="R86" i="1"/>
  <c r="T86" i="1" s="1"/>
  <c r="T85" i="1"/>
  <c r="R85" i="1"/>
  <c r="R84" i="1"/>
  <c r="T84" i="1" s="1"/>
  <c r="R83" i="1"/>
  <c r="T83" i="1" s="1"/>
  <c r="R82" i="1"/>
  <c r="T82" i="1" s="1"/>
  <c r="T81" i="1"/>
  <c r="R81" i="1"/>
  <c r="R80" i="1"/>
  <c r="T80" i="1" s="1"/>
  <c r="R79" i="1"/>
  <c r="T79" i="1" s="1"/>
  <c r="R78" i="1"/>
  <c r="T78" i="1" s="1"/>
  <c r="T77" i="1"/>
  <c r="R77" i="1"/>
  <c r="R76" i="1"/>
  <c r="T76" i="1" s="1"/>
  <c r="R75" i="1"/>
  <c r="T75" i="1" s="1"/>
  <c r="R74" i="1"/>
  <c r="T74" i="1" s="1"/>
  <c r="T73" i="1"/>
  <c r="R73" i="1"/>
  <c r="S73" i="1" s="1"/>
  <c r="T72" i="1"/>
  <c r="R72" i="1"/>
  <c r="S72" i="1" s="1"/>
  <c r="R71" i="1"/>
  <c r="T71" i="1" s="1"/>
  <c r="R70" i="1"/>
  <c r="T70" i="1" s="1"/>
  <c r="R69" i="1"/>
  <c r="T69" i="1" s="1"/>
  <c r="R68" i="1"/>
  <c r="T68" i="1" s="1"/>
  <c r="R67" i="1"/>
  <c r="T67" i="1" s="1"/>
  <c r="T66" i="1"/>
  <c r="R66" i="1"/>
  <c r="S66" i="1" s="1"/>
  <c r="R65" i="1"/>
  <c r="T65" i="1" s="1"/>
  <c r="R64" i="1"/>
  <c r="T64" i="1" s="1"/>
  <c r="R63" i="1"/>
  <c r="T63" i="1" s="1"/>
  <c r="R62" i="1"/>
  <c r="T62" i="1" s="1"/>
  <c r="R61" i="1"/>
  <c r="T61" i="1" s="1"/>
  <c r="T60" i="1"/>
  <c r="R60" i="1"/>
  <c r="R59" i="1"/>
  <c r="T59" i="1" s="1"/>
  <c r="R58" i="1"/>
  <c r="T58" i="1" s="1"/>
  <c r="R57" i="1"/>
  <c r="T57" i="1" s="1"/>
  <c r="T56" i="1"/>
  <c r="R56" i="1"/>
  <c r="R55" i="1"/>
  <c r="S55" i="1" s="1"/>
  <c r="T54" i="1"/>
  <c r="R54" i="1"/>
  <c r="R53" i="1"/>
  <c r="T53" i="1" s="1"/>
  <c r="R52" i="1"/>
  <c r="T52" i="1" s="1"/>
  <c r="R51" i="1"/>
  <c r="T51" i="1" s="1"/>
  <c r="T50" i="1"/>
  <c r="R50" i="1"/>
  <c r="R49" i="1"/>
  <c r="T49" i="1" s="1"/>
  <c r="R48" i="1"/>
  <c r="T48" i="1" s="1"/>
  <c r="R47" i="1"/>
  <c r="T47" i="1" s="1"/>
  <c r="T46" i="1"/>
  <c r="R46" i="1"/>
  <c r="S46" i="1" s="1"/>
  <c r="T45" i="1"/>
  <c r="R45" i="1"/>
  <c r="R44" i="1"/>
  <c r="T44" i="1" s="1"/>
  <c r="R43" i="1"/>
  <c r="T43" i="1" s="1"/>
  <c r="R42" i="1"/>
  <c r="T42" i="1" s="1"/>
  <c r="T41" i="1"/>
  <c r="R41" i="1"/>
  <c r="R40" i="1"/>
  <c r="T40" i="1" s="1"/>
  <c r="R39" i="1"/>
  <c r="T39" i="1" s="1"/>
  <c r="R38" i="1"/>
  <c r="T38" i="1" s="1"/>
  <c r="T37" i="1"/>
  <c r="R37" i="1"/>
  <c r="R36" i="1"/>
  <c r="T36" i="1" s="1"/>
  <c r="R35" i="1"/>
  <c r="T35" i="1" s="1"/>
  <c r="R34" i="1"/>
  <c r="T34" i="1" s="1"/>
  <c r="T33" i="1"/>
  <c r="R33" i="1"/>
  <c r="R32" i="1"/>
  <c r="T32" i="1" s="1"/>
  <c r="R31" i="1"/>
  <c r="T31" i="1" s="1"/>
  <c r="R30" i="1"/>
  <c r="T30" i="1" s="1"/>
  <c r="T29" i="1"/>
  <c r="R29" i="1"/>
  <c r="R28" i="1"/>
  <c r="T28" i="1" s="1"/>
  <c r="R27" i="1"/>
  <c r="T27" i="1" s="1"/>
  <c r="R26" i="1"/>
  <c r="T26" i="1" s="1"/>
  <c r="T25" i="1"/>
  <c r="R25" i="1"/>
  <c r="R24" i="1"/>
  <c r="T24" i="1" s="1"/>
  <c r="R23" i="1"/>
  <c r="T23" i="1" s="1"/>
  <c r="R22" i="1"/>
  <c r="T22" i="1" s="1"/>
  <c r="T21" i="1"/>
  <c r="R21" i="1"/>
  <c r="R20" i="1"/>
  <c r="T20" i="1" s="1"/>
  <c r="R19" i="1"/>
  <c r="T19" i="1" s="1"/>
  <c r="R18" i="1"/>
  <c r="T18" i="1" s="1"/>
  <c r="T17" i="1"/>
  <c r="R17" i="1"/>
  <c r="R16" i="1"/>
  <c r="T16" i="1" s="1"/>
  <c r="R15" i="1"/>
  <c r="T15" i="1" s="1"/>
  <c r="R14" i="1"/>
  <c r="T14" i="1" s="1"/>
  <c r="T13" i="1"/>
  <c r="R13" i="1"/>
  <c r="R12" i="1"/>
  <c r="T12" i="1" s="1"/>
  <c r="R11" i="1"/>
  <c r="T11" i="1" s="1"/>
  <c r="R10" i="1"/>
  <c r="T10" i="1" s="1"/>
  <c r="T9" i="1"/>
  <c r="R9" i="1"/>
  <c r="R8" i="1"/>
  <c r="T8" i="1" s="1"/>
  <c r="T7" i="1"/>
  <c r="R7" i="1"/>
  <c r="R143" i="1" s="1"/>
  <c r="C3" i="1" s="1"/>
  <c r="X6" i="1"/>
  <c r="X8" i="1" s="1"/>
  <c r="U3" i="1"/>
  <c r="S22" i="2" l="1"/>
  <c r="S95" i="2"/>
  <c r="S119" i="2"/>
  <c r="S127" i="2"/>
  <c r="S135" i="2"/>
  <c r="R143" i="2"/>
  <c r="C3" i="2" s="1"/>
  <c r="W3" i="2" s="1"/>
  <c r="S9" i="2"/>
  <c r="U14" i="2"/>
  <c r="U143" i="2" s="1"/>
  <c r="S17" i="2"/>
  <c r="S25" i="2"/>
  <c r="U30" i="2"/>
  <c r="S33" i="2"/>
  <c r="U38" i="2"/>
  <c r="S41" i="2"/>
  <c r="T46" i="2"/>
  <c r="T143" i="2" s="1"/>
  <c r="U51" i="2"/>
  <c r="S54" i="2"/>
  <c r="U56" i="2"/>
  <c r="S59" i="2"/>
  <c r="S64" i="2"/>
  <c r="S66" i="2"/>
  <c r="U68" i="2"/>
  <c r="S72" i="2"/>
  <c r="S74" i="2"/>
  <c r="U79" i="2"/>
  <c r="S82" i="2"/>
  <c r="U87" i="2"/>
  <c r="S90" i="2"/>
  <c r="S98" i="2"/>
  <c r="U103" i="2"/>
  <c r="S106" i="2"/>
  <c r="U111" i="2"/>
  <c r="S114" i="2"/>
  <c r="S122" i="2"/>
  <c r="S130" i="2"/>
  <c r="S138" i="2"/>
  <c r="S46" i="2"/>
  <c r="S15" i="2"/>
  <c r="S143" i="2" s="1"/>
  <c r="S146" i="2" s="1"/>
  <c r="S147" i="2" s="1"/>
  <c r="S23" i="2"/>
  <c r="S31" i="2"/>
  <c r="S39" i="2"/>
  <c r="S52" i="2"/>
  <c r="S57" i="2"/>
  <c r="U64" i="2"/>
  <c r="U66" i="2"/>
  <c r="U72" i="2"/>
  <c r="S80" i="2"/>
  <c r="S88" i="2"/>
  <c r="S96" i="2"/>
  <c r="S104" i="2"/>
  <c r="S112" i="2"/>
  <c r="S120" i="2"/>
  <c r="S128" i="2"/>
  <c r="S136" i="2"/>
  <c r="U138" i="2"/>
  <c r="S126" i="2"/>
  <c r="S134" i="2"/>
  <c r="S139" i="2"/>
  <c r="V3" i="1"/>
  <c r="S65" i="1"/>
  <c r="S71" i="1"/>
  <c r="T55" i="1"/>
  <c r="T143" i="1" s="1"/>
  <c r="U143" i="1" s="1"/>
  <c r="S63" i="1"/>
  <c r="S143" i="1" s="1"/>
  <c r="S145" i="1" s="1"/>
  <c r="S69" i="1"/>
  <c r="S64" i="1"/>
  <c r="S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C877F9D8-D291-47F4-8DA5-E39DCE41065E}">
      <text>
        <r>
          <rPr>
            <sz val="11"/>
            <color theme="1"/>
            <rFont val="Calibri"/>
            <family val="2"/>
            <scheme val="minor"/>
          </rPr>
          <t>======
ID#AAAALoinMQs
Administrator    (2021-03-09 06:06:32)
8/1/2017</t>
        </r>
      </text>
    </comment>
    <comment ref="Q15" authorId="0" shapeId="0" xr:uid="{783DF88D-6889-4801-993A-0E991A6EB91B}">
      <text>
        <r>
          <rPr>
            <sz val="11"/>
            <color theme="1"/>
            <rFont val="Calibri"/>
            <family val="2"/>
            <scheme val="minor"/>
          </rPr>
          <t>======
ID#AAAALoinMQk
Administrator    (2021-03-09 06:06:32)
8/1/17</t>
        </r>
      </text>
    </comment>
    <comment ref="E20" authorId="0" shapeId="0" xr:uid="{AF10EEBB-92D7-4FAA-ABA6-0ECE9BC3442D}">
      <text>
        <r>
          <rPr>
            <sz val="11"/>
            <color theme="1"/>
            <rFont val="Calibri"/>
            <family val="2"/>
            <scheme val="minor"/>
          </rPr>
          <t>======
ID#AAAALoinMQE
Administrator    (2021-03-09 06:06:32)
10/1/17</t>
        </r>
      </text>
    </comment>
    <comment ref="E22" authorId="0" shapeId="0" xr:uid="{9B0CB6C0-B36F-4A83-8F62-6C408D3A0A39}">
      <text>
        <r>
          <rPr>
            <sz val="11"/>
            <color theme="1"/>
            <rFont val="Calibri"/>
            <family val="2"/>
            <scheme val="minor"/>
          </rPr>
          <t>======
ID#AAAALoinMM0
Administrator    (2021-03-09 06:06:32)
7/1/2017</t>
        </r>
      </text>
    </comment>
    <comment ref="Q29" authorId="0" shapeId="0" xr:uid="{CE77618A-0E8E-489C-B0A3-13B01841C729}">
      <text>
        <r>
          <rPr>
            <sz val="11"/>
            <color theme="1"/>
            <rFont val="Calibri"/>
            <family val="2"/>
            <scheme val="minor"/>
          </rPr>
          <t>======
ID#AAAALoinMd8
Administrator    (2021-03-09 06:06:32)
10/1/17</t>
        </r>
      </text>
    </comment>
    <comment ref="E31" authorId="0" shapeId="0" xr:uid="{C19EA408-1243-4138-A5B4-8507696073B8}">
      <text>
        <r>
          <rPr>
            <sz val="11"/>
            <color theme="1"/>
            <rFont val="Calibri"/>
            <family val="2"/>
            <scheme val="minor"/>
          </rPr>
          <t>======
ID#AAAALoinMMI
Administrator    (2021-03-09 06:06:32)
10/1/17</t>
        </r>
      </text>
    </comment>
    <comment ref="Q31" authorId="0" shapeId="0" xr:uid="{C727C936-B1B1-446A-912D-D4C399251158}">
      <text>
        <r>
          <rPr>
            <sz val="11"/>
            <color theme="1"/>
            <rFont val="Calibri"/>
            <family val="2"/>
            <scheme val="minor"/>
          </rPr>
          <t>======
ID#AAAALoinMK8
Administrator    (2021-03-09 06:06:32)
10/1/17</t>
        </r>
      </text>
    </comment>
    <comment ref="E33" authorId="0" shapeId="0" xr:uid="{15AEA11A-9E39-4B3A-998A-5D6ABB0FA8BC}">
      <text>
        <r>
          <rPr>
            <sz val="11"/>
            <color theme="1"/>
            <rFont val="Calibri"/>
            <family val="2"/>
            <scheme val="minor"/>
          </rPr>
          <t>======
ID#AAAALoinMUs
Administrator    (2021-03-09 06:06:32)
10/1/17</t>
        </r>
      </text>
    </comment>
    <comment ref="Q33" authorId="0" shapeId="0" xr:uid="{1DD2C980-F555-4006-B16C-B79F24B86A69}">
      <text>
        <r>
          <rPr>
            <sz val="11"/>
            <color theme="1"/>
            <rFont val="Calibri"/>
            <family val="2"/>
            <scheme val="minor"/>
          </rPr>
          <t>======
ID#AAAALoinMSo
Administrator    (2021-03-09 06:06:32)
10/1/17</t>
        </r>
      </text>
    </comment>
    <comment ref="E34" authorId="0" shapeId="0" xr:uid="{4BD7A9A2-5A46-48F2-81C1-7E1353CF583E}">
      <text>
        <r>
          <rPr>
            <sz val="11"/>
            <color theme="1"/>
            <rFont val="Calibri"/>
            <family val="2"/>
            <scheme val="minor"/>
          </rPr>
          <t>======
ID#AAAALoinMNE
Administrator    (2021-03-09 06:06:32)
10/1/17</t>
        </r>
      </text>
    </comment>
    <comment ref="O34" authorId="0" shapeId="0" xr:uid="{F7C39684-AF4A-4F26-B563-26A218480464}">
      <text>
        <r>
          <rPr>
            <sz val="11"/>
            <color theme="1"/>
            <rFont val="Calibri"/>
            <family val="2"/>
            <scheme val="minor"/>
          </rPr>
          <t>======
ID#AAAALoinMXU
Administrator    (2021-03-09 06:06:32)
10/1/17</t>
        </r>
      </text>
    </comment>
    <comment ref="Q34" authorId="0" shapeId="0" xr:uid="{E7E571D1-71BF-4AD4-9738-10B3CBCFD17E}">
      <text>
        <r>
          <rPr>
            <sz val="11"/>
            <color theme="1"/>
            <rFont val="Calibri"/>
            <family val="2"/>
            <scheme val="minor"/>
          </rPr>
          <t>======
ID#AAAALoinMZk
Administrator    (2021-03-09 06:06:32)
26/1/17</t>
        </r>
      </text>
    </comment>
    <comment ref="E35" authorId="0" shapeId="0" xr:uid="{2E1BD87C-A3E8-41F8-AC8B-697FFB177999}">
      <text>
        <r>
          <rPr>
            <sz val="11"/>
            <color theme="1"/>
            <rFont val="Calibri"/>
            <family val="2"/>
            <scheme val="minor"/>
          </rPr>
          <t>======
ID#AAAALoinMYQ
Administrator    (2021-03-09 06:06:32)
12/1/17</t>
        </r>
      </text>
    </comment>
    <comment ref="Q35" authorId="0" shapeId="0" xr:uid="{1CDC6C27-5A7F-4795-91B6-360CC54C1975}">
      <text>
        <r>
          <rPr>
            <sz val="11"/>
            <color theme="1"/>
            <rFont val="Calibri"/>
            <family val="2"/>
            <scheme val="minor"/>
          </rPr>
          <t>======
ID#AAAALoinMW8
Administrator    (2021-03-09 06:06:32)
12/1/17</t>
        </r>
      </text>
    </comment>
    <comment ref="E36" authorId="0" shapeId="0" xr:uid="{9AE1694B-4820-48EF-A5F8-66E361897923}">
      <text>
        <r>
          <rPr>
            <sz val="11"/>
            <color theme="1"/>
            <rFont val="Calibri"/>
            <family val="2"/>
            <scheme val="minor"/>
          </rPr>
          <t>======
ID#AAAALoinMa8
Administrator    (2021-03-09 06:06:32)
12/1/17</t>
        </r>
      </text>
    </comment>
    <comment ref="Q36" authorId="0" shapeId="0" xr:uid="{049997E3-B641-4AFC-A33E-93C7B00D7B74}">
      <text>
        <r>
          <rPr>
            <sz val="11"/>
            <color theme="1"/>
            <rFont val="Calibri"/>
            <family val="2"/>
            <scheme val="minor"/>
          </rPr>
          <t>======
ID#AAAALoinMho
Administrator    (2021-03-09 06:06:32)
12/1/17</t>
        </r>
      </text>
    </comment>
    <comment ref="E37" authorId="0" shapeId="0" xr:uid="{4F65A61C-9014-4472-ABC6-EB05B0144B6A}">
      <text>
        <r>
          <rPr>
            <sz val="11"/>
            <color theme="1"/>
            <rFont val="Calibri"/>
            <family val="2"/>
            <scheme val="minor"/>
          </rPr>
          <t>======
ID#AAAALoinMQc
Administrator    (2021-03-09 06:06:32)
12/1/17</t>
        </r>
      </text>
    </comment>
    <comment ref="Q37" authorId="0" shapeId="0" xr:uid="{FFA34F76-BDD8-49A5-8F36-305030DD4B43}">
      <text>
        <r>
          <rPr>
            <sz val="11"/>
            <color theme="1"/>
            <rFont val="Calibri"/>
            <family val="2"/>
            <scheme val="minor"/>
          </rPr>
          <t>======
ID#AAAALoinMT0
Administrator    (2021-03-09 06:06:32)
12/1/17</t>
        </r>
      </text>
    </comment>
    <comment ref="E40" authorId="0" shapeId="0" xr:uid="{95AC9DF3-3DA7-4086-9922-6377A9A05159}">
      <text>
        <r>
          <rPr>
            <sz val="11"/>
            <color theme="1"/>
            <rFont val="Calibri"/>
            <family val="2"/>
            <scheme val="minor"/>
          </rPr>
          <t>======
ID#AAAALoinMYg
Administrator    (2021-03-09 06:06:32)
12/1/17</t>
        </r>
      </text>
    </comment>
    <comment ref="Q40" authorId="0" shapeId="0" xr:uid="{CDE2B58D-7B6F-4DE6-98B9-88C576D9B121}">
      <text>
        <r>
          <rPr>
            <sz val="11"/>
            <color theme="1"/>
            <rFont val="Calibri"/>
            <family val="2"/>
            <scheme val="minor"/>
          </rPr>
          <t>======
ID#AAAALoinMeU
Administrator    (2021-03-09 06:06:32)
12/1/17</t>
        </r>
      </text>
    </comment>
    <comment ref="E41" authorId="0" shapeId="0" xr:uid="{B6DA5163-4D6D-44A6-8BBF-2196B2181B23}">
      <text>
        <r>
          <rPr>
            <sz val="11"/>
            <color theme="1"/>
            <rFont val="Calibri"/>
            <family val="2"/>
            <scheme val="minor"/>
          </rPr>
          <t>======
ID#AAAALoinMR4
Administrator    (2021-03-09 06:06:32)
12/1/17</t>
        </r>
      </text>
    </comment>
    <comment ref="Q41" authorId="0" shapeId="0" xr:uid="{3FE5CC61-EC0C-47D3-8E9E-E4FEB3B03B31}">
      <text>
        <r>
          <rPr>
            <sz val="11"/>
            <color theme="1"/>
            <rFont val="Calibri"/>
            <family val="2"/>
            <scheme val="minor"/>
          </rPr>
          <t>======
ID#AAAALoinMZI
Administrator    (2021-03-09 06:06:32)
12/1/17</t>
        </r>
      </text>
    </comment>
    <comment ref="E42" authorId="0" shapeId="0" xr:uid="{1A728715-2113-40B2-9DB8-66144D2CE271}">
      <text>
        <r>
          <rPr>
            <sz val="11"/>
            <color theme="1"/>
            <rFont val="Calibri"/>
            <family val="2"/>
            <scheme val="minor"/>
          </rPr>
          <t>======
ID#AAAALoinMf8
Administrator    (2021-03-09 06:06:32)
12/1/17</t>
        </r>
      </text>
    </comment>
    <comment ref="H42" authorId="0" shapeId="0" xr:uid="{F06E65D3-5475-43B3-B25D-3E5CB7CAF6E5}">
      <text>
        <r>
          <rPr>
            <sz val="11"/>
            <color theme="1"/>
            <rFont val="Calibri"/>
            <family val="2"/>
            <scheme val="minor"/>
          </rPr>
          <t>======
ID#AAAALoinMRA
Administrator    (2021-03-09 06:06:32)
12/1/17</t>
        </r>
      </text>
    </comment>
    <comment ref="Q42" authorId="0" shapeId="0" xr:uid="{19457AB5-50BA-4F74-B0B2-37BE10BBB1CD}">
      <text>
        <r>
          <rPr>
            <sz val="11"/>
            <color theme="1"/>
            <rFont val="Calibri"/>
            <family val="2"/>
            <scheme val="minor"/>
          </rPr>
          <t>======
ID#AAAALoinMdM
Administrator    (2021-03-09 06:06:32)
12/1/17</t>
        </r>
      </text>
    </comment>
    <comment ref="E43" authorId="0" shapeId="0" xr:uid="{08AF4884-7E04-4939-BFD4-7FE4B780D874}">
      <text>
        <r>
          <rPr>
            <sz val="11"/>
            <color theme="1"/>
            <rFont val="Calibri"/>
            <family val="2"/>
            <scheme val="minor"/>
          </rPr>
          <t>======
ID#AAAALoinMbs
Administrator    (2021-03-09 06:06:32)
9/1/17</t>
        </r>
      </text>
    </comment>
    <comment ref="Q43" authorId="0" shapeId="0" xr:uid="{24F23CEB-044F-4F63-9002-38E7C2017D3C}">
      <text>
        <r>
          <rPr>
            <sz val="11"/>
            <color theme="1"/>
            <rFont val="Calibri"/>
            <family val="2"/>
            <scheme val="minor"/>
          </rPr>
          <t>======
ID#AAAALoinMLs
Administrator    (2021-03-09 06:06:32)
9/1/17</t>
        </r>
      </text>
    </comment>
    <comment ref="E44" authorId="0" shapeId="0" xr:uid="{F202ACBA-BF9D-44A5-B0F5-75321ADECEA0}">
      <text>
        <r>
          <rPr>
            <sz val="11"/>
            <color theme="1"/>
            <rFont val="Calibri"/>
            <family val="2"/>
            <scheme val="minor"/>
          </rPr>
          <t>======
ID#AAAALoinMdw
Administrator    (2021-03-09 06:06:32)
9/1/17</t>
        </r>
      </text>
    </comment>
    <comment ref="Q44" authorId="0" shapeId="0" xr:uid="{4D218553-3DE4-4DFC-B4C9-09BBC16C8888}">
      <text>
        <r>
          <rPr>
            <sz val="11"/>
            <color theme="1"/>
            <rFont val="Calibri"/>
            <family val="2"/>
            <scheme val="minor"/>
          </rPr>
          <t>======
ID#AAAALoinMMY
Administrator    (2021-03-09 06:06:32)
9/1/17</t>
        </r>
      </text>
    </comment>
    <comment ref="E45" authorId="0" shapeId="0" xr:uid="{D390B05D-C4EB-4F4A-8EDD-6A4D9366AE44}">
      <text>
        <r>
          <rPr>
            <sz val="11"/>
            <color theme="1"/>
            <rFont val="Calibri"/>
            <family val="2"/>
            <scheme val="minor"/>
          </rPr>
          <t>======
ID#AAAALoinMYE
Administrator    (2021-03-09 06:06:32)
13/1/17</t>
        </r>
      </text>
    </comment>
    <comment ref="Q45" authorId="0" shapeId="0" xr:uid="{0015A393-DE48-4DFF-9449-3CDDE6441871}">
      <text>
        <r>
          <rPr>
            <sz val="11"/>
            <color theme="1"/>
            <rFont val="Calibri"/>
            <family val="2"/>
            <scheme val="minor"/>
          </rPr>
          <t>======
ID#AAAALoinMWY
Administrator    (2021-03-09 06:06:32)
13/1/17</t>
        </r>
      </text>
    </comment>
    <comment ref="E46" authorId="0" shapeId="0" xr:uid="{4FE8ABE5-3CF4-4699-9E5B-998C212DB0C2}">
      <text>
        <r>
          <rPr>
            <sz val="11"/>
            <color theme="1"/>
            <rFont val="Calibri"/>
            <family val="2"/>
            <scheme val="minor"/>
          </rPr>
          <t>======
ID#AAAALoinMVI
Administrator    (2021-03-09 06:06:32)
13/1/17</t>
        </r>
      </text>
    </comment>
    <comment ref="Q46" authorId="0" shapeId="0" xr:uid="{5FB3D3C7-985F-473E-BAC9-F0F34CFCF565}">
      <text>
        <r>
          <rPr>
            <sz val="11"/>
            <color theme="1"/>
            <rFont val="Calibri"/>
            <family val="2"/>
            <scheme val="minor"/>
          </rPr>
          <t>======
ID#AAAALoinMZQ
Administrator    (2021-03-09 06:06:32)
13/1/17</t>
        </r>
      </text>
    </comment>
    <comment ref="E47" authorId="0" shapeId="0" xr:uid="{E9AB5717-9FD8-479D-B2D2-3778970B339D}">
      <text>
        <r>
          <rPr>
            <sz val="11"/>
            <color theme="1"/>
            <rFont val="Calibri"/>
            <family val="2"/>
            <scheme val="minor"/>
          </rPr>
          <t>======
ID#AAAALoinMgw
Administrator    (2021-03-09 06:06:32)
15/1/17</t>
        </r>
      </text>
    </comment>
    <comment ref="Q47" authorId="0" shapeId="0" xr:uid="{F83EF427-5732-42FC-B777-684BD1D85F96}">
      <text>
        <r>
          <rPr>
            <sz val="11"/>
            <color theme="1"/>
            <rFont val="Calibri"/>
            <family val="2"/>
            <scheme val="minor"/>
          </rPr>
          <t>======
ID#AAAALoinMQg
Administrator    (2021-03-09 06:06:32)
15/1/17</t>
        </r>
      </text>
    </comment>
    <comment ref="E48" authorId="0" shapeId="0" xr:uid="{2597BE9B-E699-4FB4-8D7E-2A71E3A19270}">
      <text>
        <r>
          <rPr>
            <sz val="11"/>
            <color theme="1"/>
            <rFont val="Calibri"/>
            <family val="2"/>
            <scheme val="minor"/>
          </rPr>
          <t>======
ID#AAAALoinMeE
Administrator    (2021-03-09 06:06:32)
13/1/17</t>
        </r>
      </text>
    </comment>
    <comment ref="Q48" authorId="0" shapeId="0" xr:uid="{42D6C3B8-047E-4376-B8D5-6133FFF7C3A8}">
      <text>
        <r>
          <rPr>
            <sz val="11"/>
            <color theme="1"/>
            <rFont val="Calibri"/>
            <family val="2"/>
            <scheme val="minor"/>
          </rPr>
          <t>======
ID#AAAALoinMMM
Administrator    (2021-03-09 06:06:32)
13/1/17</t>
        </r>
      </text>
    </comment>
    <comment ref="E49" authorId="0" shapeId="0" xr:uid="{1CB79DA0-ADB5-407B-B4AB-B574811064A3}">
      <text>
        <r>
          <rPr>
            <sz val="11"/>
            <color theme="1"/>
            <rFont val="Calibri"/>
            <family val="2"/>
            <scheme val="minor"/>
          </rPr>
          <t>======
ID#AAAALoinMb0
Administrator    (2021-03-09 06:06:32)
14/1/17</t>
        </r>
      </text>
    </comment>
    <comment ref="Q49" authorId="0" shapeId="0" xr:uid="{57E6374E-659E-485C-A4EE-2E548F365346}">
      <text>
        <r>
          <rPr>
            <sz val="11"/>
            <color theme="1"/>
            <rFont val="Calibri"/>
            <family val="2"/>
            <scheme val="minor"/>
          </rPr>
          <t>======
ID#AAAALoinMcM
Administrator    (2021-03-09 06:06:32)
14/1/17</t>
        </r>
      </text>
    </comment>
    <comment ref="E50" authorId="0" shapeId="0" xr:uid="{83FF727F-7497-4F27-B9A7-50CD8AE2295C}">
      <text>
        <r>
          <rPr>
            <sz val="11"/>
            <color theme="1"/>
            <rFont val="Calibri"/>
            <family val="2"/>
            <scheme val="minor"/>
          </rPr>
          <t>======
ID#AAAALoinMeo
Administrator    (2021-03-09 06:06:32)
15/1/17</t>
        </r>
      </text>
    </comment>
    <comment ref="Q50" authorId="0" shapeId="0" xr:uid="{D7B4431D-BA68-4EEF-8A48-6DB5D2616AF6}">
      <text>
        <r>
          <rPr>
            <sz val="11"/>
            <color theme="1"/>
            <rFont val="Calibri"/>
            <family val="2"/>
            <scheme val="minor"/>
          </rPr>
          <t>======
ID#AAAALoinMU4
Administrator    (2021-03-09 06:06:32)
15/1/17</t>
        </r>
      </text>
    </comment>
    <comment ref="E51" authorId="0" shapeId="0" xr:uid="{2A2CEEF3-FCA0-485E-8D79-0F28AF44CA08}">
      <text>
        <r>
          <rPr>
            <sz val="11"/>
            <color theme="1"/>
            <rFont val="Calibri"/>
            <family val="2"/>
            <scheme val="minor"/>
          </rPr>
          <t>======
ID#AAAALoinMgM
Administrator    (2021-03-09 06:06:32)
15/1/17</t>
        </r>
      </text>
    </comment>
    <comment ref="Q51" authorId="0" shapeId="0" xr:uid="{D2E88205-B1B8-430C-A80D-5A5480B73482}">
      <text>
        <r>
          <rPr>
            <sz val="11"/>
            <color theme="1"/>
            <rFont val="Calibri"/>
            <family val="2"/>
            <scheme val="minor"/>
          </rPr>
          <t>======
ID#AAAALoinMM4
Administrator    (2021-03-09 06:06:32)
15/1/17</t>
        </r>
      </text>
    </comment>
    <comment ref="E52" authorId="0" shapeId="0" xr:uid="{0B3709B9-2560-454B-BE84-C4BDAAFD01A5}">
      <text>
        <r>
          <rPr>
            <sz val="11"/>
            <color theme="1"/>
            <rFont val="Calibri"/>
            <family val="2"/>
            <scheme val="minor"/>
          </rPr>
          <t>======
ID#AAAALoinMaE
Administrator    (2021-03-09 06:06:32)
15/1/17</t>
        </r>
      </text>
    </comment>
    <comment ref="Q52" authorId="0" shapeId="0" xr:uid="{F97D68FA-325E-418A-B02F-33C75CD15AD4}">
      <text>
        <r>
          <rPr>
            <sz val="11"/>
            <color theme="1"/>
            <rFont val="Calibri"/>
            <family val="2"/>
            <scheme val="minor"/>
          </rPr>
          <t>======
ID#AAAALoinMRE
Administrator    (2021-03-09 06:06:32)
15/1/17</t>
        </r>
      </text>
    </comment>
    <comment ref="E53" authorId="0" shapeId="0" xr:uid="{D11D3AB2-5C67-4515-93E7-A5C1B6C0C88C}">
      <text>
        <r>
          <rPr>
            <sz val="11"/>
            <color theme="1"/>
            <rFont val="Calibri"/>
            <family val="2"/>
            <scheme val="minor"/>
          </rPr>
          <t>======
ID#AAAALoinMRc
Administrator    (2021-03-09 06:06:32)
15/1/17</t>
        </r>
      </text>
    </comment>
    <comment ref="Q53" authorId="0" shapeId="0" xr:uid="{6D128330-783F-4CF6-B80F-6A94A6FF26E4}">
      <text>
        <r>
          <rPr>
            <sz val="11"/>
            <color theme="1"/>
            <rFont val="Calibri"/>
            <family val="2"/>
            <scheme val="minor"/>
          </rPr>
          <t>======
ID#AAAALoinMiM
Administrator    (2021-03-09 06:06:32)
15/1/17</t>
        </r>
      </text>
    </comment>
    <comment ref="E54" authorId="0" shapeId="0" xr:uid="{BFFA3534-16AC-41F0-B8EE-869977746616}">
      <text>
        <r>
          <rPr>
            <sz val="11"/>
            <color theme="1"/>
            <rFont val="Calibri"/>
            <family val="2"/>
            <scheme val="minor"/>
          </rPr>
          <t>======
ID#AAAALoinMQM
Administrator    (2021-03-09 06:06:32)
15/1/17</t>
        </r>
      </text>
    </comment>
    <comment ref="Q54" authorId="0" shapeId="0" xr:uid="{47439937-3CBE-4B3E-849F-5A09BBC69922}">
      <text>
        <r>
          <rPr>
            <sz val="11"/>
            <color theme="1"/>
            <rFont val="Calibri"/>
            <family val="2"/>
            <scheme val="minor"/>
          </rPr>
          <t>======
ID#AAAALoinMS4
Administrator    (2021-03-09 06:06:32)
15/1/17</t>
        </r>
      </text>
    </comment>
    <comment ref="E55" authorId="0" shapeId="0" xr:uid="{D0327195-70E8-4B03-874B-FD19E17D5359}">
      <text>
        <r>
          <rPr>
            <sz val="11"/>
            <color theme="1"/>
            <rFont val="Calibri"/>
            <family val="2"/>
            <scheme val="minor"/>
          </rPr>
          <t>======
ID#AAAALoinMWg
Administrator    (2021-03-09 06:06:32)
16/1/17</t>
        </r>
      </text>
    </comment>
    <comment ref="Q55" authorId="0" shapeId="0" xr:uid="{48325F12-853A-4D9B-85A4-DA5FF5363507}">
      <text>
        <r>
          <rPr>
            <sz val="11"/>
            <color theme="1"/>
            <rFont val="Calibri"/>
            <family val="2"/>
            <scheme val="minor"/>
          </rPr>
          <t>======
ID#AAAALoinMLg
Administrator    (2021-03-09 06:06:32)
16/1/17</t>
        </r>
      </text>
    </comment>
    <comment ref="E56" authorId="0" shapeId="0" xr:uid="{165F841B-57AB-41BD-B052-F4B1724C9C49}">
      <text>
        <r>
          <rPr>
            <sz val="11"/>
            <color theme="1"/>
            <rFont val="Calibri"/>
            <family val="2"/>
            <scheme val="minor"/>
          </rPr>
          <t>======
ID#AAAALoinMhc
Administrator    (2021-03-09 06:06:32)
16/1/17</t>
        </r>
      </text>
    </comment>
    <comment ref="Q56" authorId="0" shapeId="0" xr:uid="{56AB24DF-8CC9-413A-9DC8-8AAFC229EC60}">
      <text>
        <r>
          <rPr>
            <sz val="11"/>
            <color theme="1"/>
            <rFont val="Calibri"/>
            <family val="2"/>
            <scheme val="minor"/>
          </rPr>
          <t>======
ID#AAAALoinMaU
Administrator    (2021-03-09 06:06:32)
16/1/17</t>
        </r>
      </text>
    </comment>
    <comment ref="E57" authorId="0" shapeId="0" xr:uid="{E9390679-9165-48AA-925A-717AA70C4F6F}">
      <text>
        <r>
          <rPr>
            <sz val="11"/>
            <color theme="1"/>
            <rFont val="Calibri"/>
            <family val="2"/>
            <scheme val="minor"/>
          </rPr>
          <t>======
ID#AAAALoinMaY
Administrator    (2021-03-09 06:06:32)
16/1/17</t>
        </r>
      </text>
    </comment>
    <comment ref="Q57" authorId="0" shapeId="0" xr:uid="{3DB49BA1-25CE-4B0B-8B7E-C1DF9AE10182}">
      <text>
        <r>
          <rPr>
            <sz val="11"/>
            <color theme="1"/>
            <rFont val="Calibri"/>
            <family val="2"/>
            <scheme val="minor"/>
          </rPr>
          <t>======
ID#AAAALoinMX4
Administrator    (2021-03-09 06:06:32)
16/1/17</t>
        </r>
      </text>
    </comment>
    <comment ref="E58" authorId="0" shapeId="0" xr:uid="{0686F834-A4F0-4D41-BFBB-FC7973F25A05}">
      <text>
        <r>
          <rPr>
            <sz val="11"/>
            <color theme="1"/>
            <rFont val="Calibri"/>
            <family val="2"/>
            <scheme val="minor"/>
          </rPr>
          <t>======
ID#AAAALoinMg4
Administrator    (2021-03-09 06:06:32)
19/1/17</t>
        </r>
      </text>
    </comment>
    <comment ref="Q58" authorId="0" shapeId="0" xr:uid="{D414458B-1234-4821-9FCB-30A8099727D0}">
      <text>
        <r>
          <rPr>
            <sz val="11"/>
            <color theme="1"/>
            <rFont val="Calibri"/>
            <family val="2"/>
            <scheme val="minor"/>
          </rPr>
          <t>======
ID#AAAALoinMdc
Administrator    (2021-03-09 06:06:32)
19/1/17</t>
        </r>
      </text>
    </comment>
    <comment ref="E60" authorId="0" shapeId="0" xr:uid="{4645108E-DA32-4ECD-901B-98FC3FF98DED}">
      <text>
        <r>
          <rPr>
            <sz val="11"/>
            <color theme="1"/>
            <rFont val="Calibri"/>
            <family val="2"/>
            <scheme val="minor"/>
          </rPr>
          <t>======
ID#AAAALoinMNM
Administrator    (2021-03-09 06:06:32)
19/1/17</t>
        </r>
      </text>
    </comment>
    <comment ref="Q60" authorId="0" shapeId="0" xr:uid="{E4C2280C-F34C-4A81-B4E9-06E1F143604A}">
      <text>
        <r>
          <rPr>
            <sz val="11"/>
            <color theme="1"/>
            <rFont val="Calibri"/>
            <family val="2"/>
            <scheme val="minor"/>
          </rPr>
          <t>======
ID#AAAALoinMSs
Administrator    (2021-03-09 06:06:32)
19/1/17</t>
        </r>
      </text>
    </comment>
    <comment ref="E61" authorId="0" shapeId="0" xr:uid="{2484264D-2856-4940-847A-24DA4769F7A2}">
      <text>
        <r>
          <rPr>
            <sz val="11"/>
            <color theme="1"/>
            <rFont val="Calibri"/>
            <family val="2"/>
            <scheme val="minor"/>
          </rPr>
          <t>======
ID#AAAALoinMbI
Administrator    (2021-03-09 06:06:32)
19/1/17</t>
        </r>
      </text>
    </comment>
    <comment ref="Q61" authorId="0" shapeId="0" xr:uid="{068A6E5C-670A-4419-AA7E-0A79E2CBEB5B}">
      <text>
        <r>
          <rPr>
            <sz val="11"/>
            <color theme="1"/>
            <rFont val="Calibri"/>
            <family val="2"/>
            <scheme val="minor"/>
          </rPr>
          <t>======
ID#AAAALoinMZs
Administrator    (2021-03-09 06:06:32)
19/1/17</t>
        </r>
      </text>
    </comment>
    <comment ref="E62" authorId="0" shapeId="0" xr:uid="{A36E7F87-6F15-473C-8835-B9621A2C3BA1}">
      <text>
        <r>
          <rPr>
            <sz val="11"/>
            <color theme="1"/>
            <rFont val="Calibri"/>
            <family val="2"/>
            <scheme val="minor"/>
          </rPr>
          <t>======
ID#AAAALoinMOY
Administrator    (2021-03-09 06:06:32)
19/1/17</t>
        </r>
      </text>
    </comment>
    <comment ref="E63" authorId="0" shapeId="0" xr:uid="{C6C833B3-A997-410D-90DF-9413E5839723}">
      <text>
        <r>
          <rPr>
            <sz val="11"/>
            <color theme="1"/>
            <rFont val="Calibri"/>
            <family val="2"/>
            <scheme val="minor"/>
          </rPr>
          <t>======
ID#AAAALoinMR0
Administrator    (2021-03-09 06:06:32)
20/1/17</t>
        </r>
      </text>
    </comment>
    <comment ref="E64" authorId="0" shapeId="0" xr:uid="{155DC159-5D00-49B5-A104-7D77C7C1286B}">
      <text>
        <r>
          <rPr>
            <sz val="11"/>
            <color theme="1"/>
            <rFont val="Calibri"/>
            <family val="2"/>
            <scheme val="minor"/>
          </rPr>
          <t>======
ID#AAAALoinMMk
Administrator    (2021-03-09 06:06:32)
20/1/17</t>
        </r>
      </text>
    </comment>
    <comment ref="Q64" authorId="0" shapeId="0" xr:uid="{6C929061-1B36-434B-8270-6B057082D894}">
      <text>
        <r>
          <rPr>
            <sz val="11"/>
            <color theme="1"/>
            <rFont val="Calibri"/>
            <family val="2"/>
            <scheme val="minor"/>
          </rPr>
          <t>======
ID#AAAALoinMcY
Administrator    (2021-03-09 06:06:32)
20/1/2017</t>
        </r>
      </text>
    </comment>
    <comment ref="E65" authorId="0" shapeId="0" xr:uid="{8622392E-4D0A-4D1A-B589-9DB2CC5BE0E3}">
      <text>
        <r>
          <rPr>
            <sz val="11"/>
            <color theme="1"/>
            <rFont val="Calibri"/>
            <family val="2"/>
            <scheme val="minor"/>
          </rPr>
          <t>======
ID#AAAALoinMPc
Administrator    (2021-03-09 06:06:32)
20/1/17</t>
        </r>
      </text>
    </comment>
    <comment ref="E66" authorId="0" shapeId="0" xr:uid="{2C6958F0-2815-45AF-AA6C-ED1CA47B5280}">
      <text>
        <r>
          <rPr>
            <sz val="11"/>
            <color theme="1"/>
            <rFont val="Calibri"/>
            <family val="2"/>
            <scheme val="minor"/>
          </rPr>
          <t>======
ID#AAAALoinMZw
Administrator    (2021-03-09 06:06:32)
20/1/17</t>
        </r>
      </text>
    </comment>
    <comment ref="Q66" authorId="0" shapeId="0" xr:uid="{D6A5ED84-706C-448C-993A-936080A01199}">
      <text>
        <r>
          <rPr>
            <sz val="11"/>
            <color theme="1"/>
            <rFont val="Calibri"/>
            <family val="2"/>
            <scheme val="minor"/>
          </rPr>
          <t>======
ID#AAAALoinMWk
Administrator    (2021-03-09 06:06:32)
20/1/2017</t>
        </r>
      </text>
    </comment>
    <comment ref="E67" authorId="0" shapeId="0" xr:uid="{78DD5035-B20E-47BD-8046-A7BCD1B1BB9B}">
      <text>
        <r>
          <rPr>
            <sz val="11"/>
            <color theme="1"/>
            <rFont val="Calibri"/>
            <family val="2"/>
            <scheme val="minor"/>
          </rPr>
          <t>======
ID#AAAALoinMOU
Administrator    (2021-03-09 06:06:32)
20/1/17</t>
        </r>
      </text>
    </comment>
    <comment ref="E68" authorId="0" shapeId="0" xr:uid="{2911AB43-BDC7-4783-984A-A422C3CB62E8}">
      <text>
        <r>
          <rPr>
            <sz val="11"/>
            <color theme="1"/>
            <rFont val="Calibri"/>
            <family val="2"/>
            <scheme val="minor"/>
          </rPr>
          <t>======
ID#AAAALoinMZc
Administrator    (2021-03-09 06:06:32)
20/1/17</t>
        </r>
      </text>
    </comment>
    <comment ref="E69" authorId="0" shapeId="0" xr:uid="{F802D9B9-82AD-4ED8-ABFC-96ECC12396ED}">
      <text>
        <r>
          <rPr>
            <sz val="11"/>
            <color theme="1"/>
            <rFont val="Calibri"/>
            <family val="2"/>
            <scheme val="minor"/>
          </rPr>
          <t>======
ID#AAAALoinMV0
Administrator    (2021-03-09 06:06:32)
20/1/17</t>
        </r>
      </text>
    </comment>
    <comment ref="Q69" authorId="0" shapeId="0" xr:uid="{AB44FEF3-0147-4E7A-8EA8-A102BEF53087}">
      <text>
        <r>
          <rPr>
            <sz val="11"/>
            <color theme="1"/>
            <rFont val="Calibri"/>
            <family val="2"/>
            <scheme val="minor"/>
          </rPr>
          <t>======
ID#AAAALoinMdg
Administrator    (2021-03-09 06:06:32)
20/1/2017</t>
        </r>
      </text>
    </comment>
    <comment ref="E70" authorId="0" shapeId="0" xr:uid="{62C5FD2C-2277-4F79-88BF-1679135EBE26}">
      <text>
        <r>
          <rPr>
            <sz val="11"/>
            <color theme="1"/>
            <rFont val="Calibri"/>
            <family val="2"/>
            <scheme val="minor"/>
          </rPr>
          <t>======
ID#AAAALoinMSg
Administrator    (2021-03-09 06:06:32)
20/1/17</t>
        </r>
      </text>
    </comment>
    <comment ref="Q70" authorId="0" shapeId="0" xr:uid="{2E45DCA1-88D1-43A1-B321-F7CB389F2E7F}">
      <text>
        <r>
          <rPr>
            <sz val="11"/>
            <color theme="1"/>
            <rFont val="Calibri"/>
            <family val="2"/>
            <scheme val="minor"/>
          </rPr>
          <t>======
ID#AAAALoinMiQ
Administrator    (2021-03-09 06:06:32)
20/1/2017</t>
        </r>
      </text>
    </comment>
    <comment ref="E71" authorId="0" shapeId="0" xr:uid="{2BE4DC09-BAB6-468F-9058-AFA812F7DF0B}">
      <text>
        <r>
          <rPr>
            <sz val="11"/>
            <color theme="1"/>
            <rFont val="Calibri"/>
            <family val="2"/>
            <scheme val="minor"/>
          </rPr>
          <t>======
ID#AAAALoinMhk
Administrator    (2021-03-09 06:06:32)
20/1/17</t>
        </r>
      </text>
    </comment>
    <comment ref="Q71" authorId="0" shapeId="0" xr:uid="{7F8EE256-E2AD-4D51-948E-186CF5302FA7}">
      <text>
        <r>
          <rPr>
            <sz val="11"/>
            <color theme="1"/>
            <rFont val="Calibri"/>
            <family val="2"/>
            <scheme val="minor"/>
          </rPr>
          <t>======
ID#AAAALoinMLE
Administrator    (2021-03-09 06:06:32)
20/1/2017</t>
        </r>
      </text>
    </comment>
    <comment ref="E72" authorId="0" shapeId="0" xr:uid="{9356330B-E6F0-42A2-A37A-055B0AF8710F}">
      <text>
        <r>
          <rPr>
            <sz val="11"/>
            <color theme="1"/>
            <rFont val="Calibri"/>
            <family val="2"/>
            <scheme val="minor"/>
          </rPr>
          <t>======
ID#AAAALoinMd0
Administrator    (2021-03-09 06:06:32)
20/1/17</t>
        </r>
      </text>
    </comment>
    <comment ref="Q72" authorId="0" shapeId="0" xr:uid="{53BFF4E8-6ECA-43C6-A621-0EDCC44D8A3B}">
      <text>
        <r>
          <rPr>
            <sz val="11"/>
            <color theme="1"/>
            <rFont val="Calibri"/>
            <family val="2"/>
            <scheme val="minor"/>
          </rPr>
          <t>======
ID#AAAALoinMXw
Administrator    (2021-03-09 06:06:32)
20/1/2017</t>
        </r>
      </text>
    </comment>
    <comment ref="E73" authorId="0" shapeId="0" xr:uid="{A980EEA9-D47C-4131-A1F0-81B8C1A9BEBF}">
      <text>
        <r>
          <rPr>
            <sz val="11"/>
            <color theme="1"/>
            <rFont val="Calibri"/>
            <family val="2"/>
            <scheme val="minor"/>
          </rPr>
          <t>======
ID#AAAALoinMaw
Administrator    (2021-03-09 06:06:32)
20/1/17</t>
        </r>
      </text>
    </comment>
    <comment ref="Q73" authorId="0" shapeId="0" xr:uid="{79F25D35-40F2-4F4B-A093-EE871D62EB84}">
      <text>
        <r>
          <rPr>
            <sz val="11"/>
            <color theme="1"/>
            <rFont val="Calibri"/>
            <family val="2"/>
            <scheme val="minor"/>
          </rPr>
          <t>======
ID#AAAALoinMSM
Administrator    (2021-03-09 06:06:32)
20/1/2017</t>
        </r>
      </text>
    </comment>
    <comment ref="E74" authorId="0" shapeId="0" xr:uid="{67447E97-419E-453B-87FD-4EE990CE9139}">
      <text>
        <r>
          <rPr>
            <sz val="11"/>
            <color theme="1"/>
            <rFont val="Calibri"/>
            <family val="2"/>
            <scheme val="minor"/>
          </rPr>
          <t>======
ID#AAAALoinMSE
Administrator    (2021-03-09 06:06:32)
20/1/17</t>
        </r>
      </text>
    </comment>
    <comment ref="Q74" authorId="0" shapeId="0" xr:uid="{CE6CC9B3-000F-4C97-AEAA-FF68344BFB91}">
      <text>
        <r>
          <rPr>
            <sz val="11"/>
            <color theme="1"/>
            <rFont val="Calibri"/>
            <family val="2"/>
            <scheme val="minor"/>
          </rPr>
          <t>======
ID#AAAALoinMUc
Administrator    (2021-03-09 06:06:32)
20/1/2017</t>
        </r>
      </text>
    </comment>
    <comment ref="E76" authorId="0" shapeId="0" xr:uid="{ECEDE1F5-CEE5-41CC-8B21-AB014FCB392D}">
      <text>
        <r>
          <rPr>
            <sz val="11"/>
            <color theme="1"/>
            <rFont val="Calibri"/>
            <family val="2"/>
            <scheme val="minor"/>
          </rPr>
          <t>======
ID#AAAALoinMdY
Administrator    (2021-03-09 06:06:32)
21/1/17</t>
        </r>
      </text>
    </comment>
    <comment ref="E77" authorId="0" shapeId="0" xr:uid="{0FCD1137-9F28-4481-ACDD-163B87B79243}">
      <text>
        <r>
          <rPr>
            <sz val="11"/>
            <color theme="1"/>
            <rFont val="Calibri"/>
            <family val="2"/>
            <scheme val="minor"/>
          </rPr>
          <t>======
ID#AAAALoinMY0
Administrator    (2021-03-09 06:06:32)
22/1/17</t>
        </r>
      </text>
    </comment>
    <comment ref="Q77" authorId="0" shapeId="0" xr:uid="{D957E512-708D-4D55-A33D-05091335FBB0}">
      <text>
        <r>
          <rPr>
            <sz val="11"/>
            <color theme="1"/>
            <rFont val="Calibri"/>
            <family val="2"/>
            <scheme val="minor"/>
          </rPr>
          <t>======
ID#AAAALoinMLw
Administrator    (2021-03-09 06:06:32)
22/1/17</t>
        </r>
      </text>
    </comment>
    <comment ref="E78" authorId="0" shapeId="0" xr:uid="{D3DDF57E-4641-49BB-BF16-CE9B21E07457}">
      <text>
        <r>
          <rPr>
            <sz val="11"/>
            <color theme="1"/>
            <rFont val="Calibri"/>
            <family val="2"/>
            <scheme val="minor"/>
          </rPr>
          <t>======
ID#AAAALoinMRg
Administrator    (2021-03-09 06:06:32)
22/1/17</t>
        </r>
      </text>
    </comment>
    <comment ref="Q78" authorId="0" shapeId="0" xr:uid="{4033454B-80B2-40AA-A0AF-2C74F78631A9}">
      <text>
        <r>
          <rPr>
            <sz val="11"/>
            <color theme="1"/>
            <rFont val="Calibri"/>
            <family val="2"/>
            <scheme val="minor"/>
          </rPr>
          <t>======
ID#AAAALoinMMs
Administrator    (2021-03-09 06:06:32)
22/1/17</t>
        </r>
      </text>
    </comment>
    <comment ref="E79" authorId="0" shapeId="0" xr:uid="{B2E3245D-3A4B-4BA4-8F3E-3EBDE6FC15D5}">
      <text>
        <r>
          <rPr>
            <sz val="11"/>
            <color theme="1"/>
            <rFont val="Calibri"/>
            <family val="2"/>
            <scheme val="minor"/>
          </rPr>
          <t>======
ID#AAAALoinMXI
Administrator    (2021-03-09 06:06:32)
22/1/17</t>
        </r>
      </text>
    </comment>
    <comment ref="Q79" authorId="0" shapeId="0" xr:uid="{DD1D9CBC-1000-4004-8F15-AD3D150EDD3C}">
      <text>
        <r>
          <rPr>
            <sz val="11"/>
            <color theme="1"/>
            <rFont val="Calibri"/>
            <family val="2"/>
            <scheme val="minor"/>
          </rPr>
          <t>======
ID#AAAALoinMao
Administrator    (2021-03-09 06:06:32)
22/1/17</t>
        </r>
      </text>
    </comment>
    <comment ref="E80" authorId="0" shapeId="0" xr:uid="{480A70C4-FC19-4FB3-8B76-99269689368E}">
      <text>
        <r>
          <rPr>
            <sz val="11"/>
            <color theme="1"/>
            <rFont val="Calibri"/>
            <family val="2"/>
            <scheme val="minor"/>
          </rPr>
          <t>======
ID#AAAALoinMSI
Administrator    (2021-03-09 06:06:32)
22/1/17</t>
        </r>
      </text>
    </comment>
    <comment ref="E81" authorId="0" shapeId="0" xr:uid="{EE2DBC0E-A0C5-4115-92AA-252458167581}">
      <text>
        <r>
          <rPr>
            <sz val="11"/>
            <color theme="1"/>
            <rFont val="Calibri"/>
            <family val="2"/>
            <scheme val="minor"/>
          </rPr>
          <t>======
ID#AAAALoinMhE
Administrator    (2021-03-09 06:06:32)
22/1/17</t>
        </r>
      </text>
    </comment>
    <comment ref="Q81" authorId="0" shapeId="0" xr:uid="{1B84BC4D-B675-4533-BE56-F85BF8FC9832}">
      <text>
        <r>
          <rPr>
            <sz val="11"/>
            <color theme="1"/>
            <rFont val="Calibri"/>
            <family val="2"/>
            <scheme val="minor"/>
          </rPr>
          <t>======
ID#AAAALoinMQ0
Administrator    (2021-03-09 06:06:32)
22/1/17</t>
        </r>
      </text>
    </comment>
    <comment ref="E82" authorId="0" shapeId="0" xr:uid="{8775352C-4ADD-4F47-8A0A-9FDB2FE43882}">
      <text>
        <r>
          <rPr>
            <sz val="11"/>
            <color theme="1"/>
            <rFont val="Calibri"/>
            <family val="2"/>
            <scheme val="minor"/>
          </rPr>
          <t>======
ID#AAAALoinMh4
Administrator    (2021-03-09 06:06:32)
22/1/17</t>
        </r>
      </text>
    </comment>
    <comment ref="Q82" authorId="0" shapeId="0" xr:uid="{83692E55-22D4-4203-9DD7-FD4962F4E843}">
      <text>
        <r>
          <rPr>
            <sz val="11"/>
            <color theme="1"/>
            <rFont val="Calibri"/>
            <family val="2"/>
            <scheme val="minor"/>
          </rPr>
          <t>======
ID#AAAALoinMLc
Administrator    (2021-03-09 06:06:32)
22/1/17</t>
        </r>
      </text>
    </comment>
    <comment ref="Q83" authorId="0" shapeId="0" xr:uid="{434A7B1D-5462-4571-A5CA-65448F191D8D}">
      <text>
        <r>
          <rPr>
            <sz val="11"/>
            <color theme="1"/>
            <rFont val="Calibri"/>
            <family val="2"/>
            <scheme val="minor"/>
          </rPr>
          <t>======
ID#AAAALoinMNo
Administrator    (2021-03-09 06:06:32)
22/1/17</t>
        </r>
      </text>
    </comment>
    <comment ref="E84" authorId="0" shapeId="0" xr:uid="{17EEA10A-8329-4CC4-A09C-D9B2C698C383}">
      <text>
        <r>
          <rPr>
            <sz val="11"/>
            <color theme="1"/>
            <rFont val="Calibri"/>
            <family val="2"/>
            <scheme val="minor"/>
          </rPr>
          <t>======
ID#AAAALoinMbg
Administrator    (2021-03-09 06:06:32)
24/1/17</t>
        </r>
      </text>
    </comment>
    <comment ref="E85" authorId="0" shapeId="0" xr:uid="{2BDA92D8-AB7A-459B-9EB7-E9EB237FE1D5}">
      <text>
        <r>
          <rPr>
            <sz val="11"/>
            <color theme="1"/>
            <rFont val="Calibri"/>
            <family val="2"/>
            <scheme val="minor"/>
          </rPr>
          <t>======
ID#AAAALoinMhY
Administrator    (2021-03-09 06:06:32)
24/1/17</t>
        </r>
      </text>
    </comment>
    <comment ref="E86" authorId="0" shapeId="0" xr:uid="{344AF46F-BFFC-4940-A9C4-8BC89FEC1D2E}">
      <text>
        <r>
          <rPr>
            <sz val="11"/>
            <color theme="1"/>
            <rFont val="Calibri"/>
            <family val="2"/>
            <scheme val="minor"/>
          </rPr>
          <t>======
ID#AAAALoinMec
Administrator    (2021-03-09 06:06:32)
24/1/17</t>
        </r>
      </text>
    </comment>
    <comment ref="Q86" authorId="0" shapeId="0" xr:uid="{4F4EFFB7-B238-42BB-8613-14D2E51B3FF5}">
      <text>
        <r>
          <rPr>
            <sz val="11"/>
            <color theme="1"/>
            <rFont val="Calibri"/>
            <family val="2"/>
            <scheme val="minor"/>
          </rPr>
          <t>======
ID#AAAALoinMYo
Administrator    (2021-03-09 06:06:32)
22/1/17</t>
        </r>
      </text>
    </comment>
    <comment ref="Q87" authorId="0" shapeId="0" xr:uid="{046C3FA2-8AC4-4252-8475-495070608269}">
      <text>
        <r>
          <rPr>
            <sz val="11"/>
            <color theme="1"/>
            <rFont val="Calibri"/>
            <family val="2"/>
            <scheme val="minor"/>
          </rPr>
          <t>======
ID#AAAALoinMgg
Administrator    (2021-03-09 06:06:32)
22/1/17</t>
        </r>
      </text>
    </comment>
    <comment ref="E132" authorId="0" shapeId="0" xr:uid="{4FA6789E-F914-458B-9A71-DE78E7C8A45F}">
      <text>
        <r>
          <rPr>
            <sz val="11"/>
            <color theme="1"/>
            <rFont val="Calibri"/>
            <family val="2"/>
            <scheme val="minor"/>
          </rPr>
          <t>======
ID#AAAALoinMj0
Administrator    (2021-03-09 06:06:32)
14/1/17</t>
        </r>
      </text>
    </comment>
    <comment ref="Q132" authorId="0" shapeId="0" xr:uid="{A69EE0AE-1E47-46C8-B15E-C1E471E81282}">
      <text>
        <r>
          <rPr>
            <sz val="11"/>
            <color theme="1"/>
            <rFont val="Calibri"/>
            <family val="2"/>
            <scheme val="minor"/>
          </rPr>
          <t>======
ID#AAAALoinMNU
Administrator    (2021-03-09 06:06:32)
14/1/17</t>
        </r>
      </text>
    </comment>
    <comment ref="E135" authorId="0" shapeId="0" xr:uid="{FACAD022-3604-486B-9F66-0BAFE324DD2E}">
      <text>
        <r>
          <rPr>
            <sz val="11"/>
            <color theme="1"/>
            <rFont val="Calibri"/>
            <family val="2"/>
            <scheme val="minor"/>
          </rPr>
          <t>======
ID#AAAALoinMbM
Administrator    (2021-03-09 06:06:32)
13/1/17</t>
        </r>
      </text>
    </comment>
    <comment ref="Q135" authorId="0" shapeId="0" xr:uid="{7F1F2F2D-6431-4E1A-944F-8E7A3D01136F}">
      <text>
        <r>
          <rPr>
            <sz val="11"/>
            <color theme="1"/>
            <rFont val="Calibri"/>
            <family val="2"/>
            <scheme val="minor"/>
          </rPr>
          <t>======
ID#AAAALoinMVs
Administrator    (2021-03-09 06:06:32)
13/1/17</t>
        </r>
      </text>
    </comment>
    <comment ref="E136" authorId="0" shapeId="0" xr:uid="{FE0AC840-D7D6-4D14-8339-DBB28BDEC59A}">
      <text>
        <r>
          <rPr>
            <sz val="11"/>
            <color theme="1"/>
            <rFont val="Calibri"/>
            <family val="2"/>
            <scheme val="minor"/>
          </rPr>
          <t>======
ID#AAAALoinMVM
Administrator    (2021-03-09 06:06:32)
15/1/17</t>
        </r>
      </text>
    </comment>
    <comment ref="Q136" authorId="0" shapeId="0" xr:uid="{E61D459E-879C-4699-B0D0-66C93D9C4A68}">
      <text>
        <r>
          <rPr>
            <sz val="11"/>
            <color theme="1"/>
            <rFont val="Calibri"/>
            <family val="2"/>
            <scheme val="minor"/>
          </rPr>
          <t>======
ID#AAAALoinMdI
Administrator    (2021-03-09 06:06:32)
15/1/17</t>
        </r>
      </text>
    </comment>
    <comment ref="E137" authorId="0" shapeId="0" xr:uid="{D992CD58-77CE-48A6-9B44-CBD85FFA4287}">
      <text>
        <r>
          <rPr>
            <sz val="11"/>
            <color theme="1"/>
            <rFont val="Calibri"/>
            <family val="2"/>
            <scheme val="minor"/>
          </rPr>
          <t>======
ID#AAAALoinMQo
Administrator    (2021-03-09 06:06:32)
20/1/17</t>
        </r>
      </text>
    </comment>
    <comment ref="E138" authorId="0" shapeId="0" xr:uid="{C79FAC8B-F879-43DE-8BA7-E67CC5C06B9D}">
      <text>
        <r>
          <rPr>
            <sz val="11"/>
            <color theme="1"/>
            <rFont val="Calibri"/>
            <family val="2"/>
            <scheme val="minor"/>
          </rPr>
          <t>======
ID#AAAALoinMKo
Administrator    (2021-03-09 06:06:32)
20/1/17</t>
        </r>
      </text>
    </comment>
    <comment ref="E140" authorId="0" shapeId="0" xr:uid="{F12103BA-B96B-4407-87A1-4611E1B951F3}">
      <text>
        <r>
          <rPr>
            <sz val="11"/>
            <color theme="1"/>
            <rFont val="Calibri"/>
            <family val="2"/>
            <scheme val="minor"/>
          </rPr>
          <t>======
ID#AAAALoinMdk
Administrator    (2021-03-09 06:06:32)
15/1/17</t>
        </r>
      </text>
    </comment>
    <comment ref="Q140" authorId="0" shapeId="0" xr:uid="{02A8B95E-0C6D-4190-8D4E-5FC49D55641E}">
      <text>
        <r>
          <rPr>
            <sz val="11"/>
            <color theme="1"/>
            <rFont val="Calibri"/>
            <family val="2"/>
            <scheme val="minor"/>
          </rPr>
          <t>======
ID#AAAALoinMRI
Administrator    (2021-03-09 06:06:32)
15/1/17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60852C7C-A5F2-43ED-BD27-0C45CA7CC9FE}">
      <text>
        <r>
          <rPr>
            <sz val="11"/>
            <color theme="1"/>
            <rFont val="Calibri"/>
            <family val="2"/>
            <scheme val="minor"/>
          </rPr>
          <t>======
ID#AAAALoinMgA
Administrator    (2021-03-09 06:06:32)
8/1/2017</t>
        </r>
      </text>
    </comment>
    <comment ref="E20" authorId="0" shapeId="0" xr:uid="{00DF729D-5569-4CD7-A4DA-E399BA63B579}">
      <text>
        <r>
          <rPr>
            <sz val="11"/>
            <color theme="1"/>
            <rFont val="Calibri"/>
            <family val="2"/>
            <scheme val="minor"/>
          </rPr>
          <t>======
ID#AAAALoinMYs
Administrator    (2021-03-09 06:06:32)
10/1/17</t>
        </r>
      </text>
    </comment>
    <comment ref="E22" authorId="0" shapeId="0" xr:uid="{10061F49-799D-489D-A7ED-EA61A6EA8210}">
      <text>
        <r>
          <rPr>
            <sz val="11"/>
            <color theme="1"/>
            <rFont val="Calibri"/>
            <family val="2"/>
            <scheme val="minor"/>
          </rPr>
          <t>======
ID#AAAALoinMbE
Administrator    (2021-03-09 06:06:32)
7/1/2017</t>
        </r>
      </text>
    </comment>
    <comment ref="E31" authorId="0" shapeId="0" xr:uid="{A62097A5-4399-44AB-B4D9-9B45BFFF8B4A}">
      <text>
        <r>
          <rPr>
            <sz val="11"/>
            <color theme="1"/>
            <rFont val="Calibri"/>
            <family val="2"/>
            <scheme val="minor"/>
          </rPr>
          <t>======
ID#AAAALoinMf0
Administrator    (2021-03-09 06:06:32)
10/1/17</t>
        </r>
      </text>
    </comment>
    <comment ref="E33" authorId="0" shapeId="0" xr:uid="{B1CA20DF-1D28-4201-9B24-2F21FFA47B6C}">
      <text>
        <r>
          <rPr>
            <sz val="11"/>
            <color theme="1"/>
            <rFont val="Calibri"/>
            <family val="2"/>
            <scheme val="minor"/>
          </rPr>
          <t>======
ID#AAAALoinMgk
Administrator    (2021-03-09 06:06:32)
10/1/17</t>
        </r>
      </text>
    </comment>
    <comment ref="E34" authorId="0" shapeId="0" xr:uid="{D319A147-6C4B-4B3B-AFFA-61CC28F8C783}">
      <text>
        <r>
          <rPr>
            <sz val="11"/>
            <color theme="1"/>
            <rFont val="Calibri"/>
            <family val="2"/>
            <scheme val="minor"/>
          </rPr>
          <t>======
ID#AAAALoinMXc
Administrator    (2021-03-09 06:06:32)
10/1/17</t>
        </r>
      </text>
    </comment>
    <comment ref="E35" authorId="0" shapeId="0" xr:uid="{BFD79FA7-A4F4-417B-A6CD-28CD7EDAA326}">
      <text>
        <r>
          <rPr>
            <sz val="11"/>
            <color theme="1"/>
            <rFont val="Calibri"/>
            <family val="2"/>
            <scheme val="minor"/>
          </rPr>
          <t>======
ID#AAAALoinMTY
Administrator    (2021-03-09 06:06:32)
12/1/17</t>
        </r>
      </text>
    </comment>
    <comment ref="E36" authorId="0" shapeId="0" xr:uid="{70C3386E-42E3-48F4-BCF3-6BC5A304B863}">
      <text>
        <r>
          <rPr>
            <sz val="11"/>
            <color theme="1"/>
            <rFont val="Calibri"/>
            <family val="2"/>
            <scheme val="minor"/>
          </rPr>
          <t>======
ID#AAAALoinMb4
Administrator    (2021-03-09 06:06:32)
12/1/17</t>
        </r>
      </text>
    </comment>
    <comment ref="E37" authorId="0" shapeId="0" xr:uid="{EB2A8C04-4D22-4233-85D7-FC8CC641F865}">
      <text>
        <r>
          <rPr>
            <sz val="11"/>
            <color theme="1"/>
            <rFont val="Calibri"/>
            <family val="2"/>
            <scheme val="minor"/>
          </rPr>
          <t>======
ID#AAAALoinMaQ
Administrator    (2021-03-09 06:06:32)
12/1/17</t>
        </r>
      </text>
    </comment>
    <comment ref="E40" authorId="0" shapeId="0" xr:uid="{08BF61B3-604A-41AF-855E-7137FB101D47}">
      <text>
        <r>
          <rPr>
            <sz val="11"/>
            <color theme="1"/>
            <rFont val="Calibri"/>
            <family val="2"/>
            <scheme val="minor"/>
          </rPr>
          <t>======
ID#AAAALoinMYw
Administrator    (2021-03-09 06:06:32)
12/1/17</t>
        </r>
      </text>
    </comment>
    <comment ref="E41" authorId="0" shapeId="0" xr:uid="{0772B37C-01AC-478D-8C27-263FF89A425C}">
      <text>
        <r>
          <rPr>
            <sz val="11"/>
            <color theme="1"/>
            <rFont val="Calibri"/>
            <family val="2"/>
            <scheme val="minor"/>
          </rPr>
          <t>======
ID#AAAALoinMS8
Administrator    (2021-03-09 06:06:32)
12/1/17</t>
        </r>
      </text>
    </comment>
    <comment ref="Q41" authorId="0" shapeId="0" xr:uid="{9DAD8347-08A5-49F5-AF00-E2CE60CBB2EC}">
      <text>
        <r>
          <rPr>
            <sz val="11"/>
            <color theme="1"/>
            <rFont val="Calibri"/>
            <family val="2"/>
            <scheme val="minor"/>
          </rPr>
          <t>======
ID#AAAALoinMVE
Administrator    (2021-03-09 06:06:32)
12/1/17</t>
        </r>
      </text>
    </comment>
    <comment ref="E42" authorId="0" shapeId="0" xr:uid="{9C37F24D-3620-45B5-AA7F-75FF9D30A0E6}">
      <text>
        <r>
          <rPr>
            <sz val="11"/>
            <color theme="1"/>
            <rFont val="Calibri"/>
            <family val="2"/>
            <scheme val="minor"/>
          </rPr>
          <t>======
ID#AAAALoinMTw
Administrator    (2021-03-09 06:06:32)
12/1/17</t>
        </r>
      </text>
    </comment>
    <comment ref="H42" authorId="0" shapeId="0" xr:uid="{054A842D-1C8A-4A3E-89ED-FA13DD176EBC}">
      <text>
        <r>
          <rPr>
            <sz val="11"/>
            <color theme="1"/>
            <rFont val="Calibri"/>
            <family val="2"/>
            <scheme val="minor"/>
          </rPr>
          <t>======
ID#AAAALoinMU0
Administrator    (2021-03-09 06:06:32)
12/1/17</t>
        </r>
      </text>
    </comment>
    <comment ref="E43" authorId="0" shapeId="0" xr:uid="{9EF391D2-006E-4585-B96F-A60E3D9A4815}">
      <text>
        <r>
          <rPr>
            <sz val="11"/>
            <color theme="1"/>
            <rFont val="Calibri"/>
            <family val="2"/>
            <scheme val="minor"/>
          </rPr>
          <t>======
ID#AAAALoinMgE
Administrator    (2021-03-09 06:06:32)
9/1/17</t>
        </r>
      </text>
    </comment>
    <comment ref="Q43" authorId="0" shapeId="0" xr:uid="{A4D185EF-B5B7-4A96-88C8-90595A015F1A}">
      <text>
        <r>
          <rPr>
            <sz val="11"/>
            <color theme="1"/>
            <rFont val="Calibri"/>
            <family val="2"/>
            <scheme val="minor"/>
          </rPr>
          <t>======
ID#AAAALoinMh8
Administrator    (2021-03-09 06:06:32)
9/1/17</t>
        </r>
      </text>
    </comment>
    <comment ref="E44" authorId="0" shapeId="0" xr:uid="{CD619099-1112-41C5-9AC1-37B6F62EA0AD}">
      <text>
        <r>
          <rPr>
            <sz val="11"/>
            <color theme="1"/>
            <rFont val="Calibri"/>
            <family val="2"/>
            <scheme val="minor"/>
          </rPr>
          <t>======
ID#AAAALoinMK0
Administrator    (2021-03-09 06:06:32)
9/1/17</t>
        </r>
      </text>
    </comment>
    <comment ref="E45" authorId="0" shapeId="0" xr:uid="{2C9702B8-DEB5-4D91-A7D3-18E5876F2B73}">
      <text>
        <r>
          <rPr>
            <sz val="11"/>
            <color theme="1"/>
            <rFont val="Calibri"/>
            <family val="2"/>
            <scheme val="minor"/>
          </rPr>
          <t>======
ID#AAAALoinMMQ
Administrator    (2021-03-09 06:06:32)
13/1/17</t>
        </r>
      </text>
    </comment>
    <comment ref="E46" authorId="0" shapeId="0" xr:uid="{5E1D4DB5-AF8A-4A3C-876A-559D97FE9F53}">
      <text>
        <r>
          <rPr>
            <sz val="11"/>
            <color theme="1"/>
            <rFont val="Calibri"/>
            <family val="2"/>
            <scheme val="minor"/>
          </rPr>
          <t>======
ID#AAAALoinMa4
Administrator    (2021-03-09 06:06:32)
13/1/17</t>
        </r>
      </text>
    </comment>
    <comment ref="E47" authorId="0" shapeId="0" xr:uid="{F2D17B7A-619B-45A8-9806-CF05BE0B01AA}">
      <text>
        <r>
          <rPr>
            <sz val="11"/>
            <color theme="1"/>
            <rFont val="Calibri"/>
            <family val="2"/>
            <scheme val="minor"/>
          </rPr>
          <t>======
ID#AAAALoinMWA
Administrator    (2021-03-09 06:06:32)
15/1/17</t>
        </r>
      </text>
    </comment>
    <comment ref="E48" authorId="0" shapeId="0" xr:uid="{F0AD32A6-020B-459F-9BE0-CE3EE25915E6}">
      <text>
        <r>
          <rPr>
            <sz val="11"/>
            <color theme="1"/>
            <rFont val="Calibri"/>
            <family val="2"/>
            <scheme val="minor"/>
          </rPr>
          <t>======
ID#AAAALoinMRs
Administrator    (2021-03-09 06:06:32)
13/1/17</t>
        </r>
      </text>
    </comment>
    <comment ref="E49" authorId="0" shapeId="0" xr:uid="{4723824A-CD89-4D86-846C-A0C370A961E6}">
      <text>
        <r>
          <rPr>
            <sz val="11"/>
            <color theme="1"/>
            <rFont val="Calibri"/>
            <family val="2"/>
            <scheme val="minor"/>
          </rPr>
          <t>======
ID#AAAALoinMOs
Administrator    (2021-03-09 06:06:32)
14/1/17</t>
        </r>
      </text>
    </comment>
    <comment ref="Q49" authorId="0" shapeId="0" xr:uid="{0263467F-08A9-401F-8993-EBC52F00BABE}">
      <text>
        <r>
          <rPr>
            <sz val="11"/>
            <color theme="1"/>
            <rFont val="Calibri"/>
            <family val="2"/>
            <scheme val="minor"/>
          </rPr>
          <t>======
ID#AAAALoinMeg
Administrator    (2021-03-09 06:06:32)
14/1/17</t>
        </r>
      </text>
    </comment>
    <comment ref="E50" authorId="0" shapeId="0" xr:uid="{36DDF557-4B38-40C7-BEC9-B936FCC74E45}">
      <text>
        <r>
          <rPr>
            <sz val="11"/>
            <color theme="1"/>
            <rFont val="Calibri"/>
            <family val="2"/>
            <scheme val="minor"/>
          </rPr>
          <t>======
ID#AAAALoinMYM
Administrator    (2021-03-09 06:06:32)
15/1/17</t>
        </r>
      </text>
    </comment>
    <comment ref="Q50" authorId="0" shapeId="0" xr:uid="{A9C1F94E-AB06-4E32-95C9-210866B16E82}">
      <text>
        <r>
          <rPr>
            <sz val="11"/>
            <color theme="1"/>
            <rFont val="Calibri"/>
            <family val="2"/>
            <scheme val="minor"/>
          </rPr>
          <t>======
ID#AAAALoinMaI
Administrator    (2021-03-09 06:06:32)
15/1/17</t>
        </r>
      </text>
    </comment>
    <comment ref="E51" authorId="0" shapeId="0" xr:uid="{33B3E39A-DFF4-4C6F-A2C0-3B78091DEA4A}">
      <text>
        <r>
          <rPr>
            <sz val="11"/>
            <color theme="1"/>
            <rFont val="Calibri"/>
            <family val="2"/>
            <scheme val="minor"/>
          </rPr>
          <t>======
ID#AAAALoinMOQ
Administrator    (2021-03-09 06:06:32)
15/1/17</t>
        </r>
      </text>
    </comment>
    <comment ref="Q51" authorId="0" shapeId="0" xr:uid="{2E6D743F-9745-4AC9-8672-67E1A44BD46E}">
      <text>
        <r>
          <rPr>
            <sz val="11"/>
            <color theme="1"/>
            <rFont val="Calibri"/>
            <family val="2"/>
            <scheme val="minor"/>
          </rPr>
          <t>======
ID#AAAALoinMOA
Administrator    (2021-03-09 06:06:32)
15/1/17</t>
        </r>
      </text>
    </comment>
    <comment ref="E52" authorId="0" shapeId="0" xr:uid="{679D06EB-F06C-4E80-B792-7B11072392AC}">
      <text>
        <r>
          <rPr>
            <sz val="11"/>
            <color theme="1"/>
            <rFont val="Calibri"/>
            <family val="2"/>
            <scheme val="minor"/>
          </rPr>
          <t>======
ID#AAAALoinMUE
Administrator    (2021-03-09 06:06:32)
15/1/17</t>
        </r>
      </text>
    </comment>
    <comment ref="E53" authorId="0" shapeId="0" xr:uid="{1F898A62-DC28-42D6-B8E8-BA36C02A501D}">
      <text>
        <r>
          <rPr>
            <sz val="11"/>
            <color theme="1"/>
            <rFont val="Calibri"/>
            <family val="2"/>
            <scheme val="minor"/>
          </rPr>
          <t>======
ID#AAAALoinMTg
Administrator    (2021-03-09 06:06:32)
15/1/17</t>
        </r>
      </text>
    </comment>
    <comment ref="E54" authorId="0" shapeId="0" xr:uid="{2D280CFC-3938-4B09-BE9C-79004998EA26}">
      <text>
        <r>
          <rPr>
            <sz val="11"/>
            <color theme="1"/>
            <rFont val="Calibri"/>
            <family val="2"/>
            <scheme val="minor"/>
          </rPr>
          <t>======
ID#AAAALoinMZU
Administrator    (2021-03-09 06:06:32)
15/1/17</t>
        </r>
      </text>
    </comment>
    <comment ref="E55" authorId="0" shapeId="0" xr:uid="{B1CEC4B5-7BCD-4A06-8422-BB9628BBA027}">
      <text>
        <r>
          <rPr>
            <sz val="11"/>
            <color theme="1"/>
            <rFont val="Calibri"/>
            <family val="2"/>
            <scheme val="minor"/>
          </rPr>
          <t>======
ID#AAAALoinMfg
Administrator    (2021-03-09 06:06:32)
16/1/17</t>
        </r>
      </text>
    </comment>
    <comment ref="Q55" authorId="0" shapeId="0" xr:uid="{7DC37A15-9D08-4166-89E0-935803738C1A}">
      <text>
        <r>
          <rPr>
            <sz val="11"/>
            <color theme="1"/>
            <rFont val="Calibri"/>
            <family val="2"/>
            <scheme val="minor"/>
          </rPr>
          <t>======
ID#AAAALoinMVU
Administrator    (2021-03-09 06:06:32)
16/1/17</t>
        </r>
      </text>
    </comment>
    <comment ref="E56" authorId="0" shapeId="0" xr:uid="{FE6E9E80-0CC8-4E5F-BA57-F204ED536C5E}">
      <text>
        <r>
          <rPr>
            <sz val="11"/>
            <color theme="1"/>
            <rFont val="Calibri"/>
            <family val="2"/>
            <scheme val="minor"/>
          </rPr>
          <t>======
ID#AAAALoinMbU
Administrator    (2021-03-09 06:06:32)
16/1/17</t>
        </r>
      </text>
    </comment>
    <comment ref="E57" authorId="0" shapeId="0" xr:uid="{89667EFA-9D75-4101-B1F9-103635E57DE0}">
      <text>
        <r>
          <rPr>
            <sz val="11"/>
            <color theme="1"/>
            <rFont val="Calibri"/>
            <family val="2"/>
            <scheme val="minor"/>
          </rPr>
          <t>======
ID#AAAALoinMhI
Administrator    (2021-03-09 06:06:32)
16/1/17</t>
        </r>
      </text>
    </comment>
    <comment ref="E58" authorId="0" shapeId="0" xr:uid="{B4F053B2-E976-4DAF-8963-1C2CFF6D788D}">
      <text>
        <r>
          <rPr>
            <sz val="11"/>
            <color theme="1"/>
            <rFont val="Calibri"/>
            <family val="2"/>
            <scheme val="minor"/>
          </rPr>
          <t>======
ID#AAAALoinMic
Administrator    (2021-03-09 06:06:32)
19/1/17</t>
        </r>
      </text>
    </comment>
    <comment ref="E60" authorId="0" shapeId="0" xr:uid="{B57A7837-3808-49DA-A399-727822EBB100}">
      <text>
        <r>
          <rPr>
            <sz val="11"/>
            <color theme="1"/>
            <rFont val="Calibri"/>
            <family val="2"/>
            <scheme val="minor"/>
          </rPr>
          <t>======
ID#AAAALoinMPg
Administrator    (2021-03-09 06:06:32)
19/1/17</t>
        </r>
      </text>
    </comment>
    <comment ref="E61" authorId="0" shapeId="0" xr:uid="{4F7BD7E4-1B3D-4273-8A0A-C907E2E3F73B}">
      <text>
        <r>
          <rPr>
            <sz val="11"/>
            <color theme="1"/>
            <rFont val="Calibri"/>
            <family val="2"/>
            <scheme val="minor"/>
          </rPr>
          <t>======
ID#AAAALoinMeY
Administrator    (2021-03-09 06:06:32)
19/1/17</t>
        </r>
      </text>
    </comment>
    <comment ref="E62" authorId="0" shapeId="0" xr:uid="{41FD80F5-0CC0-4DDA-861B-F94FFD55BC1F}">
      <text>
        <r>
          <rPr>
            <sz val="11"/>
            <color theme="1"/>
            <rFont val="Calibri"/>
            <family val="2"/>
            <scheme val="minor"/>
          </rPr>
          <t>======
ID#AAAALoinMjM
Administrator    (2021-03-09 06:06:32)
19/1/17</t>
        </r>
      </text>
    </comment>
    <comment ref="E63" authorId="0" shapeId="0" xr:uid="{0DE02AFD-7037-4C9F-95DB-4A726FA59748}">
      <text>
        <r>
          <rPr>
            <sz val="11"/>
            <color theme="1"/>
            <rFont val="Calibri"/>
            <family val="2"/>
            <scheme val="minor"/>
          </rPr>
          <t>======
ID#AAAALoinMbw
Administrator    (2021-03-09 06:06:32)
20/1/17</t>
        </r>
      </text>
    </comment>
    <comment ref="E64" authorId="0" shapeId="0" xr:uid="{D30F7BAA-D323-44F7-BF78-AC1AA256A945}">
      <text>
        <r>
          <rPr>
            <sz val="11"/>
            <color theme="1"/>
            <rFont val="Calibri"/>
            <family val="2"/>
            <scheme val="minor"/>
          </rPr>
          <t>======
ID#AAAALoinMcw
Administrator    (2021-03-09 06:06:32)
20/1/17</t>
        </r>
      </text>
    </comment>
    <comment ref="Q64" authorId="0" shapeId="0" xr:uid="{7187C84F-C167-44A2-83BD-CDD2245C2FDF}">
      <text>
        <r>
          <rPr>
            <sz val="11"/>
            <color theme="1"/>
            <rFont val="Calibri"/>
            <family val="2"/>
            <scheme val="minor"/>
          </rPr>
          <t>======
ID#AAAALoinMWc
Administrator    (2021-03-09 06:06:32)
20/1/2017</t>
        </r>
      </text>
    </comment>
    <comment ref="E65" authorId="0" shapeId="0" xr:uid="{7D555F25-826F-432F-B71A-B127595ED6FE}">
      <text>
        <r>
          <rPr>
            <sz val="11"/>
            <color theme="1"/>
            <rFont val="Calibri"/>
            <family val="2"/>
            <scheme val="minor"/>
          </rPr>
          <t>======
ID#AAAALoinMbA
Administrator    (2021-03-09 06:06:32)
20/1/17</t>
        </r>
      </text>
    </comment>
    <comment ref="E66" authorId="0" shapeId="0" xr:uid="{2FB1A488-30F6-4975-8220-2E619BA4FD4B}">
      <text>
        <r>
          <rPr>
            <sz val="11"/>
            <color theme="1"/>
            <rFont val="Calibri"/>
            <family val="2"/>
            <scheme val="minor"/>
          </rPr>
          <t>======
ID#AAAALoinMLk
Administrator    (2021-03-09 06:06:32)
20/1/17</t>
        </r>
      </text>
    </comment>
    <comment ref="Q66" authorId="0" shapeId="0" xr:uid="{59027E53-433D-4C86-95AF-FAFDF883BD49}">
      <text>
        <r>
          <rPr>
            <sz val="11"/>
            <color theme="1"/>
            <rFont val="Calibri"/>
            <family val="2"/>
            <scheme val="minor"/>
          </rPr>
          <t>======
ID#AAAALoinMWQ
Administrator    (2021-03-09 06:06:32)
20/1/2017</t>
        </r>
      </text>
    </comment>
    <comment ref="E67" authorId="0" shapeId="0" xr:uid="{635EE780-FF1B-4DB7-B721-AA6DAF545883}">
      <text>
        <r>
          <rPr>
            <sz val="11"/>
            <color theme="1"/>
            <rFont val="Calibri"/>
            <family val="2"/>
            <scheme val="minor"/>
          </rPr>
          <t>======
ID#AAAALoinMR8
Administrator    (2021-03-09 06:06:32)
20/1/17</t>
        </r>
      </text>
    </comment>
    <comment ref="E68" authorId="0" shapeId="0" xr:uid="{AF507291-1830-435B-8467-D4463808E63C}">
      <text>
        <r>
          <rPr>
            <sz val="11"/>
            <color theme="1"/>
            <rFont val="Calibri"/>
            <family val="2"/>
            <scheme val="minor"/>
          </rPr>
          <t>======
ID#AAAALoinMcA
Administrator    (2021-03-09 06:06:32)
20/1/17</t>
        </r>
      </text>
    </comment>
    <comment ref="E69" authorId="0" shapeId="0" xr:uid="{CDCF3496-6074-431C-9497-1043F0A60A6F}">
      <text>
        <r>
          <rPr>
            <sz val="11"/>
            <color theme="1"/>
            <rFont val="Calibri"/>
            <family val="2"/>
            <scheme val="minor"/>
          </rPr>
          <t>======
ID#AAAALoinMTU
Administrator    (2021-03-09 06:06:32)
20/1/17</t>
        </r>
      </text>
    </comment>
    <comment ref="E70" authorId="0" shapeId="0" xr:uid="{526EA295-E24B-4CA8-8311-B5110D7742A6}">
      <text>
        <r>
          <rPr>
            <sz val="11"/>
            <color theme="1"/>
            <rFont val="Calibri"/>
            <family val="2"/>
            <scheme val="minor"/>
          </rPr>
          <t>======
ID#AAAALoinMfQ
Administrator    (2021-03-09 06:06:32)
20/1/17</t>
        </r>
      </text>
    </comment>
    <comment ref="Q70" authorId="0" shapeId="0" xr:uid="{DBD8A4A0-BB02-4AE2-999E-3EAB261D426E}">
      <text>
        <r>
          <rPr>
            <sz val="11"/>
            <color theme="1"/>
            <rFont val="Calibri"/>
            <family val="2"/>
            <scheme val="minor"/>
          </rPr>
          <t>======
ID#AAAALoinMZg
Administrator    (2021-03-09 06:06:32)
20/1/2017</t>
        </r>
      </text>
    </comment>
    <comment ref="E71" authorId="0" shapeId="0" xr:uid="{84104F9D-FDA1-4FD5-9B39-06F78A4807EB}">
      <text>
        <r>
          <rPr>
            <sz val="11"/>
            <color theme="1"/>
            <rFont val="Calibri"/>
            <family val="2"/>
            <scheme val="minor"/>
          </rPr>
          <t>======
ID#AAAALoinMPQ
Administrator    (2021-03-09 06:06:32)
20/1/17</t>
        </r>
      </text>
    </comment>
    <comment ref="Q71" authorId="0" shapeId="0" xr:uid="{A0E790FE-2889-4A3E-B8BB-254192B1E11A}">
      <text>
        <r>
          <rPr>
            <sz val="11"/>
            <color theme="1"/>
            <rFont val="Calibri"/>
            <family val="2"/>
            <scheme val="minor"/>
          </rPr>
          <t>======
ID#AAAALoinMQI
Administrator    (2021-03-09 06:06:32)
20/1/2017</t>
        </r>
      </text>
    </comment>
    <comment ref="E72" authorId="0" shapeId="0" xr:uid="{4616219A-F2F4-4BCB-AD3C-24C63330B8B5}">
      <text>
        <r>
          <rPr>
            <sz val="11"/>
            <color theme="1"/>
            <rFont val="Calibri"/>
            <family val="2"/>
            <scheme val="minor"/>
          </rPr>
          <t>======
ID#AAAALoinMdA
Administrator    (2021-03-09 06:06:32)
20/1/17</t>
        </r>
      </text>
    </comment>
    <comment ref="E73" authorId="0" shapeId="0" xr:uid="{A7589702-7BC2-4DBA-A5F2-247556585870}">
      <text>
        <r>
          <rPr>
            <sz val="11"/>
            <color theme="1"/>
            <rFont val="Calibri"/>
            <family val="2"/>
            <scheme val="minor"/>
          </rPr>
          <t>======
ID#AAAALoinMUU
Administrator    (2021-03-09 06:06:32)
20/1/17</t>
        </r>
      </text>
    </comment>
    <comment ref="E74" authorId="0" shapeId="0" xr:uid="{AD8684D1-7FC1-452E-8B3B-9C99E8654B7E}">
      <text>
        <r>
          <rPr>
            <sz val="11"/>
            <color theme="1"/>
            <rFont val="Calibri"/>
            <family val="2"/>
            <scheme val="minor"/>
          </rPr>
          <t>======
ID#AAAALoinMcs
Administrator    (2021-03-09 06:06:32)
20/1/17</t>
        </r>
      </text>
    </comment>
    <comment ref="E76" authorId="0" shapeId="0" xr:uid="{09F63A9F-5068-48C7-947A-21F2B1C946C3}">
      <text>
        <r>
          <rPr>
            <sz val="11"/>
            <color theme="1"/>
            <rFont val="Calibri"/>
            <family val="2"/>
            <scheme val="minor"/>
          </rPr>
          <t>======
ID#AAAALoinMfE
Administrator    (2021-03-09 06:06:32)
21/1/17</t>
        </r>
      </text>
    </comment>
    <comment ref="E77" authorId="0" shapeId="0" xr:uid="{3E26AA05-D04E-45EE-8C25-44CC0FF7B61A}">
      <text>
        <r>
          <rPr>
            <sz val="11"/>
            <color theme="1"/>
            <rFont val="Calibri"/>
            <family val="2"/>
            <scheme val="minor"/>
          </rPr>
          <t>======
ID#AAAALoinMfM
Administrator    (2021-03-09 06:06:32)
22/1/17</t>
        </r>
      </text>
    </comment>
    <comment ref="Q77" authorId="0" shapeId="0" xr:uid="{2D4BE696-6002-4C9B-9F09-654B4B0047A8}">
      <text>
        <r>
          <rPr>
            <sz val="11"/>
            <color theme="1"/>
            <rFont val="Calibri"/>
            <family val="2"/>
            <scheme val="minor"/>
          </rPr>
          <t>======
ID#AAAALoinMdQ
Administrator    (2021-03-09 06:06:32)
22/1/17</t>
        </r>
      </text>
    </comment>
    <comment ref="E78" authorId="0" shapeId="0" xr:uid="{3A4477ED-B997-4767-8EA5-AE5F5B600FFF}">
      <text>
        <r>
          <rPr>
            <sz val="11"/>
            <color theme="1"/>
            <rFont val="Calibri"/>
            <family val="2"/>
            <scheme val="minor"/>
          </rPr>
          <t>======
ID#AAAALoinMXM
Administrator    (2021-03-09 06:06:32)
22/1/17</t>
        </r>
      </text>
    </comment>
    <comment ref="E79" authorId="0" shapeId="0" xr:uid="{7BC67DE6-50FE-449B-AAA6-D67523AB983E}">
      <text>
        <r>
          <rPr>
            <sz val="11"/>
            <color theme="1"/>
            <rFont val="Calibri"/>
            <family val="2"/>
            <scheme val="minor"/>
          </rPr>
          <t>======
ID#AAAALoinMfU
Administrator    (2021-03-09 06:06:32)
22/1/17</t>
        </r>
      </text>
    </comment>
    <comment ref="E80" authorId="0" shapeId="0" xr:uid="{98087FBA-CBE9-44F3-805C-01B6D3A614C3}">
      <text>
        <r>
          <rPr>
            <sz val="11"/>
            <color theme="1"/>
            <rFont val="Calibri"/>
            <family val="2"/>
            <scheme val="minor"/>
          </rPr>
          <t>======
ID#AAAALoinMPE
Administrator    (2021-03-09 06:06:32)
22/1/17</t>
        </r>
      </text>
    </comment>
    <comment ref="E81" authorId="0" shapeId="0" xr:uid="{2894F18A-87B1-4658-BEEA-FD24FCEFDFBE}">
      <text>
        <r>
          <rPr>
            <sz val="11"/>
            <color theme="1"/>
            <rFont val="Calibri"/>
            <family val="2"/>
            <scheme val="minor"/>
          </rPr>
          <t>======
ID#AAAALoinMOE
Administrator    (2021-03-09 06:06:32)
22/1/17</t>
        </r>
      </text>
    </comment>
    <comment ref="Q81" authorId="0" shapeId="0" xr:uid="{63601DD2-2088-4E18-BB33-192ABE607A24}">
      <text>
        <r>
          <rPr>
            <sz val="11"/>
            <color theme="1"/>
            <rFont val="Calibri"/>
            <family val="2"/>
            <scheme val="minor"/>
          </rPr>
          <t>======
ID#AAAALoinMRk
Administrator    (2021-03-09 06:06:32)
22/1/17</t>
        </r>
      </text>
    </comment>
    <comment ref="E82" authorId="0" shapeId="0" xr:uid="{2DF1DE1F-271B-421E-B716-3CF62B66DDA0}">
      <text>
        <r>
          <rPr>
            <sz val="11"/>
            <color theme="1"/>
            <rFont val="Calibri"/>
            <family val="2"/>
            <scheme val="minor"/>
          </rPr>
          <t>======
ID#AAAALoinMMg
Administrator    (2021-03-09 06:06:32)
22/1/17</t>
        </r>
      </text>
    </comment>
    <comment ref="Q82" authorId="0" shapeId="0" xr:uid="{3CEA24C8-2617-40B6-878D-63F3AB8F63DF}">
      <text>
        <r>
          <rPr>
            <sz val="11"/>
            <color theme="1"/>
            <rFont val="Calibri"/>
            <family val="2"/>
            <scheme val="minor"/>
          </rPr>
          <t>======
ID#AAAALoinMfc
Administrator    (2021-03-09 06:06:32)
22/1/17</t>
        </r>
      </text>
    </comment>
    <comment ref="E84" authorId="0" shapeId="0" xr:uid="{25C26F8F-3111-49E9-A6DF-A04267F9A32E}">
      <text>
        <r>
          <rPr>
            <sz val="11"/>
            <color theme="1"/>
            <rFont val="Calibri"/>
            <family val="2"/>
            <scheme val="minor"/>
          </rPr>
          <t>======
ID#AAAALoinMNw
Administrator    (2021-03-09 06:06:32)
24/1/17</t>
        </r>
      </text>
    </comment>
    <comment ref="E85" authorId="0" shapeId="0" xr:uid="{EC4AA3F0-9149-4526-ACEB-1FD07B568EA6}">
      <text>
        <r>
          <rPr>
            <sz val="11"/>
            <color theme="1"/>
            <rFont val="Calibri"/>
            <family val="2"/>
            <scheme val="minor"/>
          </rPr>
          <t>======
ID#AAAALoinMNg
Administrator    (2021-03-09 06:06:32)
24/1/17</t>
        </r>
      </text>
    </comment>
    <comment ref="E86" authorId="0" shapeId="0" xr:uid="{818F01D7-D23A-4DB3-ABEB-DD35A48C80BC}">
      <text>
        <r>
          <rPr>
            <sz val="11"/>
            <color theme="1"/>
            <rFont val="Calibri"/>
            <family val="2"/>
            <scheme val="minor"/>
          </rPr>
          <t>======
ID#AAAALoinMVg
Administrator    (2021-03-09 06:06:32)
24/1/17</t>
        </r>
      </text>
    </comment>
    <comment ref="E132" authorId="0" shapeId="0" xr:uid="{5C5D9485-E5B2-42AF-B294-25F83C5DFD3F}">
      <text>
        <r>
          <rPr>
            <sz val="11"/>
            <color theme="1"/>
            <rFont val="Calibri"/>
            <family val="2"/>
            <scheme val="minor"/>
          </rPr>
          <t>======
ID#AAAALoinMgc
Administrator    (2021-03-09 06:06:32)
14/1/17</t>
        </r>
      </text>
    </comment>
    <comment ref="E135" authorId="0" shapeId="0" xr:uid="{ACBE7D6F-EDE5-4FBF-B8F0-D02D4744F9D2}">
      <text>
        <r>
          <rPr>
            <sz val="11"/>
            <color theme="1"/>
            <rFont val="Calibri"/>
            <family val="2"/>
            <scheme val="minor"/>
          </rPr>
          <t>======
ID#AAAALoinMfI
Administrator    (2021-03-09 06:06:32)
13/1/17</t>
        </r>
      </text>
    </comment>
    <comment ref="Q135" authorId="0" shapeId="0" xr:uid="{C0B2A163-2A02-47D1-90E4-CB28C8317895}">
      <text>
        <r>
          <rPr>
            <sz val="11"/>
            <color theme="1"/>
            <rFont val="Calibri"/>
            <family val="2"/>
            <scheme val="minor"/>
          </rPr>
          <t>======
ID#AAAALoinMZ0
Administrator    (2021-03-09 06:06:32)
13/1/17</t>
        </r>
      </text>
    </comment>
    <comment ref="E136" authorId="0" shapeId="0" xr:uid="{2003143E-B59A-4E57-906D-3EFF4D021874}">
      <text>
        <r>
          <rPr>
            <sz val="11"/>
            <color theme="1"/>
            <rFont val="Calibri"/>
            <family val="2"/>
            <scheme val="minor"/>
          </rPr>
          <t>======
ID#AAAALoinMNc
Administrator    (2021-03-09 06:06:32)
15/1/17</t>
        </r>
      </text>
    </comment>
    <comment ref="E137" authorId="0" shapeId="0" xr:uid="{1890992E-0C44-4DA0-89E1-05AD2A8739C5}">
      <text>
        <r>
          <rPr>
            <sz val="11"/>
            <color theme="1"/>
            <rFont val="Calibri"/>
            <family val="2"/>
            <scheme val="minor"/>
          </rPr>
          <t>======
ID#AAAALoinMYI
Administrator    (2021-03-09 06:06:32)
20/1/17</t>
        </r>
      </text>
    </comment>
    <comment ref="E138" authorId="0" shapeId="0" xr:uid="{2C9A8B10-1B88-4087-941D-D6F412F89C08}">
      <text>
        <r>
          <rPr>
            <sz val="11"/>
            <color theme="1"/>
            <rFont val="Calibri"/>
            <family val="2"/>
            <scheme val="minor"/>
          </rPr>
          <t>======
ID#AAAALoinMT4
Administrator    (2021-03-09 06:06:32)
20/1/17</t>
        </r>
      </text>
    </comment>
    <comment ref="E140" authorId="0" shapeId="0" xr:uid="{F2F65CE7-6C44-4D7D-A4A4-DDC7D65E957D}">
      <text>
        <r>
          <rPr>
            <sz val="11"/>
            <color theme="1"/>
            <rFont val="Calibri"/>
            <family val="2"/>
            <scheme val="minor"/>
          </rPr>
          <t>======
ID#AAAALoinMXo
Administrator    (2021-03-09 06:06:32)
15/1/17</t>
        </r>
      </text>
    </comment>
    <comment ref="Q140" authorId="0" shapeId="0" xr:uid="{DAFFA348-5418-453D-A416-C63B280C55B4}">
      <text>
        <r>
          <rPr>
            <sz val="11"/>
            <color theme="1"/>
            <rFont val="Calibri"/>
            <family val="2"/>
            <scheme val="minor"/>
          </rPr>
          <t>======
ID#AAAALoinMUM
Administrator    (2021-03-09 06:06:32)
15/1/17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ED4A4278-3CC8-4BE2-939C-78FB53A60319}">
      <text>
        <r>
          <rPr>
            <sz val="11"/>
            <color theme="1"/>
            <rFont val="Calibri"/>
            <family val="2"/>
            <scheme val="minor"/>
          </rPr>
          <t>======
ID#AAAALoinMiE
Administrator    (2021-03-09 06:06:32)
8/1/2017</t>
        </r>
      </text>
    </comment>
    <comment ref="E20" authorId="0" shapeId="0" xr:uid="{F30EE7A4-29FA-487F-BCED-037BA43AE2D3}">
      <text>
        <r>
          <rPr>
            <sz val="11"/>
            <color theme="1"/>
            <rFont val="Calibri"/>
            <family val="2"/>
            <scheme val="minor"/>
          </rPr>
          <t>======
ID#AAAALoinMM8
Administrator    (2021-03-09 06:06:32)
10/1/17</t>
        </r>
      </text>
    </comment>
    <comment ref="E22" authorId="0" shapeId="0" xr:uid="{9680409E-DECD-42DC-8D9F-7D7EA4D877DC}">
      <text>
        <r>
          <rPr>
            <sz val="11"/>
            <color theme="1"/>
            <rFont val="Calibri"/>
            <family val="2"/>
            <scheme val="minor"/>
          </rPr>
          <t>======
ID#AAAALoinMZE
Administrator    (2021-03-09 06:06:32)
7/1/2017</t>
        </r>
      </text>
    </comment>
    <comment ref="E31" authorId="0" shapeId="0" xr:uid="{547862A8-9D57-4760-B5DF-DF7AE15DA889}">
      <text>
        <r>
          <rPr>
            <sz val="11"/>
            <color theme="1"/>
            <rFont val="Calibri"/>
            <family val="2"/>
            <scheme val="minor"/>
          </rPr>
          <t>======
ID#AAAALoinMN0
Administrator    (2021-03-09 06:06:32)
10/1/17</t>
        </r>
      </text>
    </comment>
    <comment ref="E33" authorId="0" shapeId="0" xr:uid="{E305FD8D-B595-4A0E-B68F-E137088A73B2}">
      <text>
        <r>
          <rPr>
            <sz val="11"/>
            <color theme="1"/>
            <rFont val="Calibri"/>
            <family val="2"/>
            <scheme val="minor"/>
          </rPr>
          <t>======
ID#AAAALoinMcE
Administrator    (2021-03-09 06:06:32)
10/1/17</t>
        </r>
      </text>
    </comment>
    <comment ref="E34" authorId="0" shapeId="0" xr:uid="{B71C817D-A0AD-41A9-A234-08C64B792775}">
      <text>
        <r>
          <rPr>
            <sz val="11"/>
            <color theme="1"/>
            <rFont val="Calibri"/>
            <family val="2"/>
            <scheme val="minor"/>
          </rPr>
          <t>======
ID#AAAALoinMfs
Administrator    (2021-03-09 06:06:32)
10/1/17</t>
        </r>
      </text>
    </comment>
    <comment ref="E35" authorId="0" shapeId="0" xr:uid="{C890E19D-2627-401A-B51B-ADECCB319266}">
      <text>
        <r>
          <rPr>
            <sz val="11"/>
            <color theme="1"/>
            <rFont val="Calibri"/>
            <family val="2"/>
            <scheme val="minor"/>
          </rPr>
          <t>======
ID#AAAALoinMPI
Administrator    (2021-03-09 06:06:32)
12/1/17</t>
        </r>
      </text>
    </comment>
    <comment ref="E36" authorId="0" shapeId="0" xr:uid="{D79E40A5-1197-4D21-9891-A2527AD17BF5}">
      <text>
        <r>
          <rPr>
            <sz val="11"/>
            <color theme="1"/>
            <rFont val="Calibri"/>
            <family val="2"/>
            <scheme val="minor"/>
          </rPr>
          <t>======
ID#AAAALoinMcI
Administrator    (2021-03-09 06:06:32)
12/1/17</t>
        </r>
      </text>
    </comment>
    <comment ref="E37" authorId="0" shapeId="0" xr:uid="{8E63BED1-EE41-4AF2-ADB3-AA56D5A84BD8}">
      <text>
        <r>
          <rPr>
            <sz val="11"/>
            <color theme="1"/>
            <rFont val="Calibri"/>
            <family val="2"/>
            <scheme val="minor"/>
          </rPr>
          <t>======
ID#AAAALoinMOI
Administrator    (2021-03-09 06:06:32)
12/1/17</t>
        </r>
      </text>
    </comment>
    <comment ref="E40" authorId="0" shapeId="0" xr:uid="{2C4F9D8D-A4A8-4578-85F4-B223967AF8F8}">
      <text>
        <r>
          <rPr>
            <sz val="11"/>
            <color theme="1"/>
            <rFont val="Calibri"/>
            <family val="2"/>
            <scheme val="minor"/>
          </rPr>
          <t>======
ID#AAAALoinMeA
Administrator    (2021-03-09 06:06:32)
12/1/17</t>
        </r>
      </text>
    </comment>
    <comment ref="Q40" authorId="0" shapeId="0" xr:uid="{CBB8AA97-1FB1-4E01-A83D-6B22C05DD9FC}">
      <text>
        <r>
          <rPr>
            <sz val="11"/>
            <color theme="1"/>
            <rFont val="Calibri"/>
            <family val="2"/>
            <scheme val="minor"/>
          </rPr>
          <t>======
ID#AAAALoinMe4
Administrator    (2021-03-09 06:06:32)
12/1/17</t>
        </r>
      </text>
    </comment>
    <comment ref="E41" authorId="0" shapeId="0" xr:uid="{0823DD97-DC29-492B-9047-5D786E0BCF62}">
      <text>
        <r>
          <rPr>
            <sz val="11"/>
            <color theme="1"/>
            <rFont val="Calibri"/>
            <family val="2"/>
            <scheme val="minor"/>
          </rPr>
          <t>======
ID#AAAALoinMb8
Administrator    (2021-03-09 06:06:32)
12/1/17</t>
        </r>
      </text>
    </comment>
    <comment ref="E42" authorId="0" shapeId="0" xr:uid="{142F9F25-0B01-4906-A46F-806D70EDD23E}">
      <text>
        <r>
          <rPr>
            <sz val="11"/>
            <color theme="1"/>
            <rFont val="Calibri"/>
            <family val="2"/>
            <scheme val="minor"/>
          </rPr>
          <t>======
ID#AAAALoinMiI
Administrator    (2021-03-09 06:06:32)
12/1/17</t>
        </r>
      </text>
    </comment>
    <comment ref="H42" authorId="0" shapeId="0" xr:uid="{241F9006-852D-4F41-8170-CBFD23CF85EC}">
      <text>
        <r>
          <rPr>
            <sz val="11"/>
            <color theme="1"/>
            <rFont val="Calibri"/>
            <family val="2"/>
            <scheme val="minor"/>
          </rPr>
          <t>======
ID#AAAALoinMiU
Administrator    (2021-03-09 06:06:32)
12/1/17</t>
        </r>
      </text>
    </comment>
    <comment ref="E43" authorId="0" shapeId="0" xr:uid="{2EC43918-2D56-4FD1-90D1-E32B6D4108C9}">
      <text>
        <r>
          <rPr>
            <sz val="11"/>
            <color theme="1"/>
            <rFont val="Calibri"/>
            <family val="2"/>
            <scheme val="minor"/>
          </rPr>
          <t>======
ID#AAAALoinMVQ
Administrator    (2021-03-09 06:06:32)
9/1/17</t>
        </r>
      </text>
    </comment>
    <comment ref="E44" authorId="0" shapeId="0" xr:uid="{ACBDB248-8493-4238-B8FC-C8DD1595B42D}">
      <text>
        <r>
          <rPr>
            <sz val="11"/>
            <color theme="1"/>
            <rFont val="Calibri"/>
            <family val="2"/>
            <scheme val="minor"/>
          </rPr>
          <t>======
ID#AAAALoinMdo
Administrator    (2021-03-09 06:06:32)
9/1/17</t>
        </r>
      </text>
    </comment>
    <comment ref="Q44" authorId="0" shapeId="0" xr:uid="{F091F082-D5AC-4D4A-9927-888E068DF89B}">
      <text>
        <r>
          <rPr>
            <sz val="11"/>
            <color theme="1"/>
            <rFont val="Calibri"/>
            <family val="2"/>
            <scheme val="minor"/>
          </rPr>
          <t>======
ID#AAAALoinMTc
Administrator    (2021-03-09 06:06:32)
9/1/17</t>
        </r>
      </text>
    </comment>
    <comment ref="E45" authorId="0" shapeId="0" xr:uid="{C92776C3-3230-431D-AA87-E16233AC10C1}">
      <text>
        <r>
          <rPr>
            <sz val="11"/>
            <color theme="1"/>
            <rFont val="Calibri"/>
            <family val="2"/>
            <scheme val="minor"/>
          </rPr>
          <t>======
ID#AAAALoinMis
Administrator    (2021-03-09 06:06:32)
13/1/17</t>
        </r>
      </text>
    </comment>
    <comment ref="E46" authorId="0" shapeId="0" xr:uid="{B876299C-346F-4F76-84EC-B1BFB569FB96}">
      <text>
        <r>
          <rPr>
            <sz val="11"/>
            <color theme="1"/>
            <rFont val="Calibri"/>
            <family val="2"/>
            <scheme val="minor"/>
          </rPr>
          <t>======
ID#AAAALoinMUg
Administrator    (2021-03-09 06:06:32)
13/1/17</t>
        </r>
      </text>
    </comment>
    <comment ref="E47" authorId="0" shapeId="0" xr:uid="{9EEC1BA6-F0B8-4A39-94DC-0203FDD56405}">
      <text>
        <r>
          <rPr>
            <sz val="11"/>
            <color theme="1"/>
            <rFont val="Calibri"/>
            <family val="2"/>
            <scheme val="minor"/>
          </rPr>
          <t>======
ID#AAAALoinMag
Administrator    (2021-03-09 06:06:32)
15/1/17</t>
        </r>
      </text>
    </comment>
    <comment ref="E48" authorId="0" shapeId="0" xr:uid="{1198D988-C54E-4BAB-981A-23D428480067}">
      <text>
        <r>
          <rPr>
            <sz val="11"/>
            <color theme="1"/>
            <rFont val="Calibri"/>
            <family val="2"/>
            <scheme val="minor"/>
          </rPr>
          <t>======
ID#AAAALoinMjo
Administrator    (2021-03-09 06:06:32)
13/1/17</t>
        </r>
      </text>
    </comment>
    <comment ref="E49" authorId="0" shapeId="0" xr:uid="{B6D2F61B-AF8B-4C44-95CE-C582FA89B96A}">
      <text>
        <r>
          <rPr>
            <sz val="11"/>
            <color theme="1"/>
            <rFont val="Calibri"/>
            <family val="2"/>
            <scheme val="minor"/>
          </rPr>
          <t>======
ID#AAAALoinMX0
Administrator    (2021-03-09 06:06:32)
14/1/17</t>
        </r>
      </text>
    </comment>
    <comment ref="E50" authorId="0" shapeId="0" xr:uid="{2A2369E5-53F9-4E24-8A7B-5EF42C26A9BB}">
      <text>
        <r>
          <rPr>
            <sz val="11"/>
            <color theme="1"/>
            <rFont val="Calibri"/>
            <family val="2"/>
            <scheme val="minor"/>
          </rPr>
          <t>======
ID#AAAALoinMTI
Administrator    (2021-03-09 06:06:32)
15/1/17</t>
        </r>
      </text>
    </comment>
    <comment ref="Q50" authorId="0" shapeId="0" xr:uid="{745FE236-DD5E-4E23-8A53-7CF8B61E57DA}">
      <text>
        <r>
          <rPr>
            <sz val="11"/>
            <color theme="1"/>
            <rFont val="Calibri"/>
            <family val="2"/>
            <scheme val="minor"/>
          </rPr>
          <t>======
ID#AAAALoinMSY
Administrator    (2021-03-09 06:06:32)
15/1/17</t>
        </r>
      </text>
    </comment>
    <comment ref="E51" authorId="0" shapeId="0" xr:uid="{2167C9D8-CC0A-4A47-ABF7-B6BF80C9E7F2}">
      <text>
        <r>
          <rPr>
            <sz val="11"/>
            <color theme="1"/>
            <rFont val="Calibri"/>
            <family val="2"/>
            <scheme val="minor"/>
          </rPr>
          <t>======
ID#AAAALoinMKY
Administrator    (2021-03-09 06:06:32)
15/1/17</t>
        </r>
      </text>
    </comment>
    <comment ref="Q51" authorId="0" shapeId="0" xr:uid="{5FF3C263-6111-48CD-916F-1AD82DD920F6}">
      <text>
        <r>
          <rPr>
            <sz val="11"/>
            <color theme="1"/>
            <rFont val="Calibri"/>
            <family val="2"/>
            <scheme val="minor"/>
          </rPr>
          <t>======
ID#AAAALoinMYc
Administrator    (2021-03-09 06:06:32)
15/1/17</t>
        </r>
      </text>
    </comment>
    <comment ref="E52" authorId="0" shapeId="0" xr:uid="{A7FE033E-AC26-43F0-B830-8B7C3EDCC986}">
      <text>
        <r>
          <rPr>
            <sz val="11"/>
            <color theme="1"/>
            <rFont val="Calibri"/>
            <family val="2"/>
            <scheme val="minor"/>
          </rPr>
          <t>======
ID#AAAALoinMeI
Administrator    (2021-03-09 06:06:32)
15/1/17</t>
        </r>
      </text>
    </comment>
    <comment ref="E53" authorId="0" shapeId="0" xr:uid="{11060128-B1C8-44DE-B206-CC05E682E0DF}">
      <text>
        <r>
          <rPr>
            <sz val="11"/>
            <color theme="1"/>
            <rFont val="Calibri"/>
            <family val="2"/>
            <scheme val="minor"/>
          </rPr>
          <t>======
ID#AAAALoinMVk
Administrator    (2021-03-09 06:06:32)
15/1/17</t>
        </r>
      </text>
    </comment>
    <comment ref="E54" authorId="0" shapeId="0" xr:uid="{EAA4E3C2-B560-4CE0-B363-7D06907E2228}">
      <text>
        <r>
          <rPr>
            <sz val="11"/>
            <color theme="1"/>
            <rFont val="Calibri"/>
            <family val="2"/>
            <scheme val="minor"/>
          </rPr>
          <t>======
ID#AAAALoinMLY
Administrator    (2021-03-09 06:06:32)
15/1/17</t>
        </r>
      </text>
    </comment>
    <comment ref="E55" authorId="0" shapeId="0" xr:uid="{D1127D68-6E70-49AE-B800-5B3998EE36E4}">
      <text>
        <r>
          <rPr>
            <sz val="11"/>
            <color theme="1"/>
            <rFont val="Calibri"/>
            <family val="2"/>
            <scheme val="minor"/>
          </rPr>
          <t>======
ID#AAAALoinMgU
Administrator    (2021-03-09 06:06:32)
16/1/17</t>
        </r>
      </text>
    </comment>
    <comment ref="E56" authorId="0" shapeId="0" xr:uid="{D3B73762-D6D1-4936-AD3A-777AB5774821}">
      <text>
        <r>
          <rPr>
            <sz val="11"/>
            <color theme="1"/>
            <rFont val="Calibri"/>
            <family val="2"/>
            <scheme val="minor"/>
          </rPr>
          <t>======
ID#AAAALoinMZM
Administrator    (2021-03-09 06:06:32)
16/1/17</t>
        </r>
      </text>
    </comment>
    <comment ref="E57" authorId="0" shapeId="0" xr:uid="{1CB0D151-A774-48D5-B033-BF72E51B1DF3}">
      <text>
        <r>
          <rPr>
            <sz val="11"/>
            <color theme="1"/>
            <rFont val="Calibri"/>
            <family val="2"/>
            <scheme val="minor"/>
          </rPr>
          <t>======
ID#AAAALoinMMc
Administrator    (2021-03-09 06:06:32)
16/1/17</t>
        </r>
      </text>
    </comment>
    <comment ref="E58" authorId="0" shapeId="0" xr:uid="{B34CB02F-127B-425F-97A8-E5A1D09C43E9}">
      <text>
        <r>
          <rPr>
            <sz val="11"/>
            <color theme="1"/>
            <rFont val="Calibri"/>
            <family val="2"/>
            <scheme val="minor"/>
          </rPr>
          <t>======
ID#AAAALoinMi4
Administrator    (2021-03-09 06:06:32)
19/1/17</t>
        </r>
      </text>
    </comment>
    <comment ref="E60" authorId="0" shapeId="0" xr:uid="{3BF47EA8-C519-4FEC-BE9F-B811F32C86B8}">
      <text>
        <r>
          <rPr>
            <sz val="11"/>
            <color theme="1"/>
            <rFont val="Calibri"/>
            <family val="2"/>
            <scheme val="minor"/>
          </rPr>
          <t>======
ID#AAAALoinMcQ
Administrator    (2021-03-09 06:06:32)
19/1/17</t>
        </r>
      </text>
    </comment>
    <comment ref="E61" authorId="0" shapeId="0" xr:uid="{851D0E4E-0371-4AE5-AD4E-8752FED216CF}">
      <text>
        <r>
          <rPr>
            <sz val="11"/>
            <color theme="1"/>
            <rFont val="Calibri"/>
            <family val="2"/>
            <scheme val="minor"/>
          </rPr>
          <t>======
ID#AAAALoinMe0
Administrator    (2021-03-09 06:06:32)
19/1/17</t>
        </r>
      </text>
    </comment>
    <comment ref="E62" authorId="0" shapeId="0" xr:uid="{094DA5A1-FC86-4FFD-BCAF-D1A88C5FB924}">
      <text>
        <r>
          <rPr>
            <sz val="11"/>
            <color theme="1"/>
            <rFont val="Calibri"/>
            <family val="2"/>
            <scheme val="minor"/>
          </rPr>
          <t>======
ID#AAAALoinMhM
Administrator    (2021-03-09 06:06:32)
19/1/17</t>
        </r>
      </text>
    </comment>
    <comment ref="E63" authorId="0" shapeId="0" xr:uid="{A94122F1-CA1C-4D6D-A180-E7EBE5B00D77}">
      <text>
        <r>
          <rPr>
            <sz val="11"/>
            <color theme="1"/>
            <rFont val="Calibri"/>
            <family val="2"/>
            <scheme val="minor"/>
          </rPr>
          <t>======
ID#AAAALoinMU8
Administrator    (2021-03-09 06:06:32)
20/1/17</t>
        </r>
      </text>
    </comment>
    <comment ref="E64" authorId="0" shapeId="0" xr:uid="{1A5D84DE-042D-4B82-8362-44DD1EA72D1E}">
      <text>
        <r>
          <rPr>
            <sz val="11"/>
            <color theme="1"/>
            <rFont val="Calibri"/>
            <family val="2"/>
            <scheme val="minor"/>
          </rPr>
          <t>======
ID#AAAALoinMO8
Administrator    (2021-03-09 06:06:32)
20/1/17</t>
        </r>
      </text>
    </comment>
    <comment ref="Q64" authorId="0" shapeId="0" xr:uid="{1961DFA7-FE03-4B1C-91E2-3D5F611F0C5C}">
      <text>
        <r>
          <rPr>
            <sz val="11"/>
            <color theme="1"/>
            <rFont val="Calibri"/>
            <family val="2"/>
            <scheme val="minor"/>
          </rPr>
          <t>======
ID#AAAALoinMOM
Administrator    (2021-03-09 06:06:32)
20/1/2017</t>
        </r>
      </text>
    </comment>
    <comment ref="E65" authorId="0" shapeId="0" xr:uid="{41CD761F-64C8-49D4-A25D-4488E2B62629}">
      <text>
        <r>
          <rPr>
            <sz val="11"/>
            <color theme="1"/>
            <rFont val="Calibri"/>
            <family val="2"/>
            <scheme val="minor"/>
          </rPr>
          <t>======
ID#AAAALoinMPA
Administrator    (2021-03-09 06:06:32)
20/1/17</t>
        </r>
      </text>
    </comment>
    <comment ref="E66" authorId="0" shapeId="0" xr:uid="{0DF479A0-13F0-45C2-A2E2-542626343874}">
      <text>
        <r>
          <rPr>
            <sz val="11"/>
            <color theme="1"/>
            <rFont val="Calibri"/>
            <family val="2"/>
            <scheme val="minor"/>
          </rPr>
          <t>======
ID#AAAALoinMY4
Administrator    (2021-03-09 06:06:32)
20/1/17</t>
        </r>
      </text>
    </comment>
    <comment ref="E67" authorId="0" shapeId="0" xr:uid="{6B064E21-CB79-4EDE-94A6-B94D2AD42EDC}">
      <text>
        <r>
          <rPr>
            <sz val="11"/>
            <color theme="1"/>
            <rFont val="Calibri"/>
            <family val="2"/>
            <scheme val="minor"/>
          </rPr>
          <t>======
ID#AAAALoinMKc
Administrator    (2021-03-09 06:06:32)
20/1/17</t>
        </r>
      </text>
    </comment>
    <comment ref="E68" authorId="0" shapeId="0" xr:uid="{1A8344B1-5CD8-43EC-994F-BCD63CC1A66A}">
      <text>
        <r>
          <rPr>
            <sz val="11"/>
            <color theme="1"/>
            <rFont val="Calibri"/>
            <family val="2"/>
            <scheme val="minor"/>
          </rPr>
          <t>======
ID#AAAALoinMfw
Administrator    (2021-03-09 06:06:32)
20/1/17</t>
        </r>
      </text>
    </comment>
    <comment ref="E69" authorId="0" shapeId="0" xr:uid="{7A028606-5099-400D-ADC6-A7E0B2AB9FB3}">
      <text>
        <r>
          <rPr>
            <sz val="11"/>
            <color theme="1"/>
            <rFont val="Calibri"/>
            <family val="2"/>
            <scheme val="minor"/>
          </rPr>
          <t>======
ID#AAAALoinMTE
Administrator    (2021-03-09 06:06:32)
20/1/17</t>
        </r>
      </text>
    </comment>
    <comment ref="Q69" authorId="0" shapeId="0" xr:uid="{B8EB7BA4-C9DB-42D4-8F33-7A515E9243C3}">
      <text>
        <r>
          <rPr>
            <sz val="11"/>
            <color theme="1"/>
            <rFont val="Calibri"/>
            <family val="2"/>
            <scheme val="minor"/>
          </rPr>
          <t>======
ID#AAAALoinMOg
Administrator    (2021-03-09 06:06:32)
20/1/2017</t>
        </r>
      </text>
    </comment>
    <comment ref="E70" authorId="0" shapeId="0" xr:uid="{BBA26137-E310-4EC4-AC35-A95EB37A903F}">
      <text>
        <r>
          <rPr>
            <sz val="11"/>
            <color theme="1"/>
            <rFont val="Calibri"/>
            <family val="2"/>
            <scheme val="minor"/>
          </rPr>
          <t>======
ID#AAAALoinMdE
Administrator    (2021-03-09 06:06:32)
20/1/17</t>
        </r>
      </text>
    </comment>
    <comment ref="Q70" authorId="0" shapeId="0" xr:uid="{7FB5A932-B9A4-4738-9ABB-A782067CA2C2}">
      <text>
        <r>
          <rPr>
            <sz val="11"/>
            <color theme="1"/>
            <rFont val="Calibri"/>
            <family val="2"/>
            <scheme val="minor"/>
          </rPr>
          <t>======
ID#AAAALoinMSc
Administrator    (2021-03-09 06:06:32)
20/1/2017</t>
        </r>
      </text>
    </comment>
    <comment ref="E71" authorId="0" shapeId="0" xr:uid="{27B91086-8D6D-4E44-85D9-80B3B3E5AE73}">
      <text>
        <r>
          <rPr>
            <sz val="11"/>
            <color theme="1"/>
            <rFont val="Calibri"/>
            <family val="2"/>
            <scheme val="minor"/>
          </rPr>
          <t>======
ID#AAAALoinMP8
Administrator    (2021-03-09 06:06:32)
20/1/17</t>
        </r>
      </text>
    </comment>
    <comment ref="E72" authorId="0" shapeId="0" xr:uid="{842EB07F-B0D3-42B0-A0FD-3D1A2C194D57}">
      <text>
        <r>
          <rPr>
            <sz val="11"/>
            <color theme="1"/>
            <rFont val="Calibri"/>
            <family val="2"/>
            <scheme val="minor"/>
          </rPr>
          <t>======
ID#AAAALoinMNQ
Administrator    (2021-03-09 06:06:32)
20/1/17</t>
        </r>
      </text>
    </comment>
    <comment ref="E73" authorId="0" shapeId="0" xr:uid="{231318BD-4E60-48D0-8E68-85E5C34AA875}">
      <text>
        <r>
          <rPr>
            <sz val="11"/>
            <color theme="1"/>
            <rFont val="Calibri"/>
            <family val="2"/>
            <scheme val="minor"/>
          </rPr>
          <t>======
ID#AAAALoinMek
Administrator    (2021-03-09 06:06:32)
20/1/17</t>
        </r>
      </text>
    </comment>
    <comment ref="E74" authorId="0" shapeId="0" xr:uid="{722A321B-399A-491E-A098-4A42E7227983}">
      <text>
        <r>
          <rPr>
            <sz val="11"/>
            <color theme="1"/>
            <rFont val="Calibri"/>
            <family val="2"/>
            <scheme val="minor"/>
          </rPr>
          <t>======
ID#AAAALoinMN8
Administrator    (2021-03-09 06:06:32)
20/1/17</t>
        </r>
      </text>
    </comment>
    <comment ref="E76" authorId="0" shapeId="0" xr:uid="{E49321F6-5D06-45DC-A1A8-4CD3BB7ACCFE}">
      <text>
        <r>
          <rPr>
            <sz val="11"/>
            <color theme="1"/>
            <rFont val="Calibri"/>
            <family val="2"/>
            <scheme val="minor"/>
          </rPr>
          <t>======
ID#AAAALoinMLI
Administrator    (2021-03-09 06:06:32)
21/1/17</t>
        </r>
      </text>
    </comment>
    <comment ref="E77" authorId="0" shapeId="0" xr:uid="{36DB639B-6CD8-41DA-9FAA-62A0A01985DD}">
      <text>
        <r>
          <rPr>
            <sz val="11"/>
            <color theme="1"/>
            <rFont val="Calibri"/>
            <family val="2"/>
            <scheme val="minor"/>
          </rPr>
          <t>======
ID#AAAALoinMNs
Administrator    (2021-03-09 06:06:32)
22/1/17</t>
        </r>
      </text>
    </comment>
    <comment ref="Q77" authorId="0" shapeId="0" xr:uid="{AF520A30-1E8C-4AAD-8308-5BFF9B246BE3}">
      <text>
        <r>
          <rPr>
            <sz val="11"/>
            <color theme="1"/>
            <rFont val="Calibri"/>
            <family val="2"/>
            <scheme val="minor"/>
          </rPr>
          <t>======
ID#AAAALoinMWE
Administrator    (2021-03-09 06:06:32)
22/1/17</t>
        </r>
      </text>
    </comment>
    <comment ref="E78" authorId="0" shapeId="0" xr:uid="{AC0F1FAD-37F8-407A-802E-C6D68D26BCF6}">
      <text>
        <r>
          <rPr>
            <sz val="11"/>
            <color theme="1"/>
            <rFont val="Calibri"/>
            <family val="2"/>
            <scheme val="minor"/>
          </rPr>
          <t>======
ID#AAAALoinMfo
Administrator    (2021-03-09 06:06:32)
22/1/17</t>
        </r>
      </text>
    </comment>
    <comment ref="E79" authorId="0" shapeId="0" xr:uid="{29CE04EF-F0B6-4AC5-8BE0-3669CAE37004}">
      <text>
        <r>
          <rPr>
            <sz val="11"/>
            <color theme="1"/>
            <rFont val="Calibri"/>
            <family val="2"/>
            <scheme val="minor"/>
          </rPr>
          <t>======
ID#AAAALoinMRw
Administrator    (2021-03-09 06:06:32)
22/1/17</t>
        </r>
      </text>
    </comment>
    <comment ref="E80" authorId="0" shapeId="0" xr:uid="{B09FC165-1E6B-4BFE-A1DA-9997F9627AC1}">
      <text>
        <r>
          <rPr>
            <sz val="11"/>
            <color theme="1"/>
            <rFont val="Calibri"/>
            <family val="2"/>
            <scheme val="minor"/>
          </rPr>
          <t>======
ID#AAAALoinMRo
Administrator    (2021-03-09 06:06:32)
22/1/17</t>
        </r>
      </text>
    </comment>
    <comment ref="E81" authorId="0" shapeId="0" xr:uid="{4FCF09D1-38CB-4277-932F-05209EEE72B8}">
      <text>
        <r>
          <rPr>
            <sz val="11"/>
            <color theme="1"/>
            <rFont val="Calibri"/>
            <family val="2"/>
            <scheme val="minor"/>
          </rPr>
          <t>======
ID#AAAALoinML0
Administrator    (2021-03-09 06:06:32)
22/1/17</t>
        </r>
      </text>
    </comment>
    <comment ref="Q81" authorId="0" shapeId="0" xr:uid="{94D54759-0035-46EA-91F7-D587F9F8325A}">
      <text>
        <r>
          <rPr>
            <sz val="11"/>
            <color theme="1"/>
            <rFont val="Calibri"/>
            <family val="2"/>
            <scheme val="minor"/>
          </rPr>
          <t>======
ID#AAAALoinMWw
Administrator    (2021-03-09 06:06:32)
22/1/17</t>
        </r>
      </text>
    </comment>
    <comment ref="E82" authorId="0" shapeId="0" xr:uid="{5E5BF996-3A83-4F5D-8691-DE9D1E72153F}">
      <text>
        <r>
          <rPr>
            <sz val="11"/>
            <color theme="1"/>
            <rFont val="Calibri"/>
            <family val="2"/>
            <scheme val="minor"/>
          </rPr>
          <t>======
ID#AAAALoinMUo
Administrator    (2021-03-09 06:06:32)
22/1/17</t>
        </r>
      </text>
    </comment>
    <comment ref="Q82" authorId="0" shapeId="0" xr:uid="{AAA7B5BD-4BA0-45A7-88D3-0D99AE8C4A76}">
      <text>
        <r>
          <rPr>
            <sz val="11"/>
            <color theme="1"/>
            <rFont val="Calibri"/>
            <family val="2"/>
            <scheme val="minor"/>
          </rPr>
          <t>======
ID#AAAALoinMjQ
Administrator    (2021-03-09 06:06:32)
22/1/17</t>
        </r>
      </text>
    </comment>
    <comment ref="E84" authorId="0" shapeId="0" xr:uid="{51965E88-49F8-4584-9032-36082AF48764}">
      <text>
        <r>
          <rPr>
            <sz val="11"/>
            <color theme="1"/>
            <rFont val="Calibri"/>
            <family val="2"/>
            <scheme val="minor"/>
          </rPr>
          <t>======
ID#AAAALoinMYY
Administrator    (2021-03-09 06:06:32)
24/1/17</t>
        </r>
      </text>
    </comment>
    <comment ref="E85" authorId="0" shapeId="0" xr:uid="{CFFCDFC8-07D0-4C8C-AC3D-B9B63139FA22}">
      <text>
        <r>
          <rPr>
            <sz val="11"/>
            <color theme="1"/>
            <rFont val="Calibri"/>
            <family val="2"/>
            <scheme val="minor"/>
          </rPr>
          <t>======
ID#AAAALoinMPM
Administrator    (2021-03-09 06:06:32)
24/1/17</t>
        </r>
      </text>
    </comment>
    <comment ref="E86" authorId="0" shapeId="0" xr:uid="{A05F2995-43D7-4EA0-8EF5-BC9CAA6192A6}">
      <text>
        <r>
          <rPr>
            <sz val="11"/>
            <color theme="1"/>
            <rFont val="Calibri"/>
            <family val="2"/>
            <scheme val="minor"/>
          </rPr>
          <t>======
ID#AAAALoinMcc
Administrator    (2021-03-09 06:06:32)
24/1/17</t>
        </r>
      </text>
    </comment>
    <comment ref="E132" authorId="0" shapeId="0" xr:uid="{8948D8C1-1265-4413-9BD4-036A054CA483}">
      <text>
        <r>
          <rPr>
            <sz val="11"/>
            <color theme="1"/>
            <rFont val="Calibri"/>
            <family val="2"/>
            <scheme val="minor"/>
          </rPr>
          <t>======
ID#AAAALoinMiA
Administrator    (2021-03-09 06:06:32)
14/1/17</t>
        </r>
      </text>
    </comment>
    <comment ref="Q132" authorId="0" shapeId="0" xr:uid="{2950F6E8-194B-4FF6-8E18-3D05057D9B27}">
      <text>
        <r>
          <rPr>
            <sz val="11"/>
            <color theme="1"/>
            <rFont val="Calibri"/>
            <family val="2"/>
            <scheme val="minor"/>
          </rPr>
          <t>======
ID#AAAALoinMKk
Administrator    (2021-03-09 06:06:32)
14/1/17</t>
        </r>
      </text>
    </comment>
    <comment ref="E135" authorId="0" shapeId="0" xr:uid="{7B1795CF-563B-4540-942D-172462047B4F}">
      <text>
        <r>
          <rPr>
            <sz val="11"/>
            <color theme="1"/>
            <rFont val="Calibri"/>
            <family val="2"/>
            <scheme val="minor"/>
          </rPr>
          <t>======
ID#AAAALoinMNI
Administrator    (2021-03-09 06:06:32)
13/1/17</t>
        </r>
      </text>
    </comment>
    <comment ref="Q135" authorId="0" shapeId="0" xr:uid="{B18F7247-EF64-4C31-A5E6-7A5AB97D1F20}">
      <text>
        <r>
          <rPr>
            <sz val="11"/>
            <color theme="1"/>
            <rFont val="Calibri"/>
            <family val="2"/>
            <scheme val="minor"/>
          </rPr>
          <t>======
ID#AAAALoinMXg
Administrator    (2021-03-09 06:06:32)
13/1/17</t>
        </r>
      </text>
    </comment>
    <comment ref="E136" authorId="0" shapeId="0" xr:uid="{80CB92DF-7F45-48A7-8E77-53B102A9A401}">
      <text>
        <r>
          <rPr>
            <sz val="11"/>
            <color theme="1"/>
            <rFont val="Calibri"/>
            <family val="2"/>
            <scheme val="minor"/>
          </rPr>
          <t>======
ID#AAAALoinMQ4
Administrator    (2021-03-09 06:06:32)
15/1/17</t>
        </r>
      </text>
    </comment>
    <comment ref="E137" authorId="0" shapeId="0" xr:uid="{E6CC1A96-FA34-478E-A872-D8499F28AC85}">
      <text>
        <r>
          <rPr>
            <sz val="11"/>
            <color theme="1"/>
            <rFont val="Calibri"/>
            <family val="2"/>
            <scheme val="minor"/>
          </rPr>
          <t>======
ID#AAAALoinMak
Administrator    (2021-03-09 06:06:32)
20/1/17</t>
        </r>
      </text>
    </comment>
    <comment ref="E138" authorId="0" shapeId="0" xr:uid="{1F19E577-48B0-4F5F-8779-533A9A3964E9}">
      <text>
        <r>
          <rPr>
            <sz val="11"/>
            <color theme="1"/>
            <rFont val="Calibri"/>
            <family val="2"/>
            <scheme val="minor"/>
          </rPr>
          <t>======
ID#AAAALoinMYU
Administrator    (2021-03-09 06:06:32)
20/1/17</t>
        </r>
      </text>
    </comment>
    <comment ref="E140" authorId="0" shapeId="0" xr:uid="{7FB553A1-C395-46A0-B7A3-32639C0B389F}">
      <text>
        <r>
          <rPr>
            <sz val="11"/>
            <color theme="1"/>
            <rFont val="Calibri"/>
            <family val="2"/>
            <scheme val="minor"/>
          </rPr>
          <t>======
ID#AAAALoinMiw
Administrator    (2021-03-09 06:06:32)
15/1/17</t>
        </r>
      </text>
    </comment>
    <comment ref="Q140" authorId="0" shapeId="0" xr:uid="{D407798E-87F6-45E6-8A8C-5ECB3217D49A}">
      <text>
        <r>
          <rPr>
            <sz val="11"/>
            <color theme="1"/>
            <rFont val="Calibri"/>
            <family val="2"/>
            <scheme val="minor"/>
          </rPr>
          <t>======
ID#AAAALoinMc4
Administrator    (2021-03-09 06:06:32)
15/1/17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B380DD52-18F3-4931-9E2E-72F1D5FA22E1}">
      <text>
        <r>
          <rPr>
            <sz val="11"/>
            <color theme="1"/>
            <rFont val="Calibri"/>
            <family val="2"/>
            <scheme val="minor"/>
          </rPr>
          <t>======
ID#AAAALoinMbo
Administrator    (2021-03-09 06:06:32)
8/1/2017</t>
        </r>
      </text>
    </comment>
    <comment ref="E20" authorId="0" shapeId="0" xr:uid="{A92FC44F-7D63-4834-B6B3-08BFD71104CC}">
      <text>
        <r>
          <rPr>
            <sz val="11"/>
            <color theme="1"/>
            <rFont val="Calibri"/>
            <family val="2"/>
            <scheme val="minor"/>
          </rPr>
          <t>======
ID#AAAALoinMbQ
Administrator    (2021-03-09 06:06:32)
10/1/17</t>
        </r>
      </text>
    </comment>
    <comment ref="E22" authorId="0" shapeId="0" xr:uid="{8457BC07-E343-4394-B61E-BC2D35476703}">
      <text>
        <r>
          <rPr>
            <sz val="11"/>
            <color theme="1"/>
            <rFont val="Calibri"/>
            <family val="2"/>
            <scheme val="minor"/>
          </rPr>
          <t>======
ID#AAAALoinMjA
Administrator    (2021-03-09 06:06:32)
7/1/2017</t>
        </r>
      </text>
    </comment>
    <comment ref="E31" authorId="0" shapeId="0" xr:uid="{347A38AB-3CFE-4CB6-9DC0-58826F258C1D}">
      <text>
        <r>
          <rPr>
            <sz val="11"/>
            <color theme="1"/>
            <rFont val="Calibri"/>
            <family val="2"/>
            <scheme val="minor"/>
          </rPr>
          <t>======
ID#AAAALoinMZA
Administrator    (2021-03-09 06:06:32)
10/1/17</t>
        </r>
      </text>
    </comment>
    <comment ref="E33" authorId="0" shapeId="0" xr:uid="{5A1C9632-D0E5-4025-B12E-8893042D1478}">
      <text>
        <r>
          <rPr>
            <sz val="11"/>
            <color theme="1"/>
            <rFont val="Calibri"/>
            <family val="2"/>
            <scheme val="minor"/>
          </rPr>
          <t>======
ID#AAAALoinMjw
Administrator    (2021-03-09 06:06:32)
10/1/17</t>
        </r>
      </text>
    </comment>
    <comment ref="E34" authorId="0" shapeId="0" xr:uid="{53CDACF1-353B-4081-8447-EFCC5C958791}">
      <text>
        <r>
          <rPr>
            <sz val="11"/>
            <color theme="1"/>
            <rFont val="Calibri"/>
            <family val="2"/>
            <scheme val="minor"/>
          </rPr>
          <t>======
ID#AAAALoinMaA
Administrator    (2021-03-09 06:06:32)
10/1/17</t>
        </r>
      </text>
    </comment>
    <comment ref="E35" authorId="0" shapeId="0" xr:uid="{A54ED5D1-4CAC-4126-B321-347E7B9C997C}">
      <text>
        <r>
          <rPr>
            <sz val="11"/>
            <color theme="1"/>
            <rFont val="Calibri"/>
            <family val="2"/>
            <scheme val="minor"/>
          </rPr>
          <t>======
ID#AAAALoinMgs
Administrator    (2021-03-09 06:06:32)
12/1/17</t>
        </r>
      </text>
    </comment>
    <comment ref="E36" authorId="0" shapeId="0" xr:uid="{A392E081-69EE-4B0F-938A-F8F5D4F623AB}">
      <text>
        <r>
          <rPr>
            <sz val="11"/>
            <color theme="1"/>
            <rFont val="Calibri"/>
            <family val="2"/>
            <scheme val="minor"/>
          </rPr>
          <t>======
ID#AAAALoinMMw
Administrator    (2021-03-09 06:06:32)
12/1/17</t>
        </r>
      </text>
    </comment>
    <comment ref="E37" authorId="0" shapeId="0" xr:uid="{0F09AE9D-5EAA-4B24-8707-3089A88FDEF4}">
      <text>
        <r>
          <rPr>
            <sz val="11"/>
            <color theme="1"/>
            <rFont val="Calibri"/>
            <family val="2"/>
            <scheme val="minor"/>
          </rPr>
          <t>======
ID#AAAALoinMVc
Administrator    (2021-03-09 06:06:32)
12/1/17</t>
        </r>
      </text>
    </comment>
    <comment ref="E40" authorId="0" shapeId="0" xr:uid="{3E129FAE-0F46-4560-916F-2DD2FAE32BBE}">
      <text>
        <r>
          <rPr>
            <sz val="11"/>
            <color theme="1"/>
            <rFont val="Calibri"/>
            <family val="2"/>
            <scheme val="minor"/>
          </rPr>
          <t>======
ID#AAAALoinMWM
Administrator    (2021-03-09 06:06:32)
12/1/17</t>
        </r>
      </text>
    </comment>
    <comment ref="Q40" authorId="0" shapeId="0" xr:uid="{6876DD55-6845-4FF6-A51D-014B68A52D3D}">
      <text>
        <r>
          <rPr>
            <sz val="11"/>
            <color theme="1"/>
            <rFont val="Calibri"/>
            <family val="2"/>
            <scheme val="minor"/>
          </rPr>
          <t>======
ID#AAAALoinMUA
Administrator    (2021-03-09 06:06:32)
12/1/17</t>
        </r>
      </text>
    </comment>
    <comment ref="E41" authorId="0" shapeId="0" xr:uid="{DD24A65F-5E06-48E6-8648-BEFEE9B0A62A}">
      <text>
        <r>
          <rPr>
            <sz val="11"/>
            <color theme="1"/>
            <rFont val="Calibri"/>
            <family val="2"/>
            <scheme val="minor"/>
          </rPr>
          <t>======
ID#AAAALoinMes
Administrator    (2021-03-09 06:06:32)
12/1/17</t>
        </r>
      </text>
    </comment>
    <comment ref="E42" authorId="0" shapeId="0" xr:uid="{83CA510E-9579-4370-9A97-3D9985CB3BC0}">
      <text>
        <r>
          <rPr>
            <sz val="11"/>
            <color theme="1"/>
            <rFont val="Calibri"/>
            <family val="2"/>
            <scheme val="minor"/>
          </rPr>
          <t>======
ID#AAAALoinMUk
Administrator    (2021-03-09 06:06:32)
12/1/17</t>
        </r>
      </text>
    </comment>
    <comment ref="H42" authorId="0" shapeId="0" xr:uid="{A866ACC3-D733-4EE4-ABE8-947E73955271}">
      <text>
        <r>
          <rPr>
            <sz val="11"/>
            <color theme="1"/>
            <rFont val="Calibri"/>
            <family val="2"/>
            <scheme val="minor"/>
          </rPr>
          <t>======
ID#AAAALoinMOc
Administrator    (2021-03-09 06:06:32)
12/1/17</t>
        </r>
      </text>
    </comment>
    <comment ref="E43" authorId="0" shapeId="0" xr:uid="{2F17DE76-7814-4D61-B02E-1C728F551F3D}">
      <text>
        <r>
          <rPr>
            <sz val="11"/>
            <color theme="1"/>
            <rFont val="Calibri"/>
            <family val="2"/>
            <scheme val="minor"/>
          </rPr>
          <t>======
ID#AAAALoinMi8
Administrator    (2021-03-09 06:06:32)
9/1/17</t>
        </r>
      </text>
    </comment>
    <comment ref="Q43" authorId="0" shapeId="0" xr:uid="{C06E557B-4C0A-4739-913C-88CFD80876B9}">
      <text>
        <r>
          <rPr>
            <sz val="11"/>
            <color theme="1"/>
            <rFont val="Calibri"/>
            <family val="2"/>
            <scheme val="minor"/>
          </rPr>
          <t>======
ID#AAAALoinMjs
Administrator    (2021-03-09 06:06:32)
9/1/17</t>
        </r>
      </text>
    </comment>
    <comment ref="E44" authorId="0" shapeId="0" xr:uid="{995A19AD-F04F-44F5-8B47-9910291B231F}">
      <text>
        <r>
          <rPr>
            <sz val="11"/>
            <color theme="1"/>
            <rFont val="Calibri"/>
            <family val="2"/>
            <scheme val="minor"/>
          </rPr>
          <t>======
ID#AAAALoinMac
Administrator    (2021-03-09 06:06:32)
9/1/17</t>
        </r>
      </text>
    </comment>
    <comment ref="Q44" authorId="0" shapeId="0" xr:uid="{3B467B71-81C6-47F8-9304-8D6A663904DB}">
      <text>
        <r>
          <rPr>
            <sz val="11"/>
            <color theme="1"/>
            <rFont val="Calibri"/>
            <family val="2"/>
            <scheme val="minor"/>
          </rPr>
          <t>======
ID#AAAALoinMig
Administrator    (2021-03-09 06:06:32)
9/1/17</t>
        </r>
      </text>
    </comment>
    <comment ref="E45" authorId="0" shapeId="0" xr:uid="{5834DD4A-473E-4D80-A904-9C0557B81F81}">
      <text>
        <r>
          <rPr>
            <sz val="11"/>
            <color theme="1"/>
            <rFont val="Calibri"/>
            <family val="2"/>
            <scheme val="minor"/>
          </rPr>
          <t>======
ID#AAAALoinMas
Administrator    (2021-03-09 06:06:32)
13/1/17</t>
        </r>
      </text>
    </comment>
    <comment ref="E46" authorId="0" shapeId="0" xr:uid="{770CA01F-B77A-41A4-B7B3-77928CAAF3FC}">
      <text>
        <r>
          <rPr>
            <sz val="11"/>
            <color theme="1"/>
            <rFont val="Calibri"/>
            <family val="2"/>
            <scheme val="minor"/>
          </rPr>
          <t>======
ID#AAAALoinMc8
Administrator    (2021-03-09 06:06:32)
13/1/17</t>
        </r>
      </text>
    </comment>
    <comment ref="E47" authorId="0" shapeId="0" xr:uid="{7F1DBAC6-DC94-45E8-A7AE-48B08224A4D1}">
      <text>
        <r>
          <rPr>
            <sz val="11"/>
            <color theme="1"/>
            <rFont val="Calibri"/>
            <family val="2"/>
            <scheme val="minor"/>
          </rPr>
          <t>======
ID#AAAALoinMOo
Administrator    (2021-03-09 06:06:32)
15/1/17</t>
        </r>
      </text>
    </comment>
    <comment ref="E48" authorId="0" shapeId="0" xr:uid="{15F25F36-834E-4DCC-98C4-FAD22A03FDC5}">
      <text>
        <r>
          <rPr>
            <sz val="11"/>
            <color theme="1"/>
            <rFont val="Calibri"/>
            <family val="2"/>
            <scheme val="minor"/>
          </rPr>
          <t>======
ID#AAAALoinMP4
Administrator    (2021-03-09 06:06:32)
13/1/17</t>
        </r>
      </text>
    </comment>
    <comment ref="E49" authorId="0" shapeId="0" xr:uid="{2066FEE8-A0A6-4BD3-A914-B1511061D7E5}">
      <text>
        <r>
          <rPr>
            <sz val="11"/>
            <color theme="1"/>
            <rFont val="Calibri"/>
            <family val="2"/>
            <scheme val="minor"/>
          </rPr>
          <t>======
ID#AAAALoinMhw
Administrator    (2021-03-09 06:06:32)
14/1/17</t>
        </r>
      </text>
    </comment>
    <comment ref="Q49" authorId="0" shapeId="0" xr:uid="{7919B7A1-8515-4000-95B1-C42798C5B784}">
      <text>
        <r>
          <rPr>
            <sz val="11"/>
            <color theme="1"/>
            <rFont val="Calibri"/>
            <family val="2"/>
            <scheme val="minor"/>
          </rPr>
          <t>======
ID#AAAALoinMg8
Administrator    (2021-03-09 06:06:32)
14/1/17</t>
        </r>
      </text>
    </comment>
    <comment ref="E50" authorId="0" shapeId="0" xr:uid="{87BD657D-9975-4EE6-99D6-D1044DD7241A}">
      <text>
        <r>
          <rPr>
            <sz val="11"/>
            <color theme="1"/>
            <rFont val="Calibri"/>
            <family val="2"/>
            <scheme val="minor"/>
          </rPr>
          <t>======
ID#AAAALoinMjc
Administrator    (2021-03-09 06:06:32)
15/1/17</t>
        </r>
      </text>
    </comment>
    <comment ref="Q50" authorId="0" shapeId="0" xr:uid="{904B2B0D-5E4A-475B-A939-DE265578F78E}">
      <text>
        <r>
          <rPr>
            <sz val="11"/>
            <color theme="1"/>
            <rFont val="Calibri"/>
            <family val="2"/>
            <scheme val="minor"/>
          </rPr>
          <t>======
ID#AAAALoinMjE
Administrator    (2021-03-09 06:06:32)
15/1/17</t>
        </r>
      </text>
    </comment>
    <comment ref="E51" authorId="0" shapeId="0" xr:uid="{09B12F07-6997-45B1-974E-2B2A76246FB8}">
      <text>
        <r>
          <rPr>
            <sz val="11"/>
            <color theme="1"/>
            <rFont val="Calibri"/>
            <family val="2"/>
            <scheme val="minor"/>
          </rPr>
          <t>======
ID#AAAALoinMew
Administrator    (2021-03-09 06:06:32)
15/1/17</t>
        </r>
      </text>
    </comment>
    <comment ref="Q51" authorId="0" shapeId="0" xr:uid="{44368744-3467-4AF2-B38F-59D9544C11CD}">
      <text>
        <r>
          <rPr>
            <sz val="11"/>
            <color theme="1"/>
            <rFont val="Calibri"/>
            <family val="2"/>
            <scheme val="minor"/>
          </rPr>
          <t>======
ID#AAAALoinMco
Administrator    (2021-03-09 06:06:32)
15/1/17</t>
        </r>
      </text>
    </comment>
    <comment ref="E52" authorId="0" shapeId="0" xr:uid="{C271FAE6-FFA0-43D5-AE82-3C3A402CA413}">
      <text>
        <r>
          <rPr>
            <sz val="11"/>
            <color theme="1"/>
            <rFont val="Calibri"/>
            <family val="2"/>
            <scheme val="minor"/>
          </rPr>
          <t>======
ID#AAAALoinMYk
Administrator    (2021-03-09 06:06:32)
15/1/17</t>
        </r>
      </text>
    </comment>
    <comment ref="E53" authorId="0" shapeId="0" xr:uid="{E01BBCD8-3D61-4E0C-8E16-D46E640E8602}">
      <text>
        <r>
          <rPr>
            <sz val="11"/>
            <color theme="1"/>
            <rFont val="Calibri"/>
            <family val="2"/>
            <scheme val="minor"/>
          </rPr>
          <t>======
ID#AAAALoinMQY
Administrator    (2021-03-09 06:06:32)
15/1/17</t>
        </r>
      </text>
    </comment>
    <comment ref="E54" authorId="0" shapeId="0" xr:uid="{38437E87-D5CE-415D-9CF4-1A5818EB01C5}">
      <text>
        <r>
          <rPr>
            <sz val="11"/>
            <color theme="1"/>
            <rFont val="Calibri"/>
            <family val="2"/>
            <scheme val="minor"/>
          </rPr>
          <t>======
ID#AAAALoinMik
Administrator    (2021-03-09 06:06:32)
15/1/17</t>
        </r>
      </text>
    </comment>
    <comment ref="E55" authorId="0" shapeId="0" xr:uid="{C010C8B8-6772-4E15-A24E-4CD69BE394BE}">
      <text>
        <r>
          <rPr>
            <sz val="11"/>
            <color theme="1"/>
            <rFont val="Calibri"/>
            <family val="2"/>
            <scheme val="minor"/>
          </rPr>
          <t>======
ID#AAAALoinMZo
Administrator    (2021-03-09 06:06:32)
16/1/17</t>
        </r>
      </text>
    </comment>
    <comment ref="E56" authorId="0" shapeId="0" xr:uid="{C509E665-7C50-4C0D-8D94-669CA9F51D6F}">
      <text>
        <r>
          <rPr>
            <sz val="11"/>
            <color theme="1"/>
            <rFont val="Calibri"/>
            <family val="2"/>
            <scheme val="minor"/>
          </rPr>
          <t>======
ID#AAAALoinMQA
Administrator    (2021-03-09 06:06:32)
16/1/17</t>
        </r>
      </text>
    </comment>
    <comment ref="E57" authorId="0" shapeId="0" xr:uid="{4ABE746D-2630-49CF-B847-8B84301E2631}">
      <text>
        <r>
          <rPr>
            <sz val="11"/>
            <color theme="1"/>
            <rFont val="Calibri"/>
            <family val="2"/>
            <scheme val="minor"/>
          </rPr>
          <t>======
ID#AAAALoinMWs
Administrator    (2021-03-09 06:06:32)
16/1/17</t>
        </r>
      </text>
    </comment>
    <comment ref="E58" authorId="0" shapeId="0" xr:uid="{61F75F96-DED8-4A08-91B0-352225CB57C5}">
      <text>
        <r>
          <rPr>
            <sz val="11"/>
            <color theme="1"/>
            <rFont val="Calibri"/>
            <family val="2"/>
            <scheme val="minor"/>
          </rPr>
          <t>======
ID#AAAALoinMY8
Administrator    (2021-03-09 06:06:32)
19/1/17</t>
        </r>
      </text>
    </comment>
    <comment ref="E60" authorId="0" shapeId="0" xr:uid="{1290022F-88AA-480C-B9C5-3D3D5A482B4E}">
      <text>
        <r>
          <rPr>
            <sz val="11"/>
            <color theme="1"/>
            <rFont val="Calibri"/>
            <family val="2"/>
            <scheme val="minor"/>
          </rPr>
          <t>======
ID#AAAALoinMXk
Administrator    (2021-03-09 06:06:32)
19/1/17</t>
        </r>
      </text>
    </comment>
    <comment ref="E61" authorId="0" shapeId="0" xr:uid="{63A2CF73-65B7-4F87-BDCC-C562DB348796}">
      <text>
        <r>
          <rPr>
            <sz val="11"/>
            <color theme="1"/>
            <rFont val="Calibri"/>
            <family val="2"/>
            <scheme val="minor"/>
          </rPr>
          <t>======
ID#AAAALoinMPk
Administrator    (2021-03-09 06:06:32)
19/1/17</t>
        </r>
      </text>
    </comment>
    <comment ref="E62" authorId="0" shapeId="0" xr:uid="{905E5D29-57A5-4CDD-ACEA-74126917E281}">
      <text>
        <r>
          <rPr>
            <sz val="11"/>
            <color theme="1"/>
            <rFont val="Calibri"/>
            <family val="2"/>
            <scheme val="minor"/>
          </rPr>
          <t>======
ID#AAAALoinMX8
Administrator    (2021-03-09 06:06:32)
19/1/17</t>
        </r>
      </text>
    </comment>
    <comment ref="E63" authorId="0" shapeId="0" xr:uid="{23F27EB8-6B37-48A4-A478-1C3AE6B6DD14}">
      <text>
        <r>
          <rPr>
            <sz val="11"/>
            <color theme="1"/>
            <rFont val="Calibri"/>
            <family val="2"/>
            <scheme val="minor"/>
          </rPr>
          <t>======
ID#AAAALoinMWI
Administrator    (2021-03-09 06:06:32)
20/1/17</t>
        </r>
      </text>
    </comment>
    <comment ref="E64" authorId="0" shapeId="0" xr:uid="{48ED7C02-F040-4057-85AA-5BD31372EB62}">
      <text>
        <r>
          <rPr>
            <sz val="11"/>
            <color theme="1"/>
            <rFont val="Calibri"/>
            <family val="2"/>
            <scheme val="minor"/>
          </rPr>
          <t>======
ID#AAAALoinMPo
Administrator    (2021-03-09 06:06:32)
20/1/17</t>
        </r>
      </text>
    </comment>
    <comment ref="Q64" authorId="0" shapeId="0" xr:uid="{E731AE4C-B6FD-4270-95B2-DEE3FBDE00C1}">
      <text>
        <r>
          <rPr>
            <sz val="11"/>
            <color theme="1"/>
            <rFont val="Calibri"/>
            <family val="2"/>
            <scheme val="minor"/>
          </rPr>
          <t>======
ID#AAAALoinMUw
Administrator    (2021-03-09 06:06:32)
20/1/2017</t>
        </r>
      </text>
    </comment>
    <comment ref="E65" authorId="0" shapeId="0" xr:uid="{5AAEBBD1-B3FD-44A3-A8CD-F58DE1DD93DA}">
      <text>
        <r>
          <rPr>
            <sz val="11"/>
            <color theme="1"/>
            <rFont val="Calibri"/>
            <family val="2"/>
            <scheme val="minor"/>
          </rPr>
          <t>======
ID#AAAALoinMT8
Administrator    (2021-03-09 06:06:32)
20/1/17</t>
        </r>
      </text>
    </comment>
    <comment ref="E66" authorId="0" shapeId="0" xr:uid="{8C769EDE-7738-4E23-AF6B-2842655367D9}">
      <text>
        <r>
          <rPr>
            <sz val="11"/>
            <color theme="1"/>
            <rFont val="Calibri"/>
            <family val="2"/>
            <scheme val="minor"/>
          </rPr>
          <t>======
ID#AAAALoinMgY
Administrator    (2021-03-09 06:06:32)
20/1/17</t>
        </r>
      </text>
    </comment>
    <comment ref="E67" authorId="0" shapeId="0" xr:uid="{66EE58E2-D80C-4645-A801-3831CB35D838}">
      <text>
        <r>
          <rPr>
            <sz val="11"/>
            <color theme="1"/>
            <rFont val="Calibri"/>
            <family val="2"/>
            <scheme val="minor"/>
          </rPr>
          <t>======
ID#AAAALoinMjU
Administrator    (2021-03-09 06:06:32)
20/1/17</t>
        </r>
      </text>
    </comment>
    <comment ref="E68" authorId="0" shapeId="0" xr:uid="{32D238B0-B2F6-43EA-B115-EDB4FB1B01EF}">
      <text>
        <r>
          <rPr>
            <sz val="11"/>
            <color theme="1"/>
            <rFont val="Calibri"/>
            <family val="2"/>
            <scheme val="minor"/>
          </rPr>
          <t>======
ID#AAAALoinMdU
Administrator    (2021-03-09 06:06:32)
20/1/17</t>
        </r>
      </text>
    </comment>
    <comment ref="E69" authorId="0" shapeId="0" xr:uid="{F3C86233-FC7F-4CDB-81BE-8E5666E51C60}">
      <text>
        <r>
          <rPr>
            <sz val="11"/>
            <color theme="1"/>
            <rFont val="Calibri"/>
            <family val="2"/>
            <scheme val="minor"/>
          </rPr>
          <t>======
ID#AAAALoinMNY
Administrator    (2021-03-09 06:06:32)
20/1/17</t>
        </r>
      </text>
    </comment>
    <comment ref="Q69" authorId="0" shapeId="0" xr:uid="{5816A532-09F4-406D-A7A5-79BC45C5753B}">
      <text>
        <r>
          <rPr>
            <sz val="11"/>
            <color theme="1"/>
            <rFont val="Calibri"/>
            <family val="2"/>
            <scheme val="minor"/>
          </rPr>
          <t>======
ID#AAAALoinMMU
Administrator    (2021-03-09 06:06:32)
20/1/2017</t>
        </r>
      </text>
    </comment>
    <comment ref="E70" authorId="0" shapeId="0" xr:uid="{747B3978-350F-47EC-A344-8AD88CC06952}">
      <text>
        <r>
          <rPr>
            <sz val="11"/>
            <color theme="1"/>
            <rFont val="Calibri"/>
            <family val="2"/>
            <scheme val="minor"/>
          </rPr>
          <t>======
ID#AAAALoinMP0
Administrator    (2021-03-09 06:06:32)
20/1/17</t>
        </r>
      </text>
    </comment>
    <comment ref="Q70" authorId="0" shapeId="0" xr:uid="{9104F0D0-BCC4-4F9E-A714-675EC6EC2613}">
      <text>
        <r>
          <rPr>
            <sz val="11"/>
            <color theme="1"/>
            <rFont val="Calibri"/>
            <family val="2"/>
            <scheme val="minor"/>
          </rPr>
          <t>======
ID#AAAALoinMV4
Administrator    (2021-03-09 06:06:32)
20/1/2017</t>
        </r>
      </text>
    </comment>
    <comment ref="E71" authorId="0" shapeId="0" xr:uid="{BD63BB2F-F83F-42E9-989C-E5BAF60B931A}">
      <text>
        <r>
          <rPr>
            <sz val="11"/>
            <color theme="1"/>
            <rFont val="Calibri"/>
            <family val="2"/>
            <scheme val="minor"/>
          </rPr>
          <t>======
ID#AAAALoinMXQ
Administrator    (2021-03-09 06:06:32)
20/1/17</t>
        </r>
      </text>
    </comment>
    <comment ref="Q71" authorId="0" shapeId="0" xr:uid="{0607F4FB-E778-4B35-9619-B27C7A7737A5}">
      <text>
        <r>
          <rPr>
            <sz val="11"/>
            <color theme="1"/>
            <rFont val="Calibri"/>
            <family val="2"/>
            <scheme val="minor"/>
          </rPr>
          <t>======
ID#AAAALoinMTQ
Administrator    (2021-03-09 06:06:32)
20/1/2017</t>
        </r>
      </text>
    </comment>
    <comment ref="E72" authorId="0" shapeId="0" xr:uid="{79885CDD-A05F-49E8-A0BD-87BE79CB5D81}">
      <text>
        <r>
          <rPr>
            <sz val="11"/>
            <color theme="1"/>
            <rFont val="Calibri"/>
            <family val="2"/>
            <scheme val="minor"/>
          </rPr>
          <t>======
ID#AAAALoinMTs
Administrator    (2021-03-09 06:06:32)
20/1/17</t>
        </r>
      </text>
    </comment>
    <comment ref="E73" authorId="0" shapeId="0" xr:uid="{E1DD10CD-C79A-4252-AF90-1B438DC3F582}">
      <text>
        <r>
          <rPr>
            <sz val="11"/>
            <color theme="1"/>
            <rFont val="Calibri"/>
            <family val="2"/>
            <scheme val="minor"/>
          </rPr>
          <t>======
ID#AAAALoinMKw
Administrator    (2021-03-09 06:06:32)
20/1/17</t>
        </r>
      </text>
    </comment>
    <comment ref="E74" authorId="0" shapeId="0" xr:uid="{AA2222F8-6D55-4D57-B778-9C1D8B4AADE8}">
      <text>
        <r>
          <rPr>
            <sz val="11"/>
            <color theme="1"/>
            <rFont val="Calibri"/>
            <family val="2"/>
            <scheme val="minor"/>
          </rPr>
          <t>======
ID#AAAALoinMOw
Administrator    (2021-03-09 06:06:32)
20/1/17</t>
        </r>
      </text>
    </comment>
    <comment ref="Q74" authorId="0" shapeId="0" xr:uid="{D37F8DA1-00A7-4C0F-AF10-6D584E71DCF8}">
      <text>
        <r>
          <rPr>
            <sz val="11"/>
            <color theme="1"/>
            <rFont val="Calibri"/>
            <family val="2"/>
            <scheme val="minor"/>
          </rPr>
          <t>======
ID#AAAALoinMcU
Administrator    (2021-03-09 06:06:32)
20/1/2017</t>
        </r>
      </text>
    </comment>
    <comment ref="E76" authorId="0" shapeId="0" xr:uid="{70067C6D-7219-45BA-ACCE-B9F1CBA05963}">
      <text>
        <r>
          <rPr>
            <sz val="11"/>
            <color theme="1"/>
            <rFont val="Calibri"/>
            <family val="2"/>
            <scheme val="minor"/>
          </rPr>
          <t>======
ID#AAAALoinMc0
Administrator    (2021-03-09 06:06:32)
21/1/17</t>
        </r>
      </text>
    </comment>
    <comment ref="E77" authorId="0" shapeId="0" xr:uid="{FD9D6D7F-5FE6-4F6A-BC7E-E5955AEE3070}">
      <text>
        <r>
          <rPr>
            <sz val="11"/>
            <color theme="1"/>
            <rFont val="Calibri"/>
            <family val="2"/>
            <scheme val="minor"/>
          </rPr>
          <t>======
ID#AAAALoinMTA
Administrator    (2021-03-09 06:06:32)
22/1/17</t>
        </r>
      </text>
    </comment>
    <comment ref="Q77" authorId="0" shapeId="0" xr:uid="{4C201367-A2D0-403F-B4AD-A3775791F4B4}">
      <text>
        <r>
          <rPr>
            <sz val="11"/>
            <color theme="1"/>
            <rFont val="Calibri"/>
            <family val="2"/>
            <scheme val="minor"/>
          </rPr>
          <t>======
ID#AAAALoinMjY
Administrator    (2021-03-09 06:06:32)
22/1/17</t>
        </r>
      </text>
    </comment>
    <comment ref="E78" authorId="0" shapeId="0" xr:uid="{D9981F95-4DBB-42A6-8383-AA6FE6610D8B}">
      <text>
        <r>
          <rPr>
            <sz val="11"/>
            <color theme="1"/>
            <rFont val="Calibri"/>
            <family val="2"/>
            <scheme val="minor"/>
          </rPr>
          <t>======
ID#AAAALoinMRM
Administrator    (2021-03-09 06:06:32)
22/1/17</t>
        </r>
      </text>
    </comment>
    <comment ref="E79" authorId="0" shapeId="0" xr:uid="{846214E8-3B19-433A-BF61-CDFF9CE2437F}">
      <text>
        <r>
          <rPr>
            <sz val="11"/>
            <color theme="1"/>
            <rFont val="Calibri"/>
            <family val="2"/>
            <scheme val="minor"/>
          </rPr>
          <t>======
ID#AAAALoinMZY
Administrator    (2021-03-09 06:06:32)
22/1/17</t>
        </r>
      </text>
    </comment>
    <comment ref="Q79" authorId="0" shapeId="0" xr:uid="{5347D170-CF55-45CD-97B9-26AA8CFDF4E7}">
      <text>
        <r>
          <rPr>
            <sz val="11"/>
            <color theme="1"/>
            <rFont val="Calibri"/>
            <family val="2"/>
            <scheme val="minor"/>
          </rPr>
          <t>======
ID#AAAALoinMZ4
Administrator    (2021-03-09 06:06:32)
22/1/17</t>
        </r>
      </text>
    </comment>
    <comment ref="E80" authorId="0" shapeId="0" xr:uid="{705628E6-ED71-4DD9-9242-FBDB04BAC04C}">
      <text>
        <r>
          <rPr>
            <sz val="11"/>
            <color theme="1"/>
            <rFont val="Calibri"/>
            <family val="2"/>
            <scheme val="minor"/>
          </rPr>
          <t>======
ID#AAAALoinMhA
Administrator    (2021-03-09 06:06:32)
22/1/17</t>
        </r>
      </text>
    </comment>
    <comment ref="E81" authorId="0" shapeId="0" xr:uid="{F152666A-2509-4978-B123-5D2E7389AEF7}">
      <text>
        <r>
          <rPr>
            <sz val="11"/>
            <color theme="1"/>
            <rFont val="Calibri"/>
            <family val="2"/>
            <scheme val="minor"/>
          </rPr>
          <t>======
ID#AAAALoinMME
Administrator    (2021-03-09 06:06:32)
22/1/17</t>
        </r>
      </text>
    </comment>
    <comment ref="Q81" authorId="0" shapeId="0" xr:uid="{F8656A10-FD8A-4AB5-9EB8-2060594888D4}">
      <text>
        <r>
          <rPr>
            <sz val="11"/>
            <color theme="1"/>
            <rFont val="Calibri"/>
            <family val="2"/>
            <scheme val="minor"/>
          </rPr>
          <t>======
ID#AAAALoinMRQ
Administrator    (2021-03-09 06:06:32)
22/1/17</t>
        </r>
      </text>
    </comment>
    <comment ref="E82" authorId="0" shapeId="0" xr:uid="{5220C504-C2E9-412B-8F1C-7EFAC1F794F5}">
      <text>
        <r>
          <rPr>
            <sz val="11"/>
            <color theme="1"/>
            <rFont val="Calibri"/>
            <family val="2"/>
            <scheme val="minor"/>
          </rPr>
          <t>======
ID#AAAALoinMds
Administrator    (2021-03-09 06:06:32)
22/1/17</t>
        </r>
      </text>
    </comment>
    <comment ref="Q82" authorId="0" shapeId="0" xr:uid="{1544CE01-A16F-4E66-BE9A-AE1449C7BD13}">
      <text>
        <r>
          <rPr>
            <sz val="11"/>
            <color theme="1"/>
            <rFont val="Calibri"/>
            <family val="2"/>
            <scheme val="minor"/>
          </rPr>
          <t>======
ID#AAAALoinMVw
Administrator    (2021-03-09 06:06:32)
22/1/17</t>
        </r>
      </text>
    </comment>
    <comment ref="E84" authorId="0" shapeId="0" xr:uid="{0B610021-4B61-49CA-B506-684F6FB86569}">
      <text>
        <r>
          <rPr>
            <sz val="11"/>
            <color theme="1"/>
            <rFont val="Calibri"/>
            <family val="2"/>
            <scheme val="minor"/>
          </rPr>
          <t>======
ID#AAAALoinMaM
Administrator    (2021-03-09 06:06:32)
24/1/17</t>
        </r>
      </text>
    </comment>
    <comment ref="E85" authorId="0" shapeId="0" xr:uid="{FF1EEBA7-A4CD-41B8-B117-DCB9681D6696}">
      <text>
        <r>
          <rPr>
            <sz val="11"/>
            <color theme="1"/>
            <rFont val="Calibri"/>
            <family val="2"/>
            <scheme val="minor"/>
          </rPr>
          <t>======
ID#AAAALoinMh0
Administrator    (2021-03-09 06:06:32)
24/1/17</t>
        </r>
      </text>
    </comment>
    <comment ref="E86" authorId="0" shapeId="0" xr:uid="{19B6336D-40F8-4940-95FA-491E8E12A9C7}">
      <text>
        <r>
          <rPr>
            <sz val="11"/>
            <color theme="1"/>
            <rFont val="Calibri"/>
            <family val="2"/>
            <scheme val="minor"/>
          </rPr>
          <t>======
ID#AAAALoinMLo
Administrator    (2021-03-09 06:06:32)
24/1/17</t>
        </r>
      </text>
    </comment>
    <comment ref="E132" authorId="0" shapeId="0" xr:uid="{D2C80483-EE7A-451F-8ECE-77C387059EC8}">
      <text>
        <r>
          <rPr>
            <sz val="11"/>
            <color theme="1"/>
            <rFont val="Calibri"/>
            <family val="2"/>
            <scheme val="minor"/>
          </rPr>
          <t>======
ID#AAAALoinMRY
Administrator    (2021-03-09 06:06:32)
14/1/17</t>
        </r>
      </text>
    </comment>
    <comment ref="Q132" authorId="0" shapeId="0" xr:uid="{6841B08C-810B-4E43-8DF9-26EEC5A99BB6}">
      <text>
        <r>
          <rPr>
            <sz val="11"/>
            <color theme="1"/>
            <rFont val="Calibri"/>
            <family val="2"/>
            <scheme val="minor"/>
          </rPr>
          <t>======
ID#AAAALoinMbc
Administrator    (2021-03-09 06:06:32)
14/1/17</t>
        </r>
      </text>
    </comment>
    <comment ref="E135" authorId="0" shapeId="0" xr:uid="{036EEFE7-9126-413C-A142-ADF2FB3A65D9}">
      <text>
        <r>
          <rPr>
            <sz val="11"/>
            <color theme="1"/>
            <rFont val="Calibri"/>
            <family val="2"/>
            <scheme val="minor"/>
          </rPr>
          <t>======
ID#AAAALoinMgQ
Administrator    (2021-03-09 06:06:32)
13/1/17</t>
        </r>
      </text>
    </comment>
    <comment ref="Q135" authorId="0" shapeId="0" xr:uid="{9FF738FB-98F6-4B8E-AF77-26568CDF44B7}">
      <text>
        <r>
          <rPr>
            <sz val="11"/>
            <color theme="1"/>
            <rFont val="Calibri"/>
            <family val="2"/>
            <scheme val="minor"/>
          </rPr>
          <t>======
ID#AAAALoinMTk
Administrator    (2021-03-09 06:06:32)
13/1/17</t>
        </r>
      </text>
    </comment>
    <comment ref="E136" authorId="0" shapeId="0" xr:uid="{AE6C6799-B571-429E-9A2B-9813F6EF4B57}">
      <text>
        <r>
          <rPr>
            <sz val="11"/>
            <color theme="1"/>
            <rFont val="Calibri"/>
            <family val="2"/>
            <scheme val="minor"/>
          </rPr>
          <t>======
ID#AAAALoinMSU
Administrator    (2021-03-09 06:06:32)
15/1/17</t>
        </r>
      </text>
    </comment>
    <comment ref="E137" authorId="0" shapeId="0" xr:uid="{EA5A2C77-F190-43F9-9017-1C134F31F037}">
      <text>
        <r>
          <rPr>
            <sz val="11"/>
            <color theme="1"/>
            <rFont val="Calibri"/>
            <family val="2"/>
            <scheme val="minor"/>
          </rPr>
          <t>======
ID#AAAALoinMf4
Administrator    (2021-03-09 06:06:32)
20/1/17</t>
        </r>
      </text>
    </comment>
    <comment ref="E138" authorId="0" shapeId="0" xr:uid="{6B8BB8C6-1033-4EBE-A947-9331F2245076}">
      <text>
        <r>
          <rPr>
            <sz val="11"/>
            <color theme="1"/>
            <rFont val="Calibri"/>
            <family val="2"/>
            <scheme val="minor"/>
          </rPr>
          <t>======
ID#AAAALoinMK4
Administrator    (2021-03-09 06:06:32)
20/1/17</t>
        </r>
      </text>
    </comment>
    <comment ref="E140" authorId="0" shapeId="0" xr:uid="{D3D66D33-9A99-4FBF-9936-897237B3BD56}">
      <text>
        <r>
          <rPr>
            <sz val="11"/>
            <color theme="1"/>
            <rFont val="Calibri"/>
            <family val="2"/>
            <scheme val="minor"/>
          </rPr>
          <t>======
ID#AAAALoinMPw
Administrator    (2021-03-09 06:06:32)
15/1/17</t>
        </r>
      </text>
    </comment>
    <comment ref="Q140" authorId="0" shapeId="0" xr:uid="{D4AE02C9-C160-4F7D-8606-9B826E05C797}">
      <text>
        <r>
          <rPr>
            <sz val="11"/>
            <color theme="1"/>
            <rFont val="Calibri"/>
            <family val="2"/>
            <scheme val="minor"/>
          </rPr>
          <t>======
ID#AAAALoinMPY
Administrator    (2021-03-09 06:06:32)
15/1/17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5" authorId="0" shapeId="0" xr:uid="{05C41D89-5B34-44A2-877E-10DEB03C63AD}">
      <text>
        <r>
          <rPr>
            <sz val="11"/>
            <color theme="1"/>
            <rFont val="Calibri"/>
            <family val="2"/>
            <scheme val="minor"/>
          </rPr>
          <t>======
ID#AAAALoinMLM
Administrator    (2021-03-09 06:06:32)
8/1/2017</t>
        </r>
      </text>
    </comment>
    <comment ref="E20" authorId="0" shapeId="0" xr:uid="{A33F507C-9915-44D2-8AC8-E9833FD33FEE}">
      <text>
        <r>
          <rPr>
            <sz val="11"/>
            <color theme="1"/>
            <rFont val="Calibri"/>
            <family val="2"/>
            <scheme val="minor"/>
          </rPr>
          <t>======
ID#AAAALoinMbk
Administrator    (2021-03-09 06:06:32)
10/1/17</t>
        </r>
      </text>
    </comment>
    <comment ref="E22" authorId="0" shapeId="0" xr:uid="{6422E2CD-7FFC-4434-8C18-BD1E958A5437}">
      <text>
        <r>
          <rPr>
            <sz val="11"/>
            <color theme="1"/>
            <rFont val="Calibri"/>
            <family val="2"/>
            <scheme val="minor"/>
          </rPr>
          <t>======
ID#AAAALoinMOk
Administrator    (2021-03-09 06:06:32)
7/1/2017</t>
        </r>
      </text>
    </comment>
    <comment ref="E31" authorId="0" shapeId="0" xr:uid="{E23D1100-9DED-4CAC-82C4-6C739374DEE6}">
      <text>
        <r>
          <rPr>
            <sz val="11"/>
            <color theme="1"/>
            <rFont val="Calibri"/>
            <family val="2"/>
            <scheme val="minor"/>
          </rPr>
          <t>======
ID#AAAALoinMck
Administrator    (2021-03-09 06:06:32)
10/1/17</t>
        </r>
      </text>
    </comment>
    <comment ref="E33" authorId="0" shapeId="0" xr:uid="{9191B426-9E0A-47D0-82BE-FA5A501140EE}">
      <text>
        <r>
          <rPr>
            <sz val="11"/>
            <color theme="1"/>
            <rFont val="Calibri"/>
            <family val="2"/>
            <scheme val="minor"/>
          </rPr>
          <t>======
ID#AAAALoinMiY
Administrator    (2021-03-09 06:06:32)
10/1/17</t>
        </r>
      </text>
    </comment>
    <comment ref="E34" authorId="0" shapeId="0" xr:uid="{5C9E56EA-A25D-49B6-B186-E2B16BAD7BF5}">
      <text>
        <r>
          <rPr>
            <sz val="11"/>
            <color theme="1"/>
            <rFont val="Calibri"/>
            <family val="2"/>
            <scheme val="minor"/>
          </rPr>
          <t>======
ID#AAAALoinMQQ
Administrator    (2021-03-09 06:06:32)
10/1/17</t>
        </r>
      </text>
    </comment>
    <comment ref="E35" authorId="0" shapeId="0" xr:uid="{26602ACF-80C0-451B-87CC-F18A82986E95}">
      <text>
        <r>
          <rPr>
            <sz val="11"/>
            <color theme="1"/>
            <rFont val="Calibri"/>
            <family val="2"/>
            <scheme val="minor"/>
          </rPr>
          <t>======
ID#AAAALoinMi0
Administrator    (2021-03-09 06:06:32)
12/1/17</t>
        </r>
      </text>
    </comment>
    <comment ref="E36" authorId="0" shapeId="0" xr:uid="{2A9D3513-97B5-4D66-8B99-8A0DA5E8A495}">
      <text>
        <r>
          <rPr>
            <sz val="11"/>
            <color theme="1"/>
            <rFont val="Calibri"/>
            <family val="2"/>
            <scheme val="minor"/>
          </rPr>
          <t>======
ID#AAAALoinMO0
Administrator    (2021-03-09 06:06:32)
12/1/17</t>
        </r>
      </text>
    </comment>
    <comment ref="E37" authorId="0" shapeId="0" xr:uid="{818041B4-1F76-4273-8C0A-5C6AD28DD9B2}">
      <text>
        <r>
          <rPr>
            <sz val="11"/>
            <color theme="1"/>
            <rFont val="Calibri"/>
            <family val="2"/>
            <scheme val="minor"/>
          </rPr>
          <t>======
ID#AAAALoinMhg
Administrator    (2021-03-09 06:06:32)
12/1/17</t>
        </r>
      </text>
    </comment>
    <comment ref="E40" authorId="0" shapeId="0" xr:uid="{BBDDFE5B-929A-42F9-B044-E83161ED251E}">
      <text>
        <r>
          <rPr>
            <sz val="11"/>
            <color theme="1"/>
            <rFont val="Calibri"/>
            <family val="2"/>
            <scheme val="minor"/>
          </rPr>
          <t>======
ID#AAAALoinMd4
Administrator    (2021-03-09 06:06:32)
12/1/17</t>
        </r>
      </text>
    </comment>
    <comment ref="Q40" authorId="0" shapeId="0" xr:uid="{8FDF922C-3012-4BC9-BC18-8CD82E9517A2}">
      <text>
        <r>
          <rPr>
            <sz val="11"/>
            <color theme="1"/>
            <rFont val="Calibri"/>
            <family val="2"/>
            <scheme val="minor"/>
          </rPr>
          <t>======
ID#AAAALoinMWo
Administrator    (2021-03-09 06:06:32)
12/1/17</t>
        </r>
      </text>
    </comment>
    <comment ref="E41" authorId="0" shapeId="0" xr:uid="{4911A57D-2500-4CF8-9A3B-FC66E0495AE4}">
      <text>
        <r>
          <rPr>
            <sz val="11"/>
            <color theme="1"/>
            <rFont val="Calibri"/>
            <family val="2"/>
            <scheme val="minor"/>
          </rPr>
          <t>======
ID#AAAALoinMio
Administrator    (2021-03-09 06:06:32)
12/1/17</t>
        </r>
      </text>
    </comment>
    <comment ref="E42" authorId="0" shapeId="0" xr:uid="{2FC3C689-CFF0-435B-8F2B-05652393BFA5}">
      <text>
        <r>
          <rPr>
            <sz val="11"/>
            <color theme="1"/>
            <rFont val="Calibri"/>
            <family val="2"/>
            <scheme val="minor"/>
          </rPr>
          <t>======
ID#AAAALoinMfY
Administrator    (2021-03-09 06:06:32)
12/1/17</t>
        </r>
      </text>
    </comment>
    <comment ref="H42" authorId="0" shapeId="0" xr:uid="{EF5AC66F-2723-462D-85DD-9F7994527A5B}">
      <text>
        <r>
          <rPr>
            <sz val="11"/>
            <color theme="1"/>
            <rFont val="Calibri"/>
            <family val="2"/>
            <scheme val="minor"/>
          </rPr>
          <t>======
ID#AAAALoinMS0
Administrator    (2021-03-09 06:06:32)
12/1/17</t>
        </r>
      </text>
    </comment>
    <comment ref="E43" authorId="0" shapeId="0" xr:uid="{9E1F20B4-8063-49A5-BD48-8333CA9C5BF7}">
      <text>
        <r>
          <rPr>
            <sz val="11"/>
            <color theme="1"/>
            <rFont val="Calibri"/>
            <family val="2"/>
            <scheme val="minor"/>
          </rPr>
          <t>======
ID#AAAALoinMN4
Administrator    (2021-03-09 06:06:32)
9/1/17</t>
        </r>
      </text>
    </comment>
    <comment ref="Q43" authorId="0" shapeId="0" xr:uid="{A01327A2-8AF1-4F46-99F7-09C68BA5F231}">
      <text>
        <r>
          <rPr>
            <sz val="11"/>
            <color theme="1"/>
            <rFont val="Calibri"/>
            <family val="2"/>
            <scheme val="minor"/>
          </rPr>
          <t>======
ID#AAAALoinMPs
Administrator    (2021-03-09 06:06:32)
9/1/17</t>
        </r>
      </text>
    </comment>
    <comment ref="E44" authorId="0" shapeId="0" xr:uid="{95419046-E22D-4878-992E-8C48A73ABB68}">
      <text>
        <r>
          <rPr>
            <sz val="11"/>
            <color theme="1"/>
            <rFont val="Calibri"/>
            <family val="2"/>
            <scheme val="minor"/>
          </rPr>
          <t>======
ID#AAAALoinMhU
Administrator    (2021-03-09 06:06:32)
9/1/17</t>
        </r>
      </text>
    </comment>
    <comment ref="E45" authorId="0" shapeId="0" xr:uid="{4A6CA781-F21C-4DE2-B1CF-4B32EB664A23}">
      <text>
        <r>
          <rPr>
            <sz val="11"/>
            <color theme="1"/>
            <rFont val="Calibri"/>
            <family val="2"/>
            <scheme val="minor"/>
          </rPr>
          <t>======
ID#AAAALoinMfk
Administrator    (2021-03-09 06:06:32)
13/1/17</t>
        </r>
      </text>
    </comment>
    <comment ref="E46" authorId="0" shapeId="0" xr:uid="{861E195D-FBCC-42A0-BB29-4FC42DB4A39B}">
      <text>
        <r>
          <rPr>
            <sz val="11"/>
            <color theme="1"/>
            <rFont val="Calibri"/>
            <family val="2"/>
            <scheme val="minor"/>
          </rPr>
          <t>======
ID#AAAALoinMjg
Administrator    (2021-03-09 06:06:32)
13/1/17</t>
        </r>
      </text>
    </comment>
    <comment ref="E47" authorId="0" shapeId="0" xr:uid="{D204F422-1558-49A8-BF7D-3839C5F0568C}">
      <text>
        <r>
          <rPr>
            <sz val="11"/>
            <color theme="1"/>
            <rFont val="Calibri"/>
            <family val="2"/>
            <scheme val="minor"/>
          </rPr>
          <t>======
ID#AAAALoinMjk
Administrator    (2021-03-09 06:06:32)
15/1/17</t>
        </r>
      </text>
    </comment>
    <comment ref="E48" authorId="0" shapeId="0" xr:uid="{8C30FA10-DEE1-446E-BEE7-70FBF4D7BE89}">
      <text>
        <r>
          <rPr>
            <sz val="11"/>
            <color theme="1"/>
            <rFont val="Calibri"/>
            <family val="2"/>
            <scheme val="minor"/>
          </rPr>
          <t>======
ID#AAAALoinMeM
Administrator    (2021-03-09 06:06:32)
13/1/17</t>
        </r>
      </text>
    </comment>
    <comment ref="E49" authorId="0" shapeId="0" xr:uid="{CCB9FC09-4FBD-4528-92FE-5F24D41DC2EA}">
      <text>
        <r>
          <rPr>
            <sz val="11"/>
            <color theme="1"/>
            <rFont val="Calibri"/>
            <family val="2"/>
            <scheme val="minor"/>
          </rPr>
          <t>======
ID#AAAALoinMQ8
Administrator    (2021-03-09 06:06:32)
14/1/17</t>
        </r>
      </text>
    </comment>
    <comment ref="Q49" authorId="0" shapeId="0" xr:uid="{4A42DB9C-1202-4DAD-B66E-3385C1CC6405}">
      <text>
        <r>
          <rPr>
            <sz val="11"/>
            <color theme="1"/>
            <rFont val="Calibri"/>
            <family val="2"/>
            <scheme val="minor"/>
          </rPr>
          <t>======
ID#AAAALoinML4
Administrator    (2021-03-09 06:06:32)
14/1/17</t>
        </r>
      </text>
    </comment>
    <comment ref="E50" authorId="0" shapeId="0" xr:uid="{D98EFA1D-7B29-400A-B7EE-278884797D2B}">
      <text>
        <r>
          <rPr>
            <sz val="11"/>
            <color theme="1"/>
            <rFont val="Calibri"/>
            <family val="2"/>
            <scheme val="minor"/>
          </rPr>
          <t>======
ID#AAAALoinMKg
Administrator    (2021-03-09 06:06:32)
15/1/17</t>
        </r>
      </text>
    </comment>
    <comment ref="E51" authorId="0" shapeId="0" xr:uid="{152821F7-058D-47F5-9840-249A69BEDD9A}">
      <text>
        <r>
          <rPr>
            <sz val="11"/>
            <color theme="1"/>
            <rFont val="Calibri"/>
            <family val="2"/>
            <scheme val="minor"/>
          </rPr>
          <t>======
ID#AAAALoinMPU
Administrator    (2021-03-09 06:06:32)
15/1/17</t>
        </r>
      </text>
    </comment>
    <comment ref="Q51" authorId="0" shapeId="0" xr:uid="{1AC8BBC7-72CD-4BBF-99DD-79233D71140E}">
      <text>
        <r>
          <rPr>
            <sz val="11"/>
            <color theme="1"/>
            <rFont val="Calibri"/>
            <family val="2"/>
            <scheme val="minor"/>
          </rPr>
          <t>======
ID#AAAALoinMg0
Administrator    (2021-03-09 06:06:32)
15/1/17</t>
        </r>
      </text>
    </comment>
    <comment ref="E52" authorId="0" shapeId="0" xr:uid="{2064FDA0-B4DB-4DEA-97E3-6EBBB8179E2E}">
      <text>
        <r>
          <rPr>
            <sz val="11"/>
            <color theme="1"/>
            <rFont val="Calibri"/>
            <family val="2"/>
            <scheme val="minor"/>
          </rPr>
          <t>======
ID#AAAALoinMUY
Administrator    (2021-03-09 06:06:32)
15/1/17</t>
        </r>
      </text>
    </comment>
    <comment ref="E53" authorId="0" shapeId="0" xr:uid="{B382DA96-3C94-469C-80E1-FDD5BB89B5D5}">
      <text>
        <r>
          <rPr>
            <sz val="11"/>
            <color theme="1"/>
            <rFont val="Calibri"/>
            <family val="2"/>
            <scheme val="minor"/>
          </rPr>
          <t>======
ID#AAAALoinMXA
Administrator    (2021-03-09 06:06:32)
15/1/17</t>
        </r>
      </text>
    </comment>
    <comment ref="E54" authorId="0" shapeId="0" xr:uid="{9DEF73C1-4986-43EE-8A2A-45C77776D481}">
      <text>
        <r>
          <rPr>
            <sz val="11"/>
            <color theme="1"/>
            <rFont val="Calibri"/>
            <family val="2"/>
            <scheme val="minor"/>
          </rPr>
          <t>======
ID#AAAALoinMVo
Administrator    (2021-03-09 06:06:32)
15/1/17</t>
        </r>
      </text>
    </comment>
    <comment ref="E55" authorId="0" shapeId="0" xr:uid="{A28D02B5-B5C8-4360-934D-BE81D3A6624B}">
      <text>
        <r>
          <rPr>
            <sz val="11"/>
            <color theme="1"/>
            <rFont val="Calibri"/>
            <family val="2"/>
            <scheme val="minor"/>
          </rPr>
          <t>======
ID#AAAALoinMMo
Administrator    (2021-03-09 06:06:32)
16/1/17</t>
        </r>
      </text>
    </comment>
    <comment ref="E56" authorId="0" shapeId="0" xr:uid="{F91B810F-387E-4D12-BCB7-6763C1A32AC4}">
      <text>
        <r>
          <rPr>
            <sz val="11"/>
            <color theme="1"/>
            <rFont val="Calibri"/>
            <family val="2"/>
            <scheme val="minor"/>
          </rPr>
          <t>======
ID#AAAALoinMfA
Administrator    (2021-03-09 06:06:32)
16/1/17</t>
        </r>
      </text>
    </comment>
    <comment ref="E57" authorId="0" shapeId="0" xr:uid="{92F27250-00DD-44B3-9604-5E4F7C11B311}">
      <text>
        <r>
          <rPr>
            <sz val="11"/>
            <color theme="1"/>
            <rFont val="Calibri"/>
            <family val="2"/>
            <scheme val="minor"/>
          </rPr>
          <t>======
ID#AAAALoinMW0
Administrator    (2021-03-09 06:06:32)
16/1/17</t>
        </r>
      </text>
    </comment>
    <comment ref="E58" authorId="0" shapeId="0" xr:uid="{5EF93F17-BA5F-43CF-B44B-0366BA59AC28}">
      <text>
        <r>
          <rPr>
            <sz val="11"/>
            <color theme="1"/>
            <rFont val="Calibri"/>
            <family val="2"/>
            <scheme val="minor"/>
          </rPr>
          <t>======
ID#AAAALoinMLQ
Administrator    (2021-03-09 06:06:32)
19/1/17</t>
        </r>
      </text>
    </comment>
    <comment ref="E60" authorId="0" shapeId="0" xr:uid="{569E6B69-6712-4D8E-AD2B-B973BB6E8042}">
      <text>
        <r>
          <rPr>
            <sz val="11"/>
            <color theme="1"/>
            <rFont val="Calibri"/>
            <family val="2"/>
            <scheme val="minor"/>
          </rPr>
          <t>======
ID#AAAALoinMVY
Administrator    (2021-03-09 06:06:32)
19/1/17</t>
        </r>
      </text>
    </comment>
    <comment ref="E61" authorId="0" shapeId="0" xr:uid="{BFF84D85-CECA-415A-98E2-C4B39BCCEB2F}">
      <text>
        <r>
          <rPr>
            <sz val="11"/>
            <color theme="1"/>
            <rFont val="Calibri"/>
            <family val="2"/>
            <scheme val="minor"/>
          </rPr>
          <t>======
ID#AAAALoinMLU
Administrator    (2021-03-09 06:06:32)
19/1/17</t>
        </r>
      </text>
    </comment>
    <comment ref="E62" authorId="0" shapeId="0" xr:uid="{4AB8F865-DE07-49B1-8615-ADE7163811EA}">
      <text>
        <r>
          <rPr>
            <sz val="11"/>
            <color theme="1"/>
            <rFont val="Calibri"/>
            <family val="2"/>
            <scheme val="minor"/>
          </rPr>
          <t>======
ID#AAAALoinMXE
Administrator    (2021-03-09 06:06:32)
19/1/17</t>
        </r>
      </text>
    </comment>
    <comment ref="E63" authorId="0" shapeId="0" xr:uid="{16661F51-A8A9-47F5-B894-BFFB9C71862C}">
      <text>
        <r>
          <rPr>
            <sz val="11"/>
            <color theme="1"/>
            <rFont val="Calibri"/>
            <family val="2"/>
            <scheme val="minor"/>
          </rPr>
          <t>======
ID#AAAALoinMa0
Administrator    (2021-03-09 06:06:32)
20/1/17</t>
        </r>
      </text>
    </comment>
    <comment ref="E64" authorId="0" shapeId="0" xr:uid="{343DD5DE-69BB-4BAC-A482-CF0C5DC2E5AB}">
      <text>
        <r>
          <rPr>
            <sz val="11"/>
            <color theme="1"/>
            <rFont val="Calibri"/>
            <family val="2"/>
            <scheme val="minor"/>
          </rPr>
          <t>======
ID#AAAALoinMKs
Administrator    (2021-03-09 06:06:32)
20/1/17</t>
        </r>
      </text>
    </comment>
    <comment ref="Q64" authorId="0" shapeId="0" xr:uid="{9744684C-450D-4CE6-A8BC-57791408F8EE}">
      <text>
        <r>
          <rPr>
            <sz val="11"/>
            <color theme="1"/>
            <rFont val="Calibri"/>
            <family val="2"/>
            <scheme val="minor"/>
          </rPr>
          <t>======
ID#AAAALoinMgo
Administrator    (2021-03-09 06:06:32)
20/1/2017</t>
        </r>
      </text>
    </comment>
    <comment ref="E65" authorId="0" shapeId="0" xr:uid="{8435D3E2-510B-4ECB-9E3C-2E712908BCD7}">
      <text>
        <r>
          <rPr>
            <sz val="11"/>
            <color theme="1"/>
            <rFont val="Calibri"/>
            <family val="2"/>
            <scheme val="minor"/>
          </rPr>
          <t>======
ID#AAAALoinMYA
Administrator    (2021-03-09 06:06:32)
20/1/17</t>
        </r>
      </text>
    </comment>
    <comment ref="E66" authorId="0" shapeId="0" xr:uid="{103FB764-C0D9-42C0-AB06-083497556760}">
      <text>
        <r>
          <rPr>
            <sz val="11"/>
            <color theme="1"/>
            <rFont val="Calibri"/>
            <family val="2"/>
            <scheme val="minor"/>
          </rPr>
          <t>======
ID#AAAALoinMLA
Administrator    (2021-03-09 06:06:32)
20/1/17</t>
        </r>
      </text>
    </comment>
    <comment ref="E67" authorId="0" shapeId="0" xr:uid="{9BD10B36-6C5B-43B7-A8BE-6070D53DE7AC}">
      <text>
        <r>
          <rPr>
            <sz val="11"/>
            <color theme="1"/>
            <rFont val="Calibri"/>
            <family val="2"/>
            <scheme val="minor"/>
          </rPr>
          <t>======
ID#AAAALoinMQU
Administrator    (2021-03-09 06:06:32)
20/1/17</t>
        </r>
      </text>
    </comment>
    <comment ref="E68" authorId="0" shapeId="0" xr:uid="{91E1261B-F1DC-49BF-AA75-2CC0486EB0E4}">
      <text>
        <r>
          <rPr>
            <sz val="11"/>
            <color theme="1"/>
            <rFont val="Calibri"/>
            <family val="2"/>
            <scheme val="minor"/>
          </rPr>
          <t>======
ID#AAAALoinMVA
Administrator    (2021-03-09 06:06:32)
20/1/17</t>
        </r>
      </text>
    </comment>
    <comment ref="E69" authorId="0" shapeId="0" xr:uid="{E230F04F-ABA7-49CC-A4BF-A130CBFDCD92}">
      <text>
        <r>
          <rPr>
            <sz val="11"/>
            <color theme="1"/>
            <rFont val="Calibri"/>
            <family val="2"/>
            <scheme val="minor"/>
          </rPr>
          <t>======
ID#AAAALoinMhQ
Administrator    (2021-03-09 06:06:32)
20/1/17</t>
        </r>
      </text>
    </comment>
    <comment ref="E70" authorId="0" shapeId="0" xr:uid="{6BD7C4D7-081E-41DF-AE2F-4A7C40C32460}">
      <text>
        <r>
          <rPr>
            <sz val="11"/>
            <color theme="1"/>
            <rFont val="Calibri"/>
            <family val="2"/>
            <scheme val="minor"/>
          </rPr>
          <t>======
ID#AAAALoinMcg
Administrator    (2021-03-09 06:06:32)
20/1/17</t>
        </r>
      </text>
    </comment>
    <comment ref="Q70" authorId="0" shapeId="0" xr:uid="{F4074C78-D22E-49B0-B1DF-5AE19DAD2A8B}">
      <text>
        <r>
          <rPr>
            <sz val="11"/>
            <color theme="1"/>
            <rFont val="Calibri"/>
            <family val="2"/>
            <scheme val="minor"/>
          </rPr>
          <t>======
ID#AAAALoinMbY
Administrator    (2021-03-09 06:06:32)
20/1/2017</t>
        </r>
      </text>
    </comment>
    <comment ref="E71" authorId="0" shapeId="0" xr:uid="{EED9BAAB-223D-4387-9513-0C0B3F1605D6}">
      <text>
        <r>
          <rPr>
            <sz val="11"/>
            <color theme="1"/>
            <rFont val="Calibri"/>
            <family val="2"/>
            <scheme val="minor"/>
          </rPr>
          <t>======
ID#AAAALoinMSw
Administrator    (2021-03-09 06:06:32)
20/1/17</t>
        </r>
      </text>
    </comment>
    <comment ref="E72" authorId="0" shapeId="0" xr:uid="{631E91FA-0D76-497F-9B9F-7C5060F98147}">
      <text>
        <r>
          <rPr>
            <sz val="11"/>
            <color theme="1"/>
            <rFont val="Calibri"/>
            <family val="2"/>
            <scheme val="minor"/>
          </rPr>
          <t>======
ID#AAAALoinMZ8
Administrator    (2021-03-09 06:06:32)
20/1/17</t>
        </r>
      </text>
    </comment>
    <comment ref="E73" authorId="0" shapeId="0" xr:uid="{B0189F7A-25D1-4114-B0A8-3792726ED3BD}">
      <text>
        <r>
          <rPr>
            <sz val="11"/>
            <color theme="1"/>
            <rFont val="Calibri"/>
            <family val="2"/>
            <scheme val="minor"/>
          </rPr>
          <t>======
ID#AAAALoinMTM
Administrator    (2021-03-09 06:06:32)
20/1/17</t>
        </r>
      </text>
    </comment>
    <comment ref="E74" authorId="0" shapeId="0" xr:uid="{E9B2F384-BC68-4E66-8BF1-97560DC77AF3}">
      <text>
        <r>
          <rPr>
            <sz val="11"/>
            <color theme="1"/>
            <rFont val="Calibri"/>
            <family val="2"/>
            <scheme val="minor"/>
          </rPr>
          <t>======
ID#AAAALoinMQw
Administrator    (2021-03-09 06:06:32)
20/1/17</t>
        </r>
      </text>
    </comment>
    <comment ref="E76" authorId="0" shapeId="0" xr:uid="{51F88CE9-F1DE-4418-A7A5-4133095BF823}">
      <text>
        <r>
          <rPr>
            <sz val="11"/>
            <color theme="1"/>
            <rFont val="Calibri"/>
            <family val="2"/>
            <scheme val="minor"/>
          </rPr>
          <t>======
ID#AAAALoinMTo
Administrator    (2021-03-09 06:06:32)
21/1/17</t>
        </r>
      </text>
    </comment>
    <comment ref="E77" authorId="0" shapeId="0" xr:uid="{D0B3DE91-911B-4119-A292-934FE44576B1}">
      <text>
        <r>
          <rPr>
            <sz val="11"/>
            <color theme="1"/>
            <rFont val="Calibri"/>
            <family val="2"/>
            <scheme val="minor"/>
          </rPr>
          <t>======
ID#AAAALoinMWU
Administrator    (2021-03-09 06:06:32)
22/1/17</t>
        </r>
      </text>
    </comment>
    <comment ref="Q77" authorId="0" shapeId="0" xr:uid="{FA5BD346-AE19-442F-9C94-84BD81818B8D}">
      <text>
        <r>
          <rPr>
            <sz val="11"/>
            <color theme="1"/>
            <rFont val="Calibri"/>
            <family val="2"/>
            <scheme val="minor"/>
          </rPr>
          <t>======
ID#AAAALoinMhs
Administrator    (2021-03-09 06:06:32)
22/1/17</t>
        </r>
      </text>
    </comment>
    <comment ref="E78" authorId="0" shapeId="0" xr:uid="{D7A3AA1E-A75C-431C-8DF6-DBACB1F2F55B}">
      <text>
        <r>
          <rPr>
            <sz val="11"/>
            <color theme="1"/>
            <rFont val="Calibri"/>
            <family val="2"/>
            <scheme val="minor"/>
          </rPr>
          <t>======
ID#AAAALoinML8
Administrator    (2021-03-09 06:06:32)
22/1/17</t>
        </r>
      </text>
    </comment>
    <comment ref="E79" authorId="0" shapeId="0" xr:uid="{70A48EBD-ACEF-4670-8C6F-8011C079E855}">
      <text>
        <r>
          <rPr>
            <sz val="11"/>
            <color theme="1"/>
            <rFont val="Calibri"/>
            <family val="2"/>
            <scheme val="minor"/>
          </rPr>
          <t>======
ID#AAAALoinMeQ
Administrator    (2021-03-09 06:06:32)
22/1/17</t>
        </r>
      </text>
    </comment>
    <comment ref="E80" authorId="0" shapeId="0" xr:uid="{3282AAE9-5B8B-417E-830C-48E67D05FEB6}">
      <text>
        <r>
          <rPr>
            <sz val="11"/>
            <color theme="1"/>
            <rFont val="Calibri"/>
            <family val="2"/>
            <scheme val="minor"/>
          </rPr>
          <t>======
ID#AAAALoinMO4
Administrator    (2021-03-09 06:06:32)
22/1/17</t>
        </r>
      </text>
    </comment>
    <comment ref="E81" authorId="0" shapeId="0" xr:uid="{22567871-40F8-42C3-8F91-1FCBBDB8FAC9}">
      <text>
        <r>
          <rPr>
            <sz val="11"/>
            <color theme="1"/>
            <rFont val="Calibri"/>
            <family val="2"/>
            <scheme val="minor"/>
          </rPr>
          <t>======
ID#AAAALoinMW4
Administrator    (2021-03-09 06:06:32)
22/1/17</t>
        </r>
      </text>
    </comment>
    <comment ref="Q81" authorId="0" shapeId="0" xr:uid="{39B3353E-4C7C-4604-B177-909AEB54E7B9}">
      <text>
        <r>
          <rPr>
            <sz val="11"/>
            <color theme="1"/>
            <rFont val="Calibri"/>
            <family val="2"/>
            <scheme val="minor"/>
          </rPr>
          <t>======
ID#AAAALoinMXs
Administrator    (2021-03-09 06:06:32)
22/1/17</t>
        </r>
      </text>
    </comment>
    <comment ref="E82" authorId="0" shapeId="0" xr:uid="{C5023A64-7538-4690-B387-A3B1D8F6EE05}">
      <text>
        <r>
          <rPr>
            <sz val="11"/>
            <color theme="1"/>
            <rFont val="Calibri"/>
            <family val="2"/>
            <scheme val="minor"/>
          </rPr>
          <t>======
ID#AAAALoinMSk
Administrator    (2021-03-09 06:06:32)
22/1/17</t>
        </r>
      </text>
    </comment>
    <comment ref="Q82" authorId="0" shapeId="0" xr:uid="{F3663275-5A75-41FA-BC37-F7CF053AD920}">
      <text>
        <r>
          <rPr>
            <sz val="11"/>
            <color theme="1"/>
            <rFont val="Calibri"/>
            <family val="2"/>
            <scheme val="minor"/>
          </rPr>
          <t>======
ID#AAAALoinMRU
Administrator    (2021-03-09 06:06:32)
22/1/17</t>
        </r>
      </text>
    </comment>
    <comment ref="E84" authorId="0" shapeId="0" xr:uid="{7CF45D5C-65FF-4578-81FE-943C0CAEF7EB}">
      <text>
        <r>
          <rPr>
            <sz val="11"/>
            <color theme="1"/>
            <rFont val="Calibri"/>
            <family val="2"/>
            <scheme val="minor"/>
          </rPr>
          <t>======
ID#AAAALoinMSQ
Administrator    (2021-03-09 06:06:32)
24/1/17</t>
        </r>
      </text>
    </comment>
    <comment ref="E85" authorId="0" shapeId="0" xr:uid="{F595BB24-D4B0-4EA5-AF6A-176DC0649E38}">
      <text>
        <r>
          <rPr>
            <sz val="11"/>
            <color theme="1"/>
            <rFont val="Calibri"/>
            <family val="2"/>
            <scheme val="minor"/>
          </rPr>
          <t>======
ID#AAAALoinMXY
Administrator    (2021-03-09 06:06:32)
24/1/17</t>
        </r>
      </text>
    </comment>
    <comment ref="E86" authorId="0" shapeId="0" xr:uid="{E11749ED-407D-4B1C-8A18-D6132A60BF49}">
      <text>
        <r>
          <rPr>
            <sz val="11"/>
            <color theme="1"/>
            <rFont val="Calibri"/>
            <family val="2"/>
            <scheme val="minor"/>
          </rPr>
          <t>======
ID#AAAALoinMNk
Administrator    (2021-03-09 06:06:32)
24/1/17</t>
        </r>
      </text>
    </comment>
    <comment ref="E132" authorId="0" shapeId="0" xr:uid="{4355A473-4EEC-46A9-A6D7-5E6E06B7D699}">
      <text>
        <r>
          <rPr>
            <sz val="11"/>
            <color theme="1"/>
            <rFont val="Calibri"/>
            <family val="2"/>
            <scheme val="minor"/>
          </rPr>
          <t>======
ID#AAAALoinMUQ
Administrator    (2021-03-09 06:06:32)
14/1/17</t>
        </r>
      </text>
    </comment>
    <comment ref="Q132" authorId="0" shapeId="0" xr:uid="{C52DB153-20EE-4420-B3DD-F77282FE2B58}">
      <text>
        <r>
          <rPr>
            <sz val="11"/>
            <color theme="1"/>
            <rFont val="Calibri"/>
            <family val="2"/>
            <scheme val="minor"/>
          </rPr>
          <t>======
ID#AAAALoinMSA
Administrator    (2021-03-09 06:06:32)
14/1/17</t>
        </r>
      </text>
    </comment>
    <comment ref="E135" authorId="0" shapeId="0" xr:uid="{93F9255D-09AD-4057-B214-8CDB086AAA1D}">
      <text>
        <r>
          <rPr>
            <sz val="11"/>
            <color theme="1"/>
            <rFont val="Calibri"/>
            <family val="2"/>
            <scheme val="minor"/>
          </rPr>
          <t>======
ID#AAAALoinMNA
Administrator    (2021-03-09 06:06:32)
13/1/17</t>
        </r>
      </text>
    </comment>
    <comment ref="Q135" authorId="0" shapeId="0" xr:uid="{9D3A72B6-8D1A-47BA-94E0-8E6A09FBE884}">
      <text>
        <r>
          <rPr>
            <sz val="11"/>
            <color theme="1"/>
            <rFont val="Calibri"/>
            <family val="2"/>
            <scheme val="minor"/>
          </rPr>
          <t>======
ID#AAAALoinMMA
Administrator    (2021-03-09 06:06:32)
13/1/17</t>
        </r>
      </text>
    </comment>
    <comment ref="E136" authorId="0" shapeId="0" xr:uid="{B5FD3F5A-F24A-4729-A166-C337D891F37A}">
      <text>
        <r>
          <rPr>
            <sz val="11"/>
            <color theme="1"/>
            <rFont val="Calibri"/>
            <family val="2"/>
            <scheme val="minor"/>
          </rPr>
          <t>======
ID#AAAALoinMUI
Administrator    (2021-03-09 06:06:32)
15/1/17</t>
        </r>
      </text>
    </comment>
    <comment ref="E137" authorId="0" shapeId="0" xr:uid="{84D78F1D-D927-402B-93BF-2CF3D9211AB6}">
      <text>
        <r>
          <rPr>
            <sz val="11"/>
            <color theme="1"/>
            <rFont val="Calibri"/>
            <family val="2"/>
            <scheme val="minor"/>
          </rPr>
          <t>======
ID#AAAALoinMgI
Administrator    (2021-03-09 06:06:32)
20/1/17</t>
        </r>
      </text>
    </comment>
    <comment ref="E138" authorId="0" shapeId="0" xr:uid="{9675DC75-F43C-4F00-907B-7B0D53008EF5}">
      <text>
        <r>
          <rPr>
            <sz val="11"/>
            <color theme="1"/>
            <rFont val="Calibri"/>
            <family val="2"/>
            <scheme val="minor"/>
          </rPr>
          <t>======
ID#AAAALoinMe8
Administrator    (2021-03-09 06:06:32)
20/1/17</t>
        </r>
      </text>
    </comment>
    <comment ref="E140" authorId="0" shapeId="0" xr:uid="{85CA3218-3751-4C71-84C3-3BE54DA8F604}">
      <text>
        <r>
          <rPr>
            <sz val="11"/>
            <color theme="1"/>
            <rFont val="Calibri"/>
            <family val="2"/>
            <scheme val="minor"/>
          </rPr>
          <t>======
ID#AAAALoinMV8
Administrator    (2021-03-09 06:06:32)
15/1/17</t>
        </r>
      </text>
    </comment>
    <comment ref="Q140" authorId="0" shapeId="0" xr:uid="{23A30D62-24D5-4A94-A2A4-D6591E15F47E}">
      <text>
        <r>
          <rPr>
            <sz val="11"/>
            <color theme="1"/>
            <rFont val="Calibri"/>
            <family val="2"/>
            <scheme val="minor"/>
          </rPr>
          <t>======
ID#AAAALoinMjI
Administrator    (2021-03-09 06:06:32)
15/1/17</t>
        </r>
      </text>
    </comment>
  </commentList>
</comments>
</file>

<file path=xl/sharedStrings.xml><?xml version="1.0" encoding="utf-8"?>
<sst xmlns="http://schemas.openxmlformats.org/spreadsheetml/2006/main" count="3226" uniqueCount="587">
  <si>
    <t>Yuran Keahlian Tahunan dan Bulanan Tracker</t>
  </si>
  <si>
    <t>Grand total</t>
  </si>
  <si>
    <t>No</t>
  </si>
  <si>
    <t>No Keahlian</t>
  </si>
  <si>
    <t>Nama</t>
  </si>
  <si>
    <t>No Rumah</t>
  </si>
  <si>
    <t>Yuran Keahlian</t>
  </si>
  <si>
    <t>Yuran Bulanan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</si>
  <si>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</si>
  <si>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</si>
  <si>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</si>
  <si>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</si>
  <si>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</si>
  <si>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</si>
  <si>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</si>
  <si>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</si>
  <si>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</si>
  <si>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</si>
  <si>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</si>
  <si>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</si>
  <si>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Jumlah</t>
  </si>
  <si>
    <t>001</t>
  </si>
  <si>
    <t>Mohd Rosdi Naim B. Mat</t>
  </si>
  <si>
    <t>43/5</t>
  </si>
  <si>
    <t>Cash</t>
  </si>
  <si>
    <t>002</t>
  </si>
  <si>
    <t>Saiful Irwan bin Zubairi (Anis)</t>
  </si>
  <si>
    <t>8/5</t>
  </si>
  <si>
    <t>Online banking Maybank</t>
  </si>
  <si>
    <t>003</t>
  </si>
  <si>
    <t>Zaidi mohamad</t>
  </si>
  <si>
    <t>1/3</t>
  </si>
  <si>
    <t>004</t>
  </si>
  <si>
    <t>Mohd Halim bin Omar (Zaiton)</t>
  </si>
  <si>
    <t>1/4</t>
  </si>
  <si>
    <t>RM 90 22/1/17</t>
  </si>
  <si>
    <t>005</t>
  </si>
  <si>
    <t>Wan Yusnirfan bin Wan Yusoff (Lin)</t>
  </si>
  <si>
    <t>5/2</t>
  </si>
  <si>
    <t>006</t>
  </si>
  <si>
    <t>Hj Ismail</t>
  </si>
  <si>
    <t>19/3</t>
  </si>
  <si>
    <t>Online banking Bank Muamalat</t>
  </si>
  <si>
    <t>007</t>
  </si>
  <si>
    <t>Farhan Abdul Rahim</t>
  </si>
  <si>
    <t>32/5</t>
  </si>
  <si>
    <t>008</t>
  </si>
  <si>
    <t>MOHAMAD YUSREY BIN MAHAT</t>
  </si>
  <si>
    <t>7/2</t>
  </si>
  <si>
    <t>009</t>
  </si>
  <si>
    <t>Noor Azam Mohd Noor</t>
  </si>
  <si>
    <t>2/5</t>
  </si>
  <si>
    <t>010</t>
  </si>
  <si>
    <t>ROZI BIN ZAKARIA</t>
  </si>
  <si>
    <t>3/5</t>
  </si>
  <si>
    <t>011</t>
  </si>
  <si>
    <t xml:space="preserve">Alzuhari bin Hasan </t>
  </si>
  <si>
    <t>11/2</t>
  </si>
  <si>
    <t>012</t>
  </si>
  <si>
    <t>Abdul Rahim Bin Md Arshad</t>
  </si>
  <si>
    <t>16/4</t>
  </si>
  <si>
    <t>013</t>
  </si>
  <si>
    <t>Musa bin Abd. Rahman</t>
  </si>
  <si>
    <t>19/5</t>
  </si>
  <si>
    <t>RM 110 22/1/17</t>
  </si>
  <si>
    <t>014</t>
  </si>
  <si>
    <t>Mohd Yusof Abas</t>
  </si>
  <si>
    <t>26/4</t>
  </si>
  <si>
    <t>015</t>
  </si>
  <si>
    <t>Zainal abidin hj saari</t>
  </si>
  <si>
    <t>12/2</t>
  </si>
  <si>
    <t>016</t>
  </si>
  <si>
    <t>Hafiz Al-Asadi Bin Ahmad Murad</t>
  </si>
  <si>
    <t>27/3</t>
  </si>
  <si>
    <t>017</t>
  </si>
  <si>
    <t>MOHD NAIM BIN NORMAN</t>
  </si>
  <si>
    <t>17/5</t>
  </si>
  <si>
    <t>018</t>
  </si>
  <si>
    <t xml:space="preserve">Masli </t>
  </si>
  <si>
    <t>25/5</t>
  </si>
  <si>
    <t>019</t>
  </si>
  <si>
    <t>Faisol Mubarak Ismail</t>
  </si>
  <si>
    <t>35/5</t>
  </si>
  <si>
    <t>020</t>
  </si>
  <si>
    <t>Hasril Hasini</t>
  </si>
  <si>
    <t>20/5</t>
  </si>
  <si>
    <t>021</t>
  </si>
  <si>
    <t>Mohammad Asmadi Bin Misbah</t>
  </si>
  <si>
    <t>21/5</t>
  </si>
  <si>
    <t>022</t>
  </si>
  <si>
    <t>MUHAMMAD NIZAR MANSHOR</t>
  </si>
  <si>
    <t>22A/5</t>
  </si>
  <si>
    <t>023</t>
  </si>
  <si>
    <t>Hj Bukhari Yahya</t>
  </si>
  <si>
    <t>42A/5</t>
  </si>
  <si>
    <t>024</t>
  </si>
  <si>
    <t>Nazul</t>
  </si>
  <si>
    <t>22/4</t>
  </si>
  <si>
    <t>025</t>
  </si>
  <si>
    <t>Mohammad Farhan Mansor</t>
  </si>
  <si>
    <t>9/5</t>
  </si>
  <si>
    <t>026</t>
  </si>
  <si>
    <t>Azhar Ahmad (Asmini)</t>
  </si>
  <si>
    <t>26/3</t>
  </si>
  <si>
    <t>027</t>
  </si>
  <si>
    <t>Mohd Nazri b Hashim</t>
  </si>
  <si>
    <t>13/4</t>
  </si>
  <si>
    <t>028</t>
  </si>
  <si>
    <t>Mazlan abdullah</t>
  </si>
  <si>
    <t>13/3</t>
  </si>
  <si>
    <t>029</t>
  </si>
  <si>
    <t>Mohammad Zuhardy bin Abdul Manaf</t>
  </si>
  <si>
    <t>20/4</t>
  </si>
  <si>
    <t>030</t>
  </si>
  <si>
    <t>Azrol Arshad</t>
  </si>
  <si>
    <t>15/2</t>
  </si>
  <si>
    <t>031</t>
  </si>
  <si>
    <t>Zainal Adnan B Hawari</t>
  </si>
  <si>
    <t>28/5</t>
  </si>
  <si>
    <t>032</t>
  </si>
  <si>
    <t>Abdullah Bin Muhammed (Zura)</t>
  </si>
  <si>
    <t>3/2</t>
  </si>
  <si>
    <t>033</t>
  </si>
  <si>
    <t>Marwelies Bin Mohd Yusoff</t>
  </si>
  <si>
    <t>3/3</t>
  </si>
  <si>
    <t>034</t>
  </si>
  <si>
    <t>mohd rizal yaakop</t>
  </si>
  <si>
    <t>6/5</t>
  </si>
  <si>
    <t>035</t>
  </si>
  <si>
    <t>MOHD NARANG BIN ABU BAKAR</t>
  </si>
  <si>
    <t>33/3</t>
  </si>
  <si>
    <t>036</t>
  </si>
  <si>
    <t>syamsul arifin bin muhd irpan</t>
  </si>
  <si>
    <t>9/2</t>
  </si>
  <si>
    <t>27/7/2017 Bank in</t>
  </si>
  <si>
    <t>037</t>
  </si>
  <si>
    <t>Razali Bin Embong</t>
  </si>
  <si>
    <t>6/2</t>
  </si>
  <si>
    <t>038</t>
  </si>
  <si>
    <t>Khairul Bin Mohd Anua</t>
  </si>
  <si>
    <t>27/4</t>
  </si>
  <si>
    <t>039</t>
  </si>
  <si>
    <t>Zainal Abidin Bin Abu Bakar</t>
  </si>
  <si>
    <t>18/5</t>
  </si>
  <si>
    <t>040</t>
  </si>
  <si>
    <t>Azizi Umar</t>
  </si>
  <si>
    <t>11/3</t>
  </si>
  <si>
    <t>041</t>
  </si>
  <si>
    <t>Jamalullail</t>
  </si>
  <si>
    <t>33/5</t>
  </si>
  <si>
    <t>042</t>
  </si>
  <si>
    <t>Nizam</t>
  </si>
  <si>
    <t>40/5</t>
  </si>
  <si>
    <t>043</t>
  </si>
  <si>
    <t>Mohd Razali</t>
  </si>
  <si>
    <t>2/2</t>
  </si>
  <si>
    <t>044</t>
  </si>
  <si>
    <t>Othman Mohamed</t>
  </si>
  <si>
    <t>2/3</t>
  </si>
  <si>
    <t>045</t>
  </si>
  <si>
    <t>Shahrizal Bin Ishak</t>
  </si>
  <si>
    <t>6/3</t>
  </si>
  <si>
    <t>046</t>
  </si>
  <si>
    <t>Saiful Azlin Maskan</t>
  </si>
  <si>
    <t>18/3</t>
  </si>
  <si>
    <t>047</t>
  </si>
  <si>
    <t>Meor Nazrin Shah Bin Md Nasir</t>
  </si>
  <si>
    <t>12/4</t>
  </si>
  <si>
    <t>048</t>
  </si>
  <si>
    <t>Noramzaidy bin Ramli</t>
  </si>
  <si>
    <t>7/5</t>
  </si>
  <si>
    <t>049</t>
  </si>
  <si>
    <t xml:space="preserve">Mohd. Nizam bin pujaman </t>
  </si>
  <si>
    <t>32A/5</t>
  </si>
  <si>
    <t>050</t>
  </si>
  <si>
    <t>Prof. Madya Dr. Zaini Sakawi</t>
  </si>
  <si>
    <t>31/3</t>
  </si>
  <si>
    <t>051</t>
  </si>
  <si>
    <t>Badli Abu Hassan</t>
  </si>
  <si>
    <t>23/4</t>
  </si>
  <si>
    <t>052</t>
  </si>
  <si>
    <t>Muhamad Azhanudin Bin Kasdi</t>
  </si>
  <si>
    <t>15/5</t>
  </si>
  <si>
    <t>053</t>
  </si>
  <si>
    <t>Yusof Said</t>
  </si>
  <si>
    <t>5/3</t>
  </si>
  <si>
    <t>054</t>
  </si>
  <si>
    <t>Fadly</t>
  </si>
  <si>
    <t>28/3</t>
  </si>
  <si>
    <t>cash</t>
  </si>
  <si>
    <t>055</t>
  </si>
  <si>
    <t>HASANOLZAMRI BIN AHMAD</t>
  </si>
  <si>
    <t>30/3</t>
  </si>
  <si>
    <t>056</t>
  </si>
  <si>
    <t>WAN ZULKIFLI BIN WAN HASSAN</t>
  </si>
  <si>
    <t>29/4</t>
  </si>
  <si>
    <t>Online banking</t>
  </si>
  <si>
    <t>Online banking 25 Jul 2017</t>
  </si>
  <si>
    <t>057</t>
  </si>
  <si>
    <t>Md Noor Azman Musa</t>
  </si>
  <si>
    <t>10/3</t>
  </si>
  <si>
    <t>90 Online banking  31/12/2017 Maybank</t>
  </si>
  <si>
    <t>058</t>
  </si>
  <si>
    <t>Mohammad Iqwhanus Syaffa Amir</t>
  </si>
  <si>
    <t>5/5</t>
  </si>
  <si>
    <t>059</t>
  </si>
  <si>
    <t>Roslimi bin Ramlee</t>
  </si>
  <si>
    <t>9/4</t>
  </si>
  <si>
    <t>060</t>
  </si>
  <si>
    <t>Lukman Abdul Mutalib</t>
  </si>
  <si>
    <t>25/3</t>
  </si>
  <si>
    <t>061</t>
  </si>
  <si>
    <t>Khairul Anuar Ali</t>
  </si>
  <si>
    <t>7 /4</t>
  </si>
  <si>
    <t>062</t>
  </si>
  <si>
    <t>HAKIM BIN ZAINAL</t>
  </si>
  <si>
    <t>19/4</t>
  </si>
  <si>
    <t>063</t>
  </si>
  <si>
    <t>Mohamad Nazri Bin Shahadan</t>
  </si>
  <si>
    <t>3/4</t>
  </si>
  <si>
    <t>064</t>
  </si>
  <si>
    <t>Zariman</t>
  </si>
  <si>
    <t>39/5</t>
  </si>
  <si>
    <t>065</t>
  </si>
  <si>
    <t>Khairul Anuar b. Abu Othman</t>
  </si>
  <si>
    <t>23/5</t>
  </si>
  <si>
    <t>066</t>
  </si>
  <si>
    <t>Termizi</t>
  </si>
  <si>
    <t>13/5</t>
  </si>
  <si>
    <t>Bank in</t>
  </si>
  <si>
    <t>067</t>
  </si>
  <si>
    <t>RIZALMAN DARUS</t>
  </si>
  <si>
    <t>17/3</t>
  </si>
  <si>
    <t>068</t>
  </si>
  <si>
    <t>Ismeet</t>
  </si>
  <si>
    <t>3A/3</t>
  </si>
  <si>
    <t>069</t>
  </si>
  <si>
    <t>Shairul</t>
  </si>
  <si>
    <t>26/5</t>
  </si>
  <si>
    <t>070</t>
  </si>
  <si>
    <t>Mustafa salleh</t>
  </si>
  <si>
    <t>42/5</t>
  </si>
  <si>
    <t>071</t>
  </si>
  <si>
    <t>Zaki</t>
  </si>
  <si>
    <t>31/4</t>
  </si>
  <si>
    <t>072</t>
  </si>
  <si>
    <t>Abdul Aziz Mohd Zohdi</t>
  </si>
  <si>
    <t>20/2</t>
  </si>
  <si>
    <t>073</t>
  </si>
  <si>
    <t>Badrol Hisham Ibrahim</t>
  </si>
  <si>
    <t>18/4</t>
  </si>
  <si>
    <t>074</t>
  </si>
  <si>
    <t xml:space="preserve">Zainul Alam </t>
  </si>
  <si>
    <t>3A/2</t>
  </si>
  <si>
    <t>075</t>
  </si>
  <si>
    <t>Buslima</t>
  </si>
  <si>
    <t>7/3</t>
  </si>
  <si>
    <t>076</t>
  </si>
  <si>
    <t>Jusmawardi</t>
  </si>
  <si>
    <t>2A/4</t>
  </si>
  <si>
    <t>077</t>
  </si>
  <si>
    <t>Noraidi Nordin</t>
  </si>
  <si>
    <t>1/5</t>
  </si>
  <si>
    <t>078</t>
  </si>
  <si>
    <t>Noor Asna Mokhtar</t>
  </si>
  <si>
    <t>22/3</t>
  </si>
  <si>
    <t>079</t>
  </si>
  <si>
    <t>Fithri Bin Yahaya</t>
  </si>
  <si>
    <t>080</t>
  </si>
  <si>
    <t>NORBAITI BINTI SIDIK</t>
  </si>
  <si>
    <t>6/4</t>
  </si>
  <si>
    <t>Bank in 3/1/2018</t>
  </si>
  <si>
    <t>081</t>
  </si>
  <si>
    <t>082</t>
  </si>
  <si>
    <t>083</t>
  </si>
  <si>
    <t>Mustapha Kamal Bin Md Salleh</t>
  </si>
  <si>
    <t>8/3</t>
  </si>
  <si>
    <t>084</t>
  </si>
  <si>
    <t>085</t>
  </si>
  <si>
    <t>086</t>
  </si>
  <si>
    <t>087</t>
  </si>
  <si>
    <t>088</t>
  </si>
  <si>
    <t>Zul @ Zulkifli Ahamid</t>
  </si>
  <si>
    <t>12A/5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</si>
  <si>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</si>
  <si>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</si>
  <si>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</si>
  <si>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</si>
  <si>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</si>
  <si>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</si>
  <si>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</si>
  <si>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</si>
  <si>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</si>
  <si>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</si>
  <si>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</si>
  <si>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</si>
  <si>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</si>
  <si>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</si>
  <si>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</si>
  <si>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</si>
  <si>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</si>
  <si>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Adi Fazuli bin Mamat</t>
  </si>
  <si>
    <t>10/5</t>
  </si>
  <si>
    <t>106</t>
  </si>
  <si>
    <t>107</t>
  </si>
  <si>
    <t>108</t>
  </si>
  <si>
    <t>109</t>
  </si>
  <si>
    <t>110</t>
  </si>
  <si>
    <t>111</t>
  </si>
  <si>
    <t>M. Fadzel Selamat</t>
  </si>
  <si>
    <t>41/5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</si>
  <si>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</si>
  <si>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</si>
  <si>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</si>
  <si>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</si>
  <si>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</si>
  <si>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</si>
  <si>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</si>
  <si>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</si>
  <si>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</si>
  <si>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</si>
  <si>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Azhan</t>
  </si>
  <si>
    <t>22/5</t>
  </si>
  <si>
    <t>122</t>
  </si>
  <si>
    <t>123</t>
  </si>
  <si>
    <t>Azamin Nordin</t>
  </si>
  <si>
    <t>12/3</t>
  </si>
  <si>
    <t>124</t>
  </si>
  <si>
    <t>125</t>
  </si>
  <si>
    <t>Azlan iskandar ishak</t>
  </si>
  <si>
    <t>12/5</t>
  </si>
  <si>
    <t>200</t>
  </si>
  <si>
    <t>Muadz</t>
  </si>
  <si>
    <t>28/4</t>
  </si>
  <si>
    <t>201</t>
  </si>
  <si>
    <t xml:space="preserve">Norazli Mohamad Nor </t>
  </si>
  <si>
    <t>2A/5</t>
  </si>
  <si>
    <t>Penyewa</t>
  </si>
  <si>
    <t>202</t>
  </si>
  <si>
    <t>Khairudin</t>
  </si>
  <si>
    <t>16/5</t>
  </si>
  <si>
    <t>Online banking MBB 2/3/17 RM 110</t>
  </si>
  <si>
    <t>203</t>
  </si>
  <si>
    <t>Fauzi</t>
  </si>
  <si>
    <t>1/2</t>
  </si>
  <si>
    <t>204</t>
  </si>
  <si>
    <t>Najmi Dawami Abdul Hamid</t>
  </si>
  <si>
    <t>205</t>
  </si>
  <si>
    <t>Khairul Amin b Mohd Jamri</t>
  </si>
  <si>
    <t>23A/4</t>
  </si>
  <si>
    <t>206</t>
  </si>
  <si>
    <t>Zainul Azizi Mat Zin</t>
  </si>
  <si>
    <t>207</t>
  </si>
  <si>
    <t>Ustaz Faizal</t>
  </si>
  <si>
    <t>30/5</t>
  </si>
  <si>
    <t>208</t>
  </si>
  <si>
    <t>Amir Shukri Kamaruizaman Bin Sahol Hamid</t>
  </si>
  <si>
    <t>13/2</t>
  </si>
  <si>
    <t>Total</t>
  </si>
  <si>
    <t>Online banking  4/4/2018</t>
  </si>
  <si>
    <t>Cash 31/1/2018</t>
  </si>
  <si>
    <t>Online 15/32019</t>
  </si>
  <si>
    <t>cash 27/7/2018</t>
  </si>
  <si>
    <t>Cash 1/1/2018</t>
  </si>
  <si>
    <t>Online banking 5/4/2018</t>
  </si>
  <si>
    <t>Online banking 8/8/17 Maybank</t>
  </si>
  <si>
    <t>Cash 5/1/18</t>
  </si>
  <si>
    <t>Online banking 6/1/18 CIMB</t>
  </si>
  <si>
    <t>Online banking 2/1/2020</t>
  </si>
  <si>
    <t>Online banking 10/3/2019</t>
  </si>
  <si>
    <t>Online banking 8/1/18 MBB</t>
  </si>
  <si>
    <t>Online banking 2/1/18 MBB</t>
  </si>
  <si>
    <t>Online banking 28/2/2018</t>
  </si>
  <si>
    <t>Online banking 29/1/2018</t>
  </si>
  <si>
    <t>Online banking 22/1/2018</t>
  </si>
  <si>
    <t>Online Banking 1/1/2018 CIMB</t>
  </si>
  <si>
    <t>Online banking 31/12/2017 -Together with RM 90 from 2017 outstanding</t>
  </si>
  <si>
    <t>online Banking: 26/1/2021</t>
  </si>
  <si>
    <t>Resit belum keluar</t>
  </si>
  <si>
    <t>online Banking: 18/8/2021</t>
  </si>
  <si>
    <t>Bank in 11/3/2019</t>
  </si>
  <si>
    <t>Tawfiq</t>
  </si>
  <si>
    <t>15/4</t>
  </si>
  <si>
    <t xml:space="preserve">Lina Ahmad </t>
  </si>
  <si>
    <t>11/5</t>
  </si>
  <si>
    <t>Mohaamad Hardi bin Abdullah</t>
  </si>
  <si>
    <t>27/5</t>
  </si>
  <si>
    <t>Ahli Baru 2018</t>
  </si>
  <si>
    <t>Mustapa</t>
  </si>
  <si>
    <t>Md azmi Mohamad Sukaimi</t>
  </si>
  <si>
    <t>21/3</t>
  </si>
  <si>
    <t>Cash 11/3/2019</t>
  </si>
  <si>
    <t>Online 15/3/2019</t>
  </si>
  <si>
    <t>Cash 2/1/2020</t>
  </si>
  <si>
    <t>Online 22/9/2018</t>
  </si>
  <si>
    <t>18/2</t>
  </si>
  <si>
    <t>Online banking 15/3/2019</t>
  </si>
  <si>
    <t>Zainul</t>
  </si>
  <si>
    <t>Online banking 8/3/2019</t>
  </si>
  <si>
    <t>Contra claim 18 March 2019</t>
  </si>
  <si>
    <t>Zaidi Mohamad</t>
  </si>
  <si>
    <t>online Banking: 28/8/2022</t>
  </si>
  <si>
    <t>Cash 11 Jan 2020</t>
  </si>
  <si>
    <t>Online transfer during 2019 AGM</t>
  </si>
  <si>
    <t>Online bankin 17/3/2019</t>
  </si>
  <si>
    <t>Online banking 14/3/2019</t>
  </si>
  <si>
    <t>online banking 1/2/2020</t>
  </si>
  <si>
    <t>Update 26/1/2021</t>
  </si>
  <si>
    <t>Online transfer 2/1/2020 by Adli</t>
  </si>
  <si>
    <t>Online banking 27/2/2019</t>
  </si>
  <si>
    <t>online banking 15/3/2019</t>
  </si>
  <si>
    <t>online banking 11/3/2019</t>
  </si>
  <si>
    <t>online banking 9/3/2019</t>
  </si>
  <si>
    <t>online banking 20/1/2020</t>
  </si>
  <si>
    <t>online banking 20/09/2022</t>
  </si>
  <si>
    <t>MBB transfer 19/04/2020</t>
  </si>
  <si>
    <t>online banking 31/12/2019 by Rina Razali</t>
  </si>
  <si>
    <t>online transfer 28/09/2019</t>
  </si>
  <si>
    <t>Online transfer 7/1/2020</t>
  </si>
  <si>
    <t>Online banking 27/1/2020</t>
  </si>
  <si>
    <t>Online banking 22/3/2019</t>
  </si>
  <si>
    <t>online Banking: 21/1/2021</t>
  </si>
  <si>
    <t>Dato' Mohd Fadly Bin Hashim</t>
  </si>
  <si>
    <t>Online banking:  18 Jan 2021</t>
  </si>
  <si>
    <t>Ahli Baru</t>
  </si>
  <si>
    <t>Online banking 28/2/19</t>
  </si>
  <si>
    <t>Online banking 3/12/19. Ahli Baru</t>
  </si>
  <si>
    <t>Online banking 7/1/2020</t>
  </si>
  <si>
    <t>32/4</t>
  </si>
  <si>
    <t>on;line banking 5/1/2020</t>
  </si>
  <si>
    <t>Online banking 16/1/2020</t>
  </si>
  <si>
    <t xml:space="preserve">Online banking </t>
  </si>
  <si>
    <t>Online banking 20/1/2020</t>
  </si>
  <si>
    <t>MBB 19/04/2020</t>
  </si>
  <si>
    <t>online Banking: 26/5/2021</t>
  </si>
  <si>
    <t>online Banking: 28/1/2021</t>
  </si>
  <si>
    <t>online Banking: 22/1/2021</t>
  </si>
  <si>
    <t>Online Banking 10/1/2020</t>
  </si>
  <si>
    <t>Mohd Razali Bin Mohamad</t>
  </si>
  <si>
    <t>Online banking 10/4/2020</t>
  </si>
  <si>
    <t>online Banking: 29/1/2021</t>
  </si>
  <si>
    <t>Online banking: 18 Jan 2021</t>
  </si>
  <si>
    <t>Online banking: 17 Ogos 2021</t>
  </si>
  <si>
    <t>Cash: 27/1/2021</t>
  </si>
  <si>
    <t>Transfer 10.02.2024</t>
  </si>
  <si>
    <t>online Banking: 25/1/2021</t>
  </si>
  <si>
    <t>Ismail bin Mohamed Wahi</t>
  </si>
  <si>
    <t>online Banking: 24/4/2021</t>
  </si>
  <si>
    <t>online Banking: 24/1/2021</t>
  </si>
  <si>
    <t>online Banking: 20/1/2021</t>
  </si>
  <si>
    <t>fund transfer: 31/12/2021</t>
  </si>
  <si>
    <t>online Banking: 17/1/2021</t>
  </si>
  <si>
    <t>Cash: 22/1/2021</t>
  </si>
  <si>
    <t>Mohd Nazul Karnine Muhamad</t>
  </si>
  <si>
    <t>online Banking: 9/3/2021</t>
  </si>
  <si>
    <t>online Banking: 20/09/2022</t>
  </si>
  <si>
    <t>online Banking: 11/3/2021</t>
  </si>
  <si>
    <t>fund transfer: 22/4/2022</t>
  </si>
  <si>
    <t>Jamalullail Abdul Wahab</t>
  </si>
  <si>
    <t>online Banking: 18/1/2021</t>
  </si>
  <si>
    <t>online Banking: 5/1/2022 (Yuran 2021 dan 2022 paid RM240)</t>
  </si>
  <si>
    <t>online Banking: 23/1/2021</t>
  </si>
  <si>
    <t>RM360</t>
  </si>
  <si>
    <t>2019 - 2021</t>
  </si>
  <si>
    <t>RM240</t>
  </si>
  <si>
    <t>2020, 2021</t>
  </si>
  <si>
    <t>Cash  pd 11 Mac 2021</t>
  </si>
  <si>
    <t>online Banking: 4/6/2021</t>
  </si>
  <si>
    <t>Termizi Hj Yusof</t>
  </si>
  <si>
    <t>Esmet Sidqie bin A. Muttalib</t>
  </si>
  <si>
    <t>Online Banking: 20/1/2021</t>
  </si>
  <si>
    <t>Online Banking: 18 Jan 2021</t>
  </si>
  <si>
    <t>Total Bayar</t>
  </si>
  <si>
    <t>Jumlah Ahli</t>
  </si>
  <si>
    <t>cash Banking: 19/5/2021</t>
  </si>
  <si>
    <t>Saiful Ezral Bin Arifiin</t>
  </si>
  <si>
    <t>20/3</t>
  </si>
  <si>
    <t>Online Banking: 28 Jun 2021 (plus yuran daftar)</t>
  </si>
  <si>
    <t>Khairudin bin Hj Mohd Ali</t>
  </si>
  <si>
    <t>16/5 (31/5)</t>
  </si>
  <si>
    <t>paid in advance</t>
  </si>
  <si>
    <t>Mustafa Mohd Yassin</t>
  </si>
  <si>
    <t>209</t>
  </si>
  <si>
    <t>Muhammad Fitri Muhammad Hashim</t>
  </si>
  <si>
    <t>17/4</t>
  </si>
  <si>
    <t xml:space="preserve"> </t>
  </si>
  <si>
    <t>fund transfer: 28/8/2022</t>
  </si>
  <si>
    <t>fund transfer - 28/8/2022 Tahun 2019 - 2022</t>
  </si>
  <si>
    <t>Cash: 15/3/2022</t>
  </si>
  <si>
    <t>Cash: 2/1/2022</t>
  </si>
  <si>
    <t>fund transfer: 02/10/2022</t>
  </si>
  <si>
    <t>Mohamad Yusrey Mahat</t>
  </si>
  <si>
    <t>fund transfer: 04/09/2022</t>
  </si>
  <si>
    <t>Rozi Zakaria</t>
  </si>
  <si>
    <t>online Banking: 14/1/2022</t>
  </si>
  <si>
    <t>Zainal Abidin hj Saari</t>
  </si>
  <si>
    <t>Cash: 18/1/2022</t>
  </si>
  <si>
    <t>Mohd Naim Norman</t>
  </si>
  <si>
    <t>Masli Irwan Bin Rosli</t>
  </si>
  <si>
    <t>fund transfer: 04/10/2022</t>
  </si>
  <si>
    <t>fund transfer: 23/09/2022</t>
  </si>
  <si>
    <t>fund transfer: 10/10/2022</t>
  </si>
  <si>
    <t>Muhammad Nizar Manshor</t>
  </si>
  <si>
    <t>fund transfer: 3/1/2022</t>
  </si>
  <si>
    <t>fund transfer: 17/09/2022</t>
  </si>
  <si>
    <t>fund transfer: 13/2/2022</t>
  </si>
  <si>
    <t>fund transfer: 26/3/2022</t>
  </si>
  <si>
    <t>Abdullah Bin Muhammed</t>
  </si>
  <si>
    <t>fund transfer: 9/5/2022</t>
  </si>
  <si>
    <t>fund transfer: 24/5/2022</t>
  </si>
  <si>
    <t>Mohd Rizal Yaakop</t>
  </si>
  <si>
    <t>fund transfer: 20/09/2022 Tahun 2019 - 2023</t>
  </si>
  <si>
    <t>Mohd Narang Abu Bakar</t>
  </si>
  <si>
    <t>fund transfer: 25/02/2022</t>
  </si>
  <si>
    <t>Tahun  2021 &amp; 2022</t>
  </si>
  <si>
    <t>Transfer 28.09.2023 utk 2022 &amp; 2023</t>
  </si>
  <si>
    <t>fund transfer: 02/09/2022</t>
  </si>
  <si>
    <t>Mohamad Nizam Jaafar</t>
  </si>
  <si>
    <t>Mohd Razali Mohamad</t>
  </si>
  <si>
    <t>fund transfer: 5/1/2022</t>
  </si>
  <si>
    <t>Yuran 2021 dan 2022</t>
  </si>
  <si>
    <t>fund transfer: 9/1/2022</t>
  </si>
  <si>
    <t>fund transfer: 28/2/2022</t>
  </si>
  <si>
    <t>rekod tak wujud</t>
  </si>
  <si>
    <t>fund transfer: 11/10/2022</t>
  </si>
  <si>
    <t>fund transfer: 21/09/2022</t>
  </si>
  <si>
    <t>HasanolZamri Bin Ahmad</t>
  </si>
  <si>
    <t>Wan Zulkifli Wan Hassan</t>
  </si>
  <si>
    <t>Hakim Zainal</t>
  </si>
  <si>
    <t>Transfer 08.05.2024 - RM 360</t>
  </si>
  <si>
    <t>Ustaz Khairul Anuar b. Abu Othman</t>
  </si>
  <si>
    <t>Rizalman Darus</t>
  </si>
  <si>
    <t>Ahmad Shairul Akram bin Sabli</t>
  </si>
  <si>
    <t>fund transfer: 29/10/2022 (RM 50), 20.01.2023 (RM 50), 25/02/2023 (RM 50)</t>
  </si>
  <si>
    <t>Norbaiti Binti Sidik</t>
  </si>
  <si>
    <t>online Banking: 17/1/2022</t>
  </si>
  <si>
    <t>online Banking - 22.05.2023</t>
  </si>
  <si>
    <t xml:space="preserve">Mohamed Fauzi bin Mohamed Salleh </t>
  </si>
  <si>
    <t>29/3</t>
  </si>
  <si>
    <t>online Banking: 5/1/2022</t>
  </si>
  <si>
    <t>Yuran ahli baharu</t>
  </si>
  <si>
    <t>online Banking: 16/1/2022</t>
  </si>
  <si>
    <t>Azlan Iskandar Ishak</t>
  </si>
  <si>
    <t>online Banking: 23/8/2022</t>
  </si>
  <si>
    <t>fund transfer: 2019-2022. Paid in advance 15.03.2019</t>
  </si>
  <si>
    <t>Ustaz Faizal (Mustafa Mohd Yassin)</t>
  </si>
  <si>
    <t>Penyewa telah berpindah</t>
  </si>
  <si>
    <t>cash 21.01.2024</t>
  </si>
  <si>
    <t>Transfer 16.01.2023</t>
  </si>
  <si>
    <t>Transfer 10.09.2023</t>
  </si>
  <si>
    <t>Cash. Transfer 29.12.2023</t>
  </si>
  <si>
    <t>Transfer - RM 240 - 2024 &amp; 2023 - 25.01.2024</t>
  </si>
  <si>
    <t>Transfer 02.02.2023</t>
  </si>
  <si>
    <t>Transfer14.01.2023</t>
  </si>
  <si>
    <t>Transfer 01.02.2023</t>
  </si>
  <si>
    <t>Transfer 28.04.2023</t>
  </si>
  <si>
    <t>Transfer 22.08.2023</t>
  </si>
  <si>
    <t>Transfer 05.06.2023</t>
  </si>
  <si>
    <t>Transfer 29.12.2023</t>
  </si>
  <si>
    <t>Transfer 20.09.2022</t>
  </si>
  <si>
    <t>Transfer 04.04.2023</t>
  </si>
  <si>
    <t>Transfer 11.09.2023</t>
  </si>
  <si>
    <t>Transfer 17.05.2023</t>
  </si>
  <si>
    <t>Transfer 14.01.2023</t>
  </si>
  <si>
    <t>Cash 05.2024 - RM 240 - 2023 &amp; 2024</t>
  </si>
  <si>
    <t>Terlebih RM 10 - 15/08/2023 (Bank in RM 100)</t>
  </si>
  <si>
    <t>Abdul Hanif Bin Che Hamid</t>
  </si>
  <si>
    <t>Transfer 08.03.2023</t>
  </si>
  <si>
    <t>Sarizah Binti Sulaiman</t>
  </si>
  <si>
    <t>13A/3</t>
  </si>
  <si>
    <t>Transfer 16.03.2023</t>
  </si>
  <si>
    <t>Dr Husaini Bin Hussin</t>
  </si>
  <si>
    <t>Transfer 22.05.2023</t>
  </si>
  <si>
    <t>Transfer 12.09.2023</t>
  </si>
  <si>
    <t>cash 21.01.2024 - RM 240 - 2024 &amp; 2023</t>
  </si>
  <si>
    <t>Transfer 21.01.2024</t>
  </si>
  <si>
    <t>Cash 02.2024</t>
  </si>
  <si>
    <t>Transfer 25.01.2024 - 2024 &amp; 2023</t>
  </si>
  <si>
    <t>Transfer</t>
  </si>
  <si>
    <t>Transfer 26.01.2024</t>
  </si>
  <si>
    <t>Transfer 28.01.2024</t>
  </si>
  <si>
    <t>Transfer RM 240 - 2024 &amp; 2025 -21.01.2024</t>
  </si>
  <si>
    <t>Cash RM 240 - 05.2024 - 2023 &amp; 2024</t>
  </si>
  <si>
    <t>Transfer RM 100 (April 2023 - Jan 2024) - 15.08.2023</t>
  </si>
  <si>
    <t>Amirul</t>
  </si>
  <si>
    <t>Transfer 12.05.2024 - ahli baru</t>
  </si>
  <si>
    <t>Transfer RM 200 - 06.03.2024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</si>
</sst>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MYR]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70C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7CAAC"/>
        <bgColor rgb="FFF7CAAC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EF2CB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E2EFD9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C5E0B3"/>
      </patternFill>
    </fill>
    <fill>
      <patternFill patternType="solid">
        <fgColor rgb="FFFFFF00"/>
        <bgColor rgb="FFF4CCCC"/>
      </patternFill>
    </fill>
    <fill>
      <patternFill patternType="solid">
        <fgColor rgb="FF92D050"/>
        <bgColor rgb="FFFFF2CC"/>
      </patternFill>
    </fill>
    <fill>
      <patternFill patternType="solid">
        <fgColor rgb="FF92D050"/>
        <bgColor rgb="FFE2EFD9"/>
      </patternFill>
    </fill>
    <fill>
      <patternFill patternType="solid">
        <fgColor rgb="FF92D050"/>
        <bgColor rgb="FFD9EAD3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rgb="FF92D050"/>
        <bgColor rgb="FFFEF2CB"/>
      </patternFill>
    </fill>
    <fill>
      <patternFill patternType="solid">
        <fgColor rgb="FFEAD1DC"/>
        <bgColor rgb="FFEAD1D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0" fillId="0" borderId="0" xfId="0" applyFont="1" applyAlignment="1"/>
    <xf numFmtId="49" fontId="2" fillId="0" borderId="0" xfId="0" applyNumberFormat="1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2" borderId="1" xfId="0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2" fillId="2" borderId="6" xfId="0" applyFont="1" applyFill="1" applyBorder="1"/>
    <xf numFmtId="0" fontId="2" fillId="0" borderId="6" xfId="0" applyFont="1" applyBorder="1"/>
    <xf numFmtId="49" fontId="2" fillId="0" borderId="6" xfId="0" quotePrefix="1" applyNumberFormat="1" applyFont="1" applyBorder="1"/>
    <xf numFmtId="0" fontId="5" fillId="3" borderId="6" xfId="0" applyFont="1" applyFill="1" applyBorder="1"/>
    <xf numFmtId="49" fontId="2" fillId="0" borderId="6" xfId="0" applyNumberFormat="1" applyFont="1" applyBorder="1"/>
    <xf numFmtId="0" fontId="2" fillId="0" borderId="6" xfId="0" applyFont="1" applyBorder="1" applyAlignment="1">
      <alignment horizontal="center"/>
    </xf>
    <xf numFmtId="0" fontId="2" fillId="3" borderId="6" xfId="0" applyFont="1" applyFill="1" applyBorder="1"/>
    <xf numFmtId="0" fontId="2" fillId="4" borderId="6" xfId="0" applyFont="1" applyFill="1" applyBorder="1"/>
    <xf numFmtId="0" fontId="2" fillId="5" borderId="6" xfId="0" applyFont="1" applyFill="1" applyBorder="1"/>
    <xf numFmtId="0" fontId="5" fillId="5" borderId="6" xfId="0" applyFont="1" applyFill="1" applyBorder="1"/>
    <xf numFmtId="0" fontId="5" fillId="5" borderId="0" xfId="0" applyFont="1" applyFill="1" applyBorder="1"/>
    <xf numFmtId="0" fontId="6" fillId="5" borderId="6" xfId="0" applyFont="1" applyFill="1" applyBorder="1"/>
    <xf numFmtId="0" fontId="6" fillId="3" borderId="6" xfId="0" applyFont="1" applyFill="1" applyBorder="1"/>
    <xf numFmtId="0" fontId="5" fillId="0" borderId="6" xfId="0" applyFont="1" applyBorder="1"/>
    <xf numFmtId="0" fontId="7" fillId="0" borderId="6" xfId="0" applyFont="1" applyBorder="1"/>
    <xf numFmtId="0" fontId="6" fillId="0" borderId="6" xfId="0" applyFont="1" applyBorder="1"/>
    <xf numFmtId="0" fontId="2" fillId="6" borderId="6" xfId="0" applyFont="1" applyFill="1" applyBorder="1"/>
    <xf numFmtId="49" fontId="2" fillId="6" borderId="6" xfId="0" applyNumberFormat="1" applyFont="1" applyFill="1" applyBorder="1"/>
    <xf numFmtId="0" fontId="6" fillId="6" borderId="6" xfId="0" applyFont="1" applyFill="1" applyBorder="1"/>
    <xf numFmtId="0" fontId="2" fillId="6" borderId="6" xfId="0" applyFont="1" applyFill="1" applyBorder="1" applyAlignment="1">
      <alignment horizontal="center"/>
    </xf>
    <xf numFmtId="0" fontId="2" fillId="6" borderId="0" xfId="0" applyFont="1" applyFill="1" applyBorder="1"/>
    <xf numFmtId="14" fontId="2" fillId="0" borderId="0" xfId="0" applyNumberFormat="1" applyFont="1"/>
    <xf numFmtId="0" fontId="5" fillId="7" borderId="6" xfId="0" applyFont="1" applyFill="1" applyBorder="1"/>
    <xf numFmtId="0" fontId="5" fillId="0" borderId="0" xfId="0" applyFont="1"/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2" fillId="0" borderId="6" xfId="0" applyNumberFormat="1" applyFont="1" applyBorder="1" applyAlignment="1">
      <alignment horizontal="center"/>
    </xf>
    <xf numFmtId="0" fontId="8" fillId="0" borderId="6" xfId="0" applyFont="1" applyBorder="1"/>
    <xf numFmtId="49" fontId="2" fillId="8" borderId="6" xfId="0" applyNumberFormat="1" applyFont="1" applyFill="1" applyBorder="1"/>
    <xf numFmtId="0" fontId="5" fillId="8" borderId="6" xfId="0" applyFont="1" applyFill="1" applyBorder="1"/>
    <xf numFmtId="49" fontId="2" fillId="8" borderId="6" xfId="0" applyNumberFormat="1" applyFont="1" applyFill="1" applyBorder="1" applyAlignment="1">
      <alignment horizontal="center"/>
    </xf>
    <xf numFmtId="0" fontId="2" fillId="8" borderId="6" xfId="0" applyFont="1" applyFill="1" applyBorder="1"/>
    <xf numFmtId="0" fontId="2" fillId="8" borderId="0" xfId="0" applyFont="1" applyFill="1" applyBorder="1"/>
    <xf numFmtId="14" fontId="2" fillId="6" borderId="0" xfId="0" applyNumberFormat="1" applyFont="1" applyFill="1" applyBorder="1"/>
    <xf numFmtId="0" fontId="6" fillId="8" borderId="6" xfId="0" applyFont="1" applyFill="1" applyBorder="1"/>
    <xf numFmtId="49" fontId="2" fillId="9" borderId="6" xfId="0" applyNumberFormat="1" applyFont="1" applyFill="1" applyBorder="1"/>
    <xf numFmtId="0" fontId="6" fillId="9" borderId="6" xfId="0" applyFont="1" applyFill="1" applyBorder="1"/>
    <xf numFmtId="49" fontId="2" fillId="9" borderId="6" xfId="0" applyNumberFormat="1" applyFont="1" applyFill="1" applyBorder="1" applyAlignment="1">
      <alignment horizontal="center"/>
    </xf>
    <xf numFmtId="0" fontId="2" fillId="9" borderId="6" xfId="0" applyFont="1" applyFill="1" applyBorder="1"/>
    <xf numFmtId="0" fontId="2" fillId="9" borderId="0" xfId="0" applyFont="1" applyFill="1" applyBorder="1"/>
    <xf numFmtId="0" fontId="2" fillId="10" borderId="0" xfId="0" applyFont="1" applyFill="1" applyBorder="1"/>
    <xf numFmtId="49" fontId="2" fillId="11" borderId="6" xfId="0" applyNumberFormat="1" applyFont="1" applyFill="1" applyBorder="1"/>
    <xf numFmtId="0" fontId="5" fillId="11" borderId="6" xfId="0" applyFont="1" applyFill="1" applyBorder="1"/>
    <xf numFmtId="49" fontId="2" fillId="11" borderId="6" xfId="0" applyNumberFormat="1" applyFont="1" applyFill="1" applyBorder="1" applyAlignment="1">
      <alignment horizontal="center"/>
    </xf>
    <xf numFmtId="0" fontId="2" fillId="11" borderId="6" xfId="0" applyFont="1" applyFill="1" applyBorder="1"/>
    <xf numFmtId="0" fontId="2" fillId="11" borderId="0" xfId="0" applyFont="1" applyFill="1" applyBorder="1"/>
    <xf numFmtId="49" fontId="2" fillId="0" borderId="6" xfId="0" quotePrefix="1" applyNumberFormat="1" applyFont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49" fontId="2" fillId="12" borderId="6" xfId="0" applyNumberFormat="1" applyFont="1" applyFill="1" applyBorder="1" applyAlignment="1">
      <alignment horizontal="center"/>
    </xf>
    <xf numFmtId="0" fontId="2" fillId="12" borderId="6" xfId="0" applyFont="1" applyFill="1" applyBorder="1" applyAlignment="1"/>
    <xf numFmtId="49" fontId="2" fillId="12" borderId="6" xfId="0" applyNumberFormat="1" applyFont="1" applyFill="1" applyBorder="1"/>
    <xf numFmtId="0" fontId="2" fillId="12" borderId="6" xfId="0" applyFont="1" applyFill="1" applyBorder="1"/>
    <xf numFmtId="0" fontId="2" fillId="12" borderId="0" xfId="0" applyFont="1" applyFill="1" applyBorder="1"/>
    <xf numFmtId="0" fontId="2" fillId="12" borderId="0" xfId="0" applyFont="1" applyFill="1" applyBorder="1" applyAlignment="1"/>
    <xf numFmtId="0" fontId="2" fillId="13" borderId="0" xfId="0" applyFont="1" applyFill="1" applyBorder="1"/>
    <xf numFmtId="49" fontId="2" fillId="14" borderId="6" xfId="0" applyNumberFormat="1" applyFont="1" applyFill="1" applyBorder="1" applyAlignment="1">
      <alignment horizontal="center"/>
    </xf>
    <xf numFmtId="0" fontId="2" fillId="14" borderId="6" xfId="0" applyFont="1" applyFill="1" applyBorder="1"/>
    <xf numFmtId="49" fontId="2" fillId="14" borderId="6" xfId="0" applyNumberFormat="1" applyFont="1" applyFill="1" applyBorder="1"/>
    <xf numFmtId="0" fontId="2" fillId="14" borderId="0" xfId="0" applyFont="1" applyFill="1" applyBorder="1"/>
    <xf numFmtId="49" fontId="2" fillId="15" borderId="6" xfId="0" applyNumberFormat="1" applyFont="1" applyFill="1" applyBorder="1" applyAlignment="1">
      <alignment horizontal="center"/>
    </xf>
    <xf numFmtId="0" fontId="2" fillId="15" borderId="6" xfId="0" applyFont="1" applyFill="1" applyBorder="1"/>
    <xf numFmtId="49" fontId="2" fillId="15" borderId="6" xfId="0" applyNumberFormat="1" applyFont="1" applyFill="1" applyBorder="1"/>
    <xf numFmtId="0" fontId="2" fillId="15" borderId="0" xfId="0" applyFont="1" applyFill="1"/>
    <xf numFmtId="0" fontId="0" fillId="15" borderId="0" xfId="0" applyFont="1" applyFill="1" applyAlignment="1"/>
    <xf numFmtId="49" fontId="2" fillId="16" borderId="6" xfId="0" applyNumberFormat="1" applyFont="1" applyFill="1" applyBorder="1" applyAlignment="1">
      <alignment horizontal="center"/>
    </xf>
    <xf numFmtId="0" fontId="2" fillId="16" borderId="6" xfId="0" applyFont="1" applyFill="1" applyBorder="1"/>
    <xf numFmtId="49" fontId="2" fillId="16" borderId="6" xfId="0" applyNumberFormat="1" applyFont="1" applyFill="1" applyBorder="1"/>
    <xf numFmtId="0" fontId="8" fillId="16" borderId="6" xfId="0" applyFont="1" applyFill="1" applyBorder="1"/>
    <xf numFmtId="0" fontId="5" fillId="9" borderId="6" xfId="0" applyFont="1" applyFill="1" applyBorder="1"/>
    <xf numFmtId="0" fontId="9" fillId="11" borderId="0" xfId="0" applyFont="1" applyFill="1" applyBorder="1"/>
    <xf numFmtId="49" fontId="2" fillId="9" borderId="6" xfId="0" quotePrefix="1" applyNumberFormat="1" applyFont="1" applyFill="1" applyBorder="1" applyAlignment="1">
      <alignment horizontal="center"/>
    </xf>
    <xf numFmtId="0" fontId="2" fillId="17" borderId="6" xfId="0" applyFont="1" applyFill="1" applyBorder="1" applyAlignment="1">
      <alignment horizontal="center"/>
    </xf>
    <xf numFmtId="0" fontId="2" fillId="17" borderId="6" xfId="0" applyFont="1" applyFill="1" applyBorder="1"/>
    <xf numFmtId="49" fontId="2" fillId="0" borderId="6" xfId="0" applyNumberFormat="1" applyFont="1" applyBorder="1" applyAlignment="1"/>
    <xf numFmtId="49" fontId="2" fillId="17" borderId="6" xfId="0" applyNumberFormat="1" applyFont="1" applyFill="1" applyBorder="1" applyAlignment="1">
      <alignment horizontal="center"/>
    </xf>
    <xf numFmtId="49" fontId="2" fillId="17" borderId="6" xfId="0" applyNumberFormat="1" applyFont="1" applyFill="1" applyBorder="1"/>
    <xf numFmtId="0" fontId="2" fillId="17" borderId="0" xfId="0" applyFont="1" applyFill="1"/>
    <xf numFmtId="0" fontId="0" fillId="17" borderId="0" xfId="0" applyFont="1" applyFill="1" applyAlignment="1"/>
    <xf numFmtId="0" fontId="2" fillId="0" borderId="6" xfId="0" applyFont="1" applyFill="1" applyBorder="1" applyAlignment="1">
      <alignment horizontal="center"/>
    </xf>
    <xf numFmtId="49" fontId="2" fillId="0" borderId="6" xfId="0" applyNumberFormat="1" applyFont="1" applyFill="1" applyBorder="1" applyAlignment="1">
      <alignment horizontal="center"/>
    </xf>
    <xf numFmtId="0" fontId="6" fillId="0" borderId="6" xfId="0" applyFont="1" applyFill="1" applyBorder="1"/>
    <xf numFmtId="49" fontId="2" fillId="0" borderId="6" xfId="0" applyNumberFormat="1" applyFont="1" applyFill="1" applyBorder="1"/>
    <xf numFmtId="0" fontId="2" fillId="0" borderId="6" xfId="0" applyFont="1" applyFill="1" applyBorder="1"/>
    <xf numFmtId="0" fontId="2" fillId="0" borderId="0" xfId="0" applyFont="1" applyFill="1"/>
    <xf numFmtId="0" fontId="2" fillId="0" borderId="0" xfId="0" applyFont="1" applyFill="1" applyBorder="1"/>
    <xf numFmtId="0" fontId="9" fillId="9" borderId="6" xfId="0" applyFont="1" applyFill="1" applyBorder="1"/>
    <xf numFmtId="0" fontId="9" fillId="9" borderId="4" xfId="0" applyFont="1" applyFill="1" applyBorder="1"/>
    <xf numFmtId="0" fontId="2" fillId="18" borderId="6" xfId="0" applyFont="1" applyFill="1" applyBorder="1" applyAlignment="1">
      <alignment horizontal="center"/>
    </xf>
    <xf numFmtId="49" fontId="2" fillId="18" borderId="6" xfId="0" applyNumberFormat="1" applyFont="1" applyFill="1" applyBorder="1" applyAlignment="1">
      <alignment horizontal="center"/>
    </xf>
    <xf numFmtId="0" fontId="5" fillId="18" borderId="6" xfId="0" applyFont="1" applyFill="1" applyBorder="1"/>
    <xf numFmtId="49" fontId="2" fillId="18" borderId="6" xfId="0" applyNumberFormat="1" applyFont="1" applyFill="1" applyBorder="1"/>
    <xf numFmtId="0" fontId="2" fillId="18" borderId="6" xfId="0" applyFont="1" applyFill="1" applyBorder="1"/>
    <xf numFmtId="0" fontId="2" fillId="18" borderId="0" xfId="0" applyFont="1" applyFill="1"/>
    <xf numFmtId="0" fontId="0" fillId="18" borderId="0" xfId="0" applyFont="1" applyFill="1" applyAlignment="1"/>
    <xf numFmtId="0" fontId="2" fillId="2" borderId="1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wrapText="1"/>
    </xf>
    <xf numFmtId="49" fontId="2" fillId="19" borderId="6" xfId="0" applyNumberFormat="1" applyFont="1" applyFill="1" applyBorder="1" applyAlignment="1">
      <alignment horizontal="center"/>
    </xf>
    <xf numFmtId="0" fontId="2" fillId="19" borderId="6" xfId="0" applyFont="1" applyFill="1" applyBorder="1" applyAlignment="1"/>
    <xf numFmtId="49" fontId="2" fillId="19" borderId="6" xfId="0" applyNumberFormat="1" applyFont="1" applyFill="1" applyBorder="1"/>
    <xf numFmtId="0" fontId="2" fillId="19" borderId="6" xfId="0" applyFont="1" applyFill="1" applyBorder="1"/>
    <xf numFmtId="0" fontId="2" fillId="19" borderId="0" xfId="0" applyFont="1" applyFill="1" applyBorder="1"/>
    <xf numFmtId="0" fontId="2" fillId="19" borderId="0" xfId="0" applyFont="1" applyFill="1" applyBorder="1" applyAlignment="1"/>
    <xf numFmtId="0" fontId="6" fillId="11" borderId="6" xfId="0" applyFont="1" applyFill="1" applyBorder="1"/>
    <xf numFmtId="49" fontId="2" fillId="9" borderId="6" xfId="0" applyNumberFormat="1" applyFont="1" applyFill="1" applyBorder="1" applyAlignment="1"/>
    <xf numFmtId="0" fontId="2" fillId="20" borderId="0" xfId="0" applyFont="1" applyFill="1" applyBorder="1"/>
    <xf numFmtId="0" fontId="2" fillId="20" borderId="6" xfId="0" applyFont="1" applyFill="1" applyBorder="1"/>
    <xf numFmtId="0" fontId="5" fillId="9" borderId="0" xfId="0" applyFont="1" applyFill="1" applyBorder="1"/>
    <xf numFmtId="0" fontId="0" fillId="17" borderId="6" xfId="0" applyFont="1" applyFill="1" applyBorder="1"/>
    <xf numFmtId="49" fontId="2" fillId="2" borderId="6" xfId="0" applyNumberFormat="1" applyFont="1" applyFill="1" applyBorder="1" applyAlignment="1">
      <alignment horizontal="center"/>
    </xf>
    <xf numFmtId="0" fontId="5" fillId="20" borderId="6" xfId="0" applyFont="1" applyFill="1" applyBorder="1"/>
    <xf numFmtId="49" fontId="2" fillId="20" borderId="6" xfId="0" applyNumberFormat="1" applyFont="1" applyFill="1" applyBorder="1"/>
    <xf numFmtId="0" fontId="9" fillId="19" borderId="6" xfId="0" applyFont="1" applyFill="1" applyBorder="1"/>
    <xf numFmtId="0" fontId="9" fillId="19" borderId="4" xfId="0" applyFont="1" applyFill="1" applyBorder="1"/>
    <xf numFmtId="3" fontId="9" fillId="19" borderId="4" xfId="0" applyNumberFormat="1" applyFont="1" applyFill="1" applyBorder="1" applyAlignment="1"/>
    <xf numFmtId="0" fontId="2" fillId="16" borderId="0" xfId="0" applyFont="1" applyFill="1"/>
    <xf numFmtId="0" fontId="6" fillId="19" borderId="6" xfId="0" applyFont="1" applyFill="1" applyBorder="1"/>
    <xf numFmtId="0" fontId="2" fillId="19" borderId="0" xfId="0" applyFont="1" applyFill="1"/>
    <xf numFmtId="3" fontId="2" fillId="0" borderId="0" xfId="0" applyNumberFormat="1" applyFont="1" applyAlignment="1"/>
    <xf numFmtId="0" fontId="2" fillId="11" borderId="0" xfId="0" applyFont="1" applyFill="1"/>
    <xf numFmtId="0" fontId="2" fillId="9" borderId="1" xfId="0" applyFont="1" applyFill="1" applyBorder="1"/>
    <xf numFmtId="49" fontId="2" fillId="0" borderId="2" xfId="0" applyNumberFormat="1" applyFont="1" applyBorder="1"/>
    <xf numFmtId="0" fontId="0" fillId="0" borderId="7" xfId="0" applyFont="1" applyBorder="1" applyAlignment="1"/>
    <xf numFmtId="0" fontId="2" fillId="0" borderId="5" xfId="0" applyFont="1" applyBorder="1"/>
    <xf numFmtId="0" fontId="2" fillId="3" borderId="0" xfId="0" applyFont="1" applyFill="1" applyBorder="1"/>
    <xf numFmtId="0" fontId="2" fillId="16" borderId="6" xfId="0" applyFont="1" applyFill="1" applyBorder="1" applyAlignment="1">
      <alignment horizontal="center"/>
    </xf>
    <xf numFmtId="0" fontId="2" fillId="9" borderId="0" xfId="0" applyFont="1" applyFill="1"/>
    <xf numFmtId="0" fontId="1" fillId="9" borderId="0" xfId="0" applyFont="1" applyFill="1" applyAlignment="1"/>
    <xf numFmtId="0" fontId="2" fillId="16" borderId="0" xfId="0" applyFont="1" applyFill="1" applyBorder="1"/>
    <xf numFmtId="0" fontId="2" fillId="21" borderId="6" xfId="0" applyFont="1" applyFill="1" applyBorder="1" applyAlignment="1">
      <alignment horizontal="center"/>
    </xf>
    <xf numFmtId="49" fontId="2" fillId="21" borderId="6" xfId="0" quotePrefix="1" applyNumberFormat="1" applyFont="1" applyFill="1" applyBorder="1" applyAlignment="1">
      <alignment horizontal="center"/>
    </xf>
    <xf numFmtId="0" fontId="5" fillId="21" borderId="6" xfId="0" applyFont="1" applyFill="1" applyBorder="1"/>
    <xf numFmtId="49" fontId="2" fillId="21" borderId="6" xfId="0" applyNumberFormat="1" applyFont="1" applyFill="1" applyBorder="1" applyAlignment="1">
      <alignment horizontal="center"/>
    </xf>
    <xf numFmtId="0" fontId="2" fillId="21" borderId="6" xfId="0" applyFont="1" applyFill="1" applyBorder="1"/>
    <xf numFmtId="0" fontId="9" fillId="22" borderId="6" xfId="0" applyFont="1" applyFill="1" applyBorder="1"/>
    <xf numFmtId="0" fontId="9" fillId="22" borderId="4" xfId="0" applyFont="1" applyFill="1" applyBorder="1"/>
    <xf numFmtId="0" fontId="2" fillId="22" borderId="0" xfId="0" applyFont="1" applyFill="1" applyBorder="1" applyAlignment="1">
      <alignment horizontal="center"/>
    </xf>
    <xf numFmtId="0" fontId="2" fillId="22" borderId="0" xfId="0" applyFont="1" applyFill="1" applyBorder="1" applyAlignment="1"/>
    <xf numFmtId="0" fontId="2" fillId="22" borderId="0" xfId="0" applyFont="1" applyFill="1" applyBorder="1"/>
    <xf numFmtId="0" fontId="2" fillId="22" borderId="0" xfId="0" applyFont="1" applyFill="1"/>
    <xf numFmtId="0" fontId="0" fillId="23" borderId="0" xfId="0" applyFont="1" applyFill="1" applyAlignment="1"/>
    <xf numFmtId="0" fontId="9" fillId="21" borderId="6" xfId="0" applyFont="1" applyFill="1" applyBorder="1"/>
    <xf numFmtId="0" fontId="9" fillId="21" borderId="4" xfId="0" applyFont="1" applyFill="1" applyBorder="1"/>
    <xf numFmtId="0" fontId="2" fillId="21" borderId="0" xfId="0" applyFont="1" applyFill="1" applyBorder="1" applyAlignment="1">
      <alignment horizontal="center"/>
    </xf>
    <xf numFmtId="0" fontId="2" fillId="21" borderId="0" xfId="0" applyFont="1" applyFill="1" applyBorder="1" applyAlignment="1"/>
    <xf numFmtId="0" fontId="2" fillId="21" borderId="0" xfId="0" applyFont="1" applyFill="1" applyBorder="1"/>
    <xf numFmtId="0" fontId="2" fillId="21" borderId="0" xfId="0" applyFont="1" applyFill="1"/>
    <xf numFmtId="0" fontId="2" fillId="24" borderId="6" xfId="0" applyFont="1" applyFill="1" applyBorder="1" applyAlignment="1">
      <alignment horizontal="center"/>
    </xf>
    <xf numFmtId="49" fontId="2" fillId="22" borderId="6" xfId="0" applyNumberFormat="1" applyFont="1" applyFill="1" applyBorder="1" applyAlignment="1">
      <alignment horizontal="center"/>
    </xf>
    <xf numFmtId="0" fontId="2" fillId="22" borderId="6" xfId="0" applyFont="1" applyFill="1" applyBorder="1"/>
    <xf numFmtId="0" fontId="6" fillId="22" borderId="6" xfId="0" applyFont="1" applyFill="1" applyBorder="1"/>
    <xf numFmtId="0" fontId="2" fillId="23" borderId="6" xfId="0" applyFont="1" applyFill="1" applyBorder="1" applyAlignment="1">
      <alignment horizontal="center"/>
    </xf>
    <xf numFmtId="49" fontId="2" fillId="23" borderId="6" xfId="0" applyNumberFormat="1" applyFont="1" applyFill="1" applyBorder="1" applyAlignment="1">
      <alignment horizontal="center"/>
    </xf>
    <xf numFmtId="0" fontId="2" fillId="23" borderId="6" xfId="0" applyFont="1" applyFill="1" applyBorder="1"/>
    <xf numFmtId="0" fontId="2" fillId="23" borderId="0" xfId="0" applyFont="1" applyFill="1" applyAlignment="1">
      <alignment horizontal="center"/>
    </xf>
    <xf numFmtId="0" fontId="2" fillId="23" borderId="0" xfId="0" applyFont="1" applyFill="1"/>
    <xf numFmtId="0" fontId="5" fillId="23" borderId="6" xfId="0" applyFont="1" applyFill="1" applyBorder="1" applyAlignment="1"/>
    <xf numFmtId="0" fontId="5" fillId="0" borderId="6" xfId="0" applyFont="1" applyBorder="1" applyAlignment="1"/>
    <xf numFmtId="49" fontId="2" fillId="25" borderId="6" xfId="0" applyNumberFormat="1" applyFont="1" applyFill="1" applyBorder="1" applyAlignment="1">
      <alignment horizontal="center"/>
    </xf>
    <xf numFmtId="0" fontId="5" fillId="25" borderId="6" xfId="0" applyFont="1" applyFill="1" applyBorder="1"/>
    <xf numFmtId="0" fontId="2" fillId="25" borderId="6" xfId="0" applyFont="1" applyFill="1" applyBorder="1"/>
    <xf numFmtId="0" fontId="2" fillId="22" borderId="6" xfId="0" applyFont="1" applyFill="1" applyBorder="1" applyAlignment="1"/>
    <xf numFmtId="0" fontId="6" fillId="26" borderId="0" xfId="0" applyFont="1" applyFill="1" applyAlignment="1"/>
    <xf numFmtId="0" fontId="5" fillId="23" borderId="6" xfId="0" applyFont="1" applyFill="1" applyBorder="1"/>
    <xf numFmtId="0" fontId="9" fillId="23" borderId="6" xfId="0" applyFont="1" applyFill="1" applyBorder="1"/>
    <xf numFmtId="0" fontId="9" fillId="23" borderId="4" xfId="0" applyFont="1" applyFill="1" applyBorder="1"/>
    <xf numFmtId="0" fontId="9" fillId="0" borderId="6" xfId="0" applyFont="1" applyBorder="1"/>
    <xf numFmtId="0" fontId="9" fillId="0" borderId="4" xfId="0" applyFont="1" applyBorder="1"/>
    <xf numFmtId="0" fontId="2" fillId="27" borderId="0" xfId="0" applyFont="1" applyFill="1" applyBorder="1"/>
    <xf numFmtId="0" fontId="2" fillId="26" borderId="0" xfId="0" applyFont="1" applyFill="1"/>
    <xf numFmtId="0" fontId="5" fillId="25" borderId="0" xfId="0" applyFont="1" applyFill="1" applyBorder="1" applyAlignment="1"/>
    <xf numFmtId="0" fontId="9" fillId="25" borderId="6" xfId="0" applyFont="1" applyFill="1" applyBorder="1"/>
    <xf numFmtId="0" fontId="2" fillId="25" borderId="0" xfId="0" applyFont="1" applyFill="1" applyBorder="1"/>
    <xf numFmtId="0" fontId="2" fillId="23" borderId="6" xfId="0" applyFont="1" applyFill="1" applyBorder="1" applyAlignment="1"/>
    <xf numFmtId="0" fontId="9" fillId="25" borderId="4" xfId="0" applyFont="1" applyFill="1" applyBorder="1"/>
    <xf numFmtId="0" fontId="2" fillId="28" borderId="0" xfId="0" applyFont="1" applyFill="1" applyBorder="1" applyAlignment="1">
      <alignment horizontal="center"/>
    </xf>
    <xf numFmtId="0" fontId="2" fillId="28" borderId="0" xfId="0" applyFont="1" applyFill="1" applyBorder="1"/>
    <xf numFmtId="0" fontId="2" fillId="28" borderId="0" xfId="0" applyFont="1" applyFill="1"/>
    <xf numFmtId="0" fontId="5" fillId="17" borderId="6" xfId="0" applyFont="1" applyFill="1" applyBorder="1"/>
    <xf numFmtId="0" fontId="0" fillId="17" borderId="0" xfId="0" applyFont="1" applyFill="1" applyAlignment="1">
      <alignment horizontal="center"/>
    </xf>
    <xf numFmtId="0" fontId="10" fillId="24" borderId="6" xfId="0" applyFont="1" applyFill="1" applyBorder="1" applyAlignment="1"/>
    <xf numFmtId="0" fontId="1" fillId="21" borderId="0" xfId="0" applyFont="1" applyFill="1"/>
    <xf numFmtId="49" fontId="2" fillId="28" borderId="6" xfId="0" applyNumberFormat="1" applyFont="1" applyFill="1" applyBorder="1" applyAlignment="1">
      <alignment horizontal="center"/>
    </xf>
    <xf numFmtId="0" fontId="2" fillId="28" borderId="6" xfId="0" applyFont="1" applyFill="1" applyBorder="1"/>
    <xf numFmtId="0" fontId="2" fillId="28" borderId="0" xfId="0" applyFont="1" applyFill="1" applyAlignment="1">
      <alignment horizontal="center"/>
    </xf>
    <xf numFmtId="0" fontId="1" fillId="28" borderId="0" xfId="0" applyFont="1" applyFill="1" applyAlignment="1"/>
    <xf numFmtId="0" fontId="1" fillId="28" borderId="0" xfId="0" applyFont="1" applyFill="1"/>
    <xf numFmtId="0" fontId="2" fillId="29" borderId="6" xfId="0" applyFont="1" applyFill="1" applyBorder="1" applyAlignment="1">
      <alignment horizontal="center"/>
    </xf>
    <xf numFmtId="49" fontId="2" fillId="30" borderId="6" xfId="0" applyNumberFormat="1" applyFont="1" applyFill="1" applyBorder="1" applyAlignment="1">
      <alignment horizontal="center"/>
    </xf>
    <xf numFmtId="0" fontId="5" fillId="30" borderId="6" xfId="0" applyFont="1" applyFill="1" applyBorder="1"/>
    <xf numFmtId="0" fontId="2" fillId="30" borderId="6" xfId="0" applyFont="1" applyFill="1" applyBorder="1"/>
    <xf numFmtId="0" fontId="9" fillId="31" borderId="6" xfId="0" applyFont="1" applyFill="1" applyBorder="1"/>
    <xf numFmtId="0" fontId="9" fillId="31" borderId="4" xfId="0" applyFont="1" applyFill="1" applyBorder="1"/>
    <xf numFmtId="0" fontId="2" fillId="31" borderId="0" xfId="0" applyFont="1" applyFill="1" applyBorder="1" applyAlignment="1">
      <alignment horizontal="center"/>
    </xf>
    <xf numFmtId="0" fontId="2" fillId="31" borderId="0" xfId="0" applyFont="1" applyFill="1" applyBorder="1"/>
    <xf numFmtId="0" fontId="0" fillId="32" borderId="0" xfId="0" applyFont="1" applyFill="1" applyAlignment="1"/>
    <xf numFmtId="0" fontId="6" fillId="17" borderId="6" xfId="0" applyFont="1" applyFill="1" applyBorder="1" applyAlignment="1"/>
    <xf numFmtId="0" fontId="2" fillId="17" borderId="8" xfId="0" applyFont="1" applyFill="1" applyBorder="1" applyAlignment="1">
      <alignment horizontal="left"/>
    </xf>
    <xf numFmtId="0" fontId="2" fillId="17" borderId="0" xfId="0" applyFont="1" applyFill="1" applyBorder="1" applyAlignment="1">
      <alignment horizontal="left"/>
    </xf>
    <xf numFmtId="0" fontId="6" fillId="21" borderId="6" xfId="0" applyFont="1" applyFill="1" applyBorder="1" applyAlignment="1"/>
    <xf numFmtId="0" fontId="2" fillId="15" borderId="6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0" fillId="0" borderId="0" xfId="0" applyFont="1" applyFill="1" applyAlignment="1"/>
    <xf numFmtId="0" fontId="2" fillId="24" borderId="1" xfId="0" applyFont="1" applyFill="1" applyBorder="1" applyAlignment="1">
      <alignment horizontal="center"/>
    </xf>
    <xf numFmtId="49" fontId="2" fillId="22" borderId="1" xfId="0" applyNumberFormat="1" applyFont="1" applyFill="1" applyBorder="1" applyAlignment="1">
      <alignment horizontal="center"/>
    </xf>
    <xf numFmtId="0" fontId="5" fillId="22" borderId="1" xfId="0" applyFont="1" applyFill="1" applyBorder="1"/>
    <xf numFmtId="0" fontId="2" fillId="22" borderId="1" xfId="0" applyFont="1" applyFill="1" applyBorder="1"/>
    <xf numFmtId="0" fontId="2" fillId="25" borderId="1" xfId="0" applyFont="1" applyFill="1" applyBorder="1"/>
    <xf numFmtId="0" fontId="2" fillId="25" borderId="0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6" fillId="0" borderId="7" xfId="0" applyFont="1" applyBorder="1"/>
    <xf numFmtId="0" fontId="2" fillId="0" borderId="7" xfId="0" applyFont="1" applyBorder="1"/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6" fillId="0" borderId="5" xfId="0" applyFont="1" applyBorder="1"/>
    <xf numFmtId="0" fontId="2" fillId="18" borderId="0" xfId="0" applyFont="1" applyFill="1" applyAlignment="1">
      <alignment horizontal="center"/>
    </xf>
    <xf numFmtId="0" fontId="2" fillId="17" borderId="0" xfId="0" applyFont="1" applyFill="1" applyAlignment="1">
      <alignment horizontal="center"/>
    </xf>
    <xf numFmtId="0" fontId="2" fillId="33" borderId="0" xfId="0" applyFont="1" applyFill="1" applyBorder="1"/>
    <xf numFmtId="0" fontId="5" fillId="22" borderId="6" xfId="0" applyFont="1" applyFill="1" applyBorder="1"/>
    <xf numFmtId="0" fontId="2" fillId="27" borderId="0" xfId="0" applyFont="1" applyFill="1" applyBorder="1" applyAlignment="1">
      <alignment horizontal="center"/>
    </xf>
    <xf numFmtId="0" fontId="2" fillId="32" borderId="6" xfId="0" applyFont="1" applyFill="1" applyBorder="1" applyAlignment="1">
      <alignment horizontal="center"/>
    </xf>
    <xf numFmtId="49" fontId="2" fillId="29" borderId="6" xfId="0" applyNumberFormat="1" applyFont="1" applyFill="1" applyBorder="1" applyAlignment="1">
      <alignment horizontal="center"/>
    </xf>
    <xf numFmtId="0" fontId="2" fillId="29" borderId="6" xfId="0" applyFont="1" applyFill="1" applyBorder="1"/>
    <xf numFmtId="0" fontId="9" fillId="34" borderId="6" xfId="0" applyFont="1" applyFill="1" applyBorder="1"/>
    <xf numFmtId="0" fontId="9" fillId="34" borderId="4" xfId="0" applyFont="1" applyFill="1" applyBorder="1"/>
    <xf numFmtId="0" fontId="2" fillId="34" borderId="0" xfId="0" applyFont="1" applyFill="1" applyBorder="1" applyAlignment="1">
      <alignment horizontal="center"/>
    </xf>
    <xf numFmtId="0" fontId="2" fillId="34" borderId="0" xfId="0" applyFont="1" applyFill="1" applyBorder="1" applyAlignment="1"/>
    <xf numFmtId="0" fontId="2" fillId="34" borderId="0" xfId="0" applyFont="1" applyFill="1" applyBorder="1"/>
    <xf numFmtId="0" fontId="6" fillId="0" borderId="6" xfId="0" applyFont="1" applyBorder="1" applyAlignment="1"/>
    <xf numFmtId="49" fontId="2" fillId="35" borderId="6" xfId="0" applyNumberFormat="1" applyFont="1" applyFill="1" applyBorder="1" applyAlignment="1">
      <alignment horizontal="center"/>
    </xf>
    <xf numFmtId="0" fontId="5" fillId="35" borderId="6" xfId="0" applyFont="1" applyFill="1" applyBorder="1"/>
    <xf numFmtId="0" fontId="2" fillId="35" borderId="6" xfId="0" applyFont="1" applyFill="1" applyBorder="1"/>
    <xf numFmtId="0" fontId="2" fillId="35" borderId="0" xfId="0" applyFont="1" applyFill="1" applyAlignment="1">
      <alignment horizontal="center"/>
    </xf>
    <xf numFmtId="0" fontId="2" fillId="35" borderId="0" xfId="0" applyFont="1" applyFill="1"/>
    <xf numFmtId="164" fontId="2" fillId="0" borderId="0" xfId="0" applyNumberFormat="1" applyFont="1" applyFill="1"/>
    <xf numFmtId="0" fontId="4" fillId="0" borderId="5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/>
    </xf>
    <xf numFmtId="49" fontId="2" fillId="0" borderId="6" xfId="0" quotePrefix="1" applyNumberFormat="1" applyFont="1" applyFill="1" applyBorder="1" applyAlignment="1">
      <alignment horizontal="center"/>
    </xf>
    <xf numFmtId="0" fontId="5" fillId="0" borderId="6" xfId="0" applyFont="1" applyFill="1" applyBorder="1"/>
    <xf numFmtId="0" fontId="9" fillId="0" borderId="6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6" fillId="18" borderId="6" xfId="0" applyFont="1" applyFill="1" applyBorder="1"/>
    <xf numFmtId="0" fontId="1" fillId="18" borderId="4" xfId="0" applyFont="1" applyFill="1" applyBorder="1" applyAlignment="1">
      <alignment horizontal="center"/>
    </xf>
    <xf numFmtId="0" fontId="2" fillId="18" borderId="0" xfId="0" applyFont="1" applyFill="1" applyBorder="1"/>
    <xf numFmtId="0" fontId="5" fillId="17" borderId="6" xfId="0" applyFont="1" applyFill="1" applyBorder="1" applyAlignment="1"/>
    <xf numFmtId="0" fontId="1" fillId="17" borderId="4" xfId="0" applyFont="1" applyFill="1" applyBorder="1" applyAlignment="1">
      <alignment horizontal="center"/>
    </xf>
    <xf numFmtId="0" fontId="2" fillId="17" borderId="0" xfId="0" applyFont="1" applyFill="1" applyBorder="1"/>
    <xf numFmtId="0" fontId="5" fillId="0" borderId="6" xfId="0" applyFont="1" applyFill="1" applyBorder="1" applyAlignment="1"/>
    <xf numFmtId="0" fontId="9" fillId="17" borderId="6" xfId="0" applyFont="1" applyFill="1" applyBorder="1" applyAlignment="1">
      <alignment horizontal="center"/>
    </xf>
    <xf numFmtId="0" fontId="9" fillId="17" borderId="4" xfId="0" applyFont="1" applyFill="1" applyBorder="1" applyAlignment="1">
      <alignment horizontal="center"/>
    </xf>
    <xf numFmtId="0" fontId="2" fillId="17" borderId="0" xfId="0" applyFont="1" applyFill="1" applyBorder="1" applyAlignment="1"/>
    <xf numFmtId="0" fontId="2" fillId="17" borderId="6" xfId="0" applyFont="1" applyFill="1" applyBorder="1" applyAlignment="1"/>
    <xf numFmtId="0" fontId="6" fillId="18" borderId="0" xfId="0" applyFont="1" applyFill="1" applyAlignment="1"/>
    <xf numFmtId="0" fontId="2" fillId="18" borderId="0" xfId="0" applyFont="1" applyFill="1" applyBorder="1" applyAlignment="1"/>
    <xf numFmtId="0" fontId="5" fillId="17" borderId="0" xfId="0" applyFont="1" applyFill="1" applyBorder="1" applyAlignment="1"/>
    <xf numFmtId="0" fontId="2" fillId="18" borderId="6" xfId="0" applyFont="1" applyFill="1" applyBorder="1" applyAlignment="1"/>
    <xf numFmtId="0" fontId="10" fillId="0" borderId="6" xfId="0" applyFont="1" applyFill="1" applyBorder="1" applyAlignment="1"/>
    <xf numFmtId="0" fontId="1" fillId="0" borderId="0" xfId="0" applyFont="1" applyFill="1"/>
    <xf numFmtId="0" fontId="1" fillId="0" borderId="0" xfId="0" applyFont="1" applyFill="1" applyAlignment="1"/>
    <xf numFmtId="0" fontId="2" fillId="17" borderId="1" xfId="0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2" fillId="17" borderId="5" xfId="0" applyFont="1" applyFill="1" applyBorder="1" applyAlignment="1">
      <alignment horizontal="center"/>
    </xf>
    <xf numFmtId="0" fontId="2" fillId="17" borderId="8" xfId="0" applyFont="1" applyFill="1" applyBorder="1" applyAlignment="1"/>
    <xf numFmtId="0" fontId="2" fillId="0" borderId="6" xfId="0" applyFont="1" applyFill="1" applyBorder="1" applyAlignment="1"/>
    <xf numFmtId="0" fontId="6" fillId="0" borderId="6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6" fillId="17" borderId="6" xfId="0" applyFont="1" applyFill="1" applyBorder="1"/>
    <xf numFmtId="0" fontId="2" fillId="23" borderId="0" xfId="0" applyFont="1" applyFill="1" applyBorder="1"/>
    <xf numFmtId="0" fontId="6" fillId="17" borderId="0" xfId="0" applyFont="1" applyFill="1" applyAlignment="1"/>
    <xf numFmtId="0" fontId="5" fillId="0" borderId="0" xfId="0" applyFont="1" applyFill="1" applyBorder="1" applyAlignment="1"/>
    <xf numFmtId="0" fontId="10" fillId="17" borderId="6" xfId="0" applyFont="1" applyFill="1" applyBorder="1" applyAlignment="1"/>
    <xf numFmtId="0" fontId="9" fillId="18" borderId="6" xfId="0" applyFont="1" applyFill="1" applyBorder="1" applyAlignment="1">
      <alignment horizontal="center"/>
    </xf>
    <xf numFmtId="0" fontId="9" fillId="18" borderId="4" xfId="0" applyFont="1" applyFill="1" applyBorder="1" applyAlignment="1">
      <alignment horizontal="center"/>
    </xf>
    <xf numFmtId="0" fontId="1" fillId="18" borderId="0" xfId="0" applyFont="1" applyFill="1"/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8" xfId="0" applyFont="1" applyFill="1" applyBorder="1" applyAlignment="1"/>
    <xf numFmtId="0" fontId="2" fillId="18" borderId="8" xfId="0" applyFont="1" applyFill="1" applyBorder="1" applyAlignment="1"/>
    <xf numFmtId="0" fontId="2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center"/>
    </xf>
    <xf numFmtId="0" fontId="5" fillId="0" borderId="0" xfId="0" applyFont="1" applyFill="1"/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1F7C-36A0-460C-A9ED-9EE9D6A27A41}">
  <dimension ref="A1:Z1000"/>
  <sheetViews>
    <sheetView workbookViewId="0">
      <selection activeCell="A2" sqref="A2:R2"/>
    </sheetView>
  </sheetViews>
  <sheetFormatPr defaultColWidth="14.44140625" defaultRowHeight="14.4" x14ac:dyDescent="0.3"/>
  <cols>
    <col min="1" max="1" width="8.88671875" style="1" customWidth="1"/>
    <col min="2" max="2" width="10.6640625" style="1" customWidth="1"/>
    <col min="3" max="3" width="45.33203125" style="1" customWidth="1"/>
    <col min="4" max="4" width="9.44140625" style="1" customWidth="1"/>
    <col min="5" max="5" width="13.109375" style="3" customWidth="1"/>
    <col min="6" max="6" width="4" style="1" customWidth="1"/>
    <col min="7" max="7" width="3.88671875" style="1" customWidth="1"/>
    <col min="8" max="8" width="4.33203125" style="1" customWidth="1"/>
    <col min="9" max="9" width="3.6640625" style="1" customWidth="1"/>
    <col min="10" max="10" width="4.44140625" style="1" customWidth="1"/>
    <col min="11" max="13" width="4" style="1" customWidth="1"/>
    <col min="14" max="15" width="3.88671875" style="1" customWidth="1"/>
    <col min="16" max="16" width="4.33203125" style="1" customWidth="1"/>
    <col min="17" max="17" width="4.109375" style="1" customWidth="1"/>
    <col min="18" max="18" width="6.6640625" style="1" customWidth="1"/>
    <col min="19" max="19" width="13.33203125" style="1" customWidth="1"/>
    <col min="20" max="21" width="8.88671875" style="1" customWidth="1"/>
    <col min="22" max="22" width="11.44140625" style="1" customWidth="1"/>
    <col min="23" max="26" width="8.88671875" style="1" customWidth="1"/>
    <col min="27" max="16384" width="14.44140625" style="1"/>
  </cols>
  <sheetData>
    <row r="1" spans="1:24" x14ac:dyDescent="0.3">
      <c r="B1" s="2"/>
      <c r="D1" s="2"/>
    </row>
    <row r="2" spans="1:24" ht="2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24" ht="21" x14ac:dyDescent="0.4">
      <c r="A3" s="4" t="s">
        <v>1</v>
      </c>
      <c r="B3" s="5"/>
      <c r="C3" s="6">
        <f>E143+R143</f>
        <v>12560</v>
      </c>
      <c r="D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U3" s="8" t="e">
        <f>#REF!</f>
        <v>#REF!</v>
      </c>
      <c r="V3" s="9" t="e">
        <f>U3-C3</f>
        <v>#REF!</v>
      </c>
      <c r="X3" s="8">
        <v>4360</v>
      </c>
    </row>
    <row r="4" spans="1:24" x14ac:dyDescent="0.3">
      <c r="B4" s="2"/>
      <c r="D4" s="2"/>
      <c r="X4" s="8">
        <v>408</v>
      </c>
    </row>
    <row r="5" spans="1:24" x14ac:dyDescent="0.3">
      <c r="A5" s="10" t="s">
        <v>2</v>
      </c>
      <c r="B5" s="11" t="s">
        <v>3</v>
      </c>
      <c r="C5" s="10" t="s">
        <v>4</v>
      </c>
      <c r="D5" s="11" t="s">
        <v>5</v>
      </c>
      <c r="E5" s="10" t="s">
        <v>6</v>
      </c>
      <c r="F5" s="12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</row>
    <row r="6" spans="1:24" x14ac:dyDescent="0.3">
      <c r="A6" s="15"/>
      <c r="B6" s="15"/>
      <c r="C6" s="15"/>
      <c r="D6" s="15"/>
      <c r="E6" s="16"/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  <c r="O6" s="17" t="s">
        <v>17</v>
      </c>
      <c r="P6" s="17" t="s">
        <v>18</v>
      </c>
      <c r="Q6" s="17" t="s">
        <v>19</v>
      </c>
      <c r="R6" s="17" t="s">
        <v>20</v>
      </c>
      <c r="X6" s="8">
        <f>X3+X4+X5</f>
        <v>4768</v>
      </c>
    </row>
    <row r="7" spans="1:24" x14ac:dyDescent="0.3">
      <c r="A7" s="18">
        <v>1</v>
      </c>
      <c r="B7" s="19" t="s">
        <v>21</v>
      </c>
      <c r="C7" s="20" t="s">
        <v>22</v>
      </c>
      <c r="D7" s="21" t="s">
        <v>23</v>
      </c>
      <c r="E7" s="22">
        <v>20</v>
      </c>
      <c r="F7" s="18">
        <v>10</v>
      </c>
      <c r="G7" s="18">
        <v>10</v>
      </c>
      <c r="H7" s="18">
        <v>10</v>
      </c>
      <c r="I7" s="18">
        <v>10</v>
      </c>
      <c r="J7" s="18">
        <v>10</v>
      </c>
      <c r="K7" s="18">
        <v>10</v>
      </c>
      <c r="L7" s="18">
        <v>10</v>
      </c>
      <c r="M7" s="18">
        <v>10</v>
      </c>
      <c r="N7" s="18">
        <v>10</v>
      </c>
      <c r="O7" s="18">
        <v>10</v>
      </c>
      <c r="P7" s="18">
        <v>10</v>
      </c>
      <c r="Q7" s="18">
        <v>10</v>
      </c>
      <c r="R7" s="18">
        <f t="shared" ref="R7:R86" si="0">SUM(F7:Q7)</f>
        <v>120</v>
      </c>
      <c r="T7" s="8">
        <f t="shared" ref="T7:T139" si="1">IF(R7=120,(R7+E7),0)</f>
        <v>140</v>
      </c>
      <c r="U7" s="8" t="s">
        <v>24</v>
      </c>
      <c r="X7" s="8">
        <v>276.8</v>
      </c>
    </row>
    <row r="8" spans="1:24" x14ac:dyDescent="0.3">
      <c r="A8" s="18">
        <v>2</v>
      </c>
      <c r="B8" s="19" t="s">
        <v>25</v>
      </c>
      <c r="C8" s="23" t="s">
        <v>26</v>
      </c>
      <c r="D8" s="21" t="s">
        <v>27</v>
      </c>
      <c r="E8" s="22">
        <v>20</v>
      </c>
      <c r="F8" s="18">
        <v>10</v>
      </c>
      <c r="G8" s="18">
        <v>10</v>
      </c>
      <c r="H8" s="18">
        <v>10</v>
      </c>
      <c r="I8" s="18">
        <v>10</v>
      </c>
      <c r="J8" s="18">
        <v>10</v>
      </c>
      <c r="K8" s="18">
        <v>10</v>
      </c>
      <c r="L8" s="18">
        <v>10</v>
      </c>
      <c r="M8" s="18">
        <v>10</v>
      </c>
      <c r="N8" s="18">
        <v>10</v>
      </c>
      <c r="O8" s="18">
        <v>10</v>
      </c>
      <c r="P8" s="18">
        <v>10</v>
      </c>
      <c r="Q8" s="18">
        <v>10</v>
      </c>
      <c r="R8" s="18">
        <f t="shared" si="0"/>
        <v>120</v>
      </c>
      <c r="T8" s="8">
        <f t="shared" si="1"/>
        <v>140</v>
      </c>
      <c r="U8" s="8" t="s">
        <v>28</v>
      </c>
      <c r="X8" s="8">
        <f>X6-X7</f>
        <v>4491.2</v>
      </c>
    </row>
    <row r="9" spans="1:24" x14ac:dyDescent="0.3">
      <c r="A9" s="18">
        <v>3</v>
      </c>
      <c r="B9" s="21" t="s">
        <v>29</v>
      </c>
      <c r="C9" s="23" t="s">
        <v>30</v>
      </c>
      <c r="D9" s="21" t="s">
        <v>31</v>
      </c>
      <c r="E9" s="22">
        <v>20</v>
      </c>
      <c r="F9" s="18">
        <v>10</v>
      </c>
      <c r="G9" s="18">
        <v>10</v>
      </c>
      <c r="H9" s="18">
        <v>10</v>
      </c>
      <c r="I9" s="18">
        <v>10</v>
      </c>
      <c r="J9" s="18">
        <v>10</v>
      </c>
      <c r="K9" s="18">
        <v>10</v>
      </c>
      <c r="L9" s="18">
        <v>10</v>
      </c>
      <c r="M9" s="18">
        <v>10</v>
      </c>
      <c r="N9" s="18">
        <v>10</v>
      </c>
      <c r="O9" s="18">
        <v>10</v>
      </c>
      <c r="P9" s="18">
        <v>10</v>
      </c>
      <c r="Q9" s="18">
        <v>10</v>
      </c>
      <c r="R9" s="18">
        <f t="shared" si="0"/>
        <v>120</v>
      </c>
      <c r="T9" s="8">
        <f t="shared" si="1"/>
        <v>140</v>
      </c>
      <c r="U9" s="8" t="s">
        <v>24</v>
      </c>
    </row>
    <row r="10" spans="1:24" x14ac:dyDescent="0.3">
      <c r="A10" s="18">
        <v>4</v>
      </c>
      <c r="B10" s="21" t="s">
        <v>32</v>
      </c>
      <c r="C10" s="23" t="s">
        <v>33</v>
      </c>
      <c r="D10" s="21" t="s">
        <v>34</v>
      </c>
      <c r="E10" s="22">
        <v>20</v>
      </c>
      <c r="F10" s="18">
        <v>10</v>
      </c>
      <c r="G10" s="18">
        <v>10</v>
      </c>
      <c r="H10" s="18">
        <v>10</v>
      </c>
      <c r="I10" s="18">
        <v>10</v>
      </c>
      <c r="J10" s="18">
        <v>10</v>
      </c>
      <c r="K10" s="18">
        <v>10</v>
      </c>
      <c r="L10" s="18">
        <v>10</v>
      </c>
      <c r="M10" s="18">
        <v>10</v>
      </c>
      <c r="N10" s="18">
        <v>10</v>
      </c>
      <c r="O10" s="18">
        <v>10</v>
      </c>
      <c r="P10" s="18">
        <v>10</v>
      </c>
      <c r="Q10" s="18">
        <v>10</v>
      </c>
      <c r="R10" s="24">
        <f t="shared" si="0"/>
        <v>120</v>
      </c>
      <c r="T10" s="8">
        <f t="shared" si="1"/>
        <v>140</v>
      </c>
      <c r="U10" s="8" t="s">
        <v>24</v>
      </c>
      <c r="V10" s="8" t="s">
        <v>35</v>
      </c>
    </row>
    <row r="11" spans="1:24" x14ac:dyDescent="0.3">
      <c r="A11" s="18">
        <v>5</v>
      </c>
      <c r="B11" s="21" t="s">
        <v>36</v>
      </c>
      <c r="C11" s="20" t="s">
        <v>37</v>
      </c>
      <c r="D11" s="21" t="s">
        <v>38</v>
      </c>
      <c r="E11" s="22">
        <v>20</v>
      </c>
      <c r="F11" s="18">
        <v>10</v>
      </c>
      <c r="G11" s="18">
        <v>10</v>
      </c>
      <c r="H11" s="18">
        <v>10</v>
      </c>
      <c r="I11" s="18">
        <v>10</v>
      </c>
      <c r="J11" s="18">
        <v>10</v>
      </c>
      <c r="K11" s="18">
        <v>10</v>
      </c>
      <c r="L11" s="18">
        <v>10</v>
      </c>
      <c r="M11" s="18">
        <v>10</v>
      </c>
      <c r="N11" s="18">
        <v>10</v>
      </c>
      <c r="O11" s="18">
        <v>10</v>
      </c>
      <c r="P11" s="18">
        <v>10</v>
      </c>
      <c r="Q11" s="18">
        <v>10</v>
      </c>
      <c r="R11" s="18">
        <f t="shared" si="0"/>
        <v>120</v>
      </c>
      <c r="T11" s="8">
        <f t="shared" si="1"/>
        <v>140</v>
      </c>
      <c r="U11" s="8" t="s">
        <v>28</v>
      </c>
    </row>
    <row r="12" spans="1:24" x14ac:dyDescent="0.3">
      <c r="A12" s="18">
        <v>6</v>
      </c>
      <c r="B12" s="21" t="s">
        <v>39</v>
      </c>
      <c r="C12" s="25" t="s">
        <v>40</v>
      </c>
      <c r="D12" s="21" t="s">
        <v>41</v>
      </c>
      <c r="E12" s="22">
        <v>20</v>
      </c>
      <c r="F12" s="18">
        <v>10</v>
      </c>
      <c r="G12" s="18">
        <v>10</v>
      </c>
      <c r="H12" s="18">
        <v>10</v>
      </c>
      <c r="I12" s="18">
        <v>10</v>
      </c>
      <c r="J12" s="18">
        <v>10</v>
      </c>
      <c r="K12" s="18">
        <v>10</v>
      </c>
      <c r="L12" s="18">
        <v>10</v>
      </c>
      <c r="M12" s="18">
        <v>10</v>
      </c>
      <c r="N12" s="18">
        <v>10</v>
      </c>
      <c r="O12" s="18">
        <v>10</v>
      </c>
      <c r="P12" s="18">
        <v>10</v>
      </c>
      <c r="Q12" s="18">
        <v>10</v>
      </c>
      <c r="R12" s="18">
        <f t="shared" si="0"/>
        <v>120</v>
      </c>
      <c r="T12" s="8">
        <f t="shared" si="1"/>
        <v>140</v>
      </c>
      <c r="U12" s="8" t="s">
        <v>42</v>
      </c>
    </row>
    <row r="13" spans="1:24" x14ac:dyDescent="0.3">
      <c r="A13" s="18">
        <v>7</v>
      </c>
      <c r="B13" s="21" t="s">
        <v>43</v>
      </c>
      <c r="C13" s="23" t="s">
        <v>44</v>
      </c>
      <c r="D13" s="21" t="s">
        <v>45</v>
      </c>
      <c r="E13" s="22">
        <v>20</v>
      </c>
      <c r="F13" s="18">
        <v>10</v>
      </c>
      <c r="G13" s="18">
        <v>10</v>
      </c>
      <c r="H13" s="18">
        <v>10</v>
      </c>
      <c r="I13" s="18">
        <v>10</v>
      </c>
      <c r="J13" s="18">
        <v>10</v>
      </c>
      <c r="K13" s="18">
        <v>10</v>
      </c>
      <c r="L13" s="18">
        <v>10</v>
      </c>
      <c r="M13" s="18">
        <v>10</v>
      </c>
      <c r="N13" s="18">
        <v>10</v>
      </c>
      <c r="O13" s="18">
        <v>10</v>
      </c>
      <c r="P13" s="18">
        <v>10</v>
      </c>
      <c r="Q13" s="18">
        <v>10</v>
      </c>
      <c r="R13" s="18">
        <f t="shared" si="0"/>
        <v>120</v>
      </c>
      <c r="T13" s="8">
        <f t="shared" si="1"/>
        <v>140</v>
      </c>
      <c r="U13" s="8" t="s">
        <v>24</v>
      </c>
    </row>
    <row r="14" spans="1:24" x14ac:dyDescent="0.3">
      <c r="A14" s="18">
        <v>8</v>
      </c>
      <c r="B14" s="21" t="s">
        <v>46</v>
      </c>
      <c r="C14" s="26" t="s">
        <v>47</v>
      </c>
      <c r="D14" s="21" t="s">
        <v>48</v>
      </c>
      <c r="E14" s="22">
        <v>20</v>
      </c>
      <c r="F14" s="18">
        <v>10</v>
      </c>
      <c r="G14" s="18">
        <v>10</v>
      </c>
      <c r="H14" s="18">
        <v>10</v>
      </c>
      <c r="I14" s="18">
        <v>10</v>
      </c>
      <c r="J14" s="18">
        <v>10</v>
      </c>
      <c r="K14" s="18">
        <v>10</v>
      </c>
      <c r="L14" s="18">
        <v>10</v>
      </c>
      <c r="M14" s="18">
        <v>10</v>
      </c>
      <c r="N14" s="18">
        <v>10</v>
      </c>
      <c r="O14" s="18">
        <v>10</v>
      </c>
      <c r="P14" s="18">
        <v>10</v>
      </c>
      <c r="Q14" s="18">
        <v>10</v>
      </c>
      <c r="R14" s="24">
        <f t="shared" si="0"/>
        <v>120</v>
      </c>
      <c r="T14" s="8">
        <f t="shared" si="1"/>
        <v>140</v>
      </c>
      <c r="U14" s="8" t="s">
        <v>24</v>
      </c>
    </row>
    <row r="15" spans="1:24" x14ac:dyDescent="0.3">
      <c r="A15" s="18">
        <v>9</v>
      </c>
      <c r="B15" s="21" t="s">
        <v>49</v>
      </c>
      <c r="C15" s="25" t="s">
        <v>50</v>
      </c>
      <c r="D15" s="21" t="s">
        <v>51</v>
      </c>
      <c r="E15" s="22">
        <v>20</v>
      </c>
      <c r="F15" s="18">
        <v>10</v>
      </c>
      <c r="G15" s="18">
        <v>10</v>
      </c>
      <c r="H15" s="18">
        <v>10</v>
      </c>
      <c r="I15" s="18">
        <v>10</v>
      </c>
      <c r="J15" s="18">
        <v>10</v>
      </c>
      <c r="K15" s="18">
        <v>10</v>
      </c>
      <c r="L15" s="18">
        <v>10</v>
      </c>
      <c r="M15" s="18">
        <v>10</v>
      </c>
      <c r="N15" s="18">
        <v>10</v>
      </c>
      <c r="O15" s="18">
        <v>10</v>
      </c>
      <c r="P15" s="18">
        <v>10</v>
      </c>
      <c r="Q15" s="18">
        <v>10</v>
      </c>
      <c r="R15" s="18">
        <f t="shared" si="0"/>
        <v>120</v>
      </c>
      <c r="T15" s="8">
        <f t="shared" si="1"/>
        <v>140</v>
      </c>
      <c r="U15" s="8" t="s">
        <v>42</v>
      </c>
    </row>
    <row r="16" spans="1:24" x14ac:dyDescent="0.3">
      <c r="A16" s="18">
        <v>10</v>
      </c>
      <c r="B16" s="21" t="s">
        <v>52</v>
      </c>
      <c r="C16" s="20" t="s">
        <v>53</v>
      </c>
      <c r="D16" s="21" t="s">
        <v>54</v>
      </c>
      <c r="E16" s="22">
        <v>20</v>
      </c>
      <c r="F16" s="18">
        <v>10</v>
      </c>
      <c r="G16" s="18">
        <v>10</v>
      </c>
      <c r="H16" s="18">
        <v>10</v>
      </c>
      <c r="I16" s="18">
        <v>10</v>
      </c>
      <c r="J16" s="18">
        <v>10</v>
      </c>
      <c r="K16" s="18">
        <v>10</v>
      </c>
      <c r="L16" s="18">
        <v>10</v>
      </c>
      <c r="M16" s="18">
        <v>10</v>
      </c>
      <c r="N16" s="18">
        <v>10</v>
      </c>
      <c r="O16" s="18">
        <v>10</v>
      </c>
      <c r="P16" s="18">
        <v>10</v>
      </c>
      <c r="Q16" s="18">
        <v>10</v>
      </c>
      <c r="R16" s="18">
        <f t="shared" si="0"/>
        <v>120</v>
      </c>
      <c r="T16" s="8">
        <f t="shared" si="1"/>
        <v>140</v>
      </c>
      <c r="U16" s="8" t="s">
        <v>28</v>
      </c>
    </row>
    <row r="17" spans="1:22" x14ac:dyDescent="0.3">
      <c r="A17" s="18">
        <v>11</v>
      </c>
      <c r="B17" s="21" t="s">
        <v>55</v>
      </c>
      <c r="C17" s="20" t="s">
        <v>56</v>
      </c>
      <c r="D17" s="21" t="s">
        <v>57</v>
      </c>
      <c r="E17" s="22">
        <v>20</v>
      </c>
      <c r="F17" s="18">
        <v>10</v>
      </c>
      <c r="G17" s="18">
        <v>10</v>
      </c>
      <c r="H17" s="18">
        <v>10</v>
      </c>
      <c r="I17" s="18">
        <v>10</v>
      </c>
      <c r="J17" s="18">
        <v>10</v>
      </c>
      <c r="K17" s="18">
        <v>10</v>
      </c>
      <c r="L17" s="18">
        <v>10</v>
      </c>
      <c r="M17" s="18">
        <v>10</v>
      </c>
      <c r="N17" s="18">
        <v>10</v>
      </c>
      <c r="O17" s="18">
        <v>10</v>
      </c>
      <c r="P17" s="18">
        <v>10</v>
      </c>
      <c r="Q17" s="18">
        <v>10</v>
      </c>
      <c r="R17" s="18">
        <f t="shared" si="0"/>
        <v>120</v>
      </c>
      <c r="T17" s="8">
        <f t="shared" si="1"/>
        <v>140</v>
      </c>
      <c r="U17" s="8" t="s">
        <v>24</v>
      </c>
    </row>
    <row r="18" spans="1:22" x14ac:dyDescent="0.3">
      <c r="A18" s="18">
        <v>12</v>
      </c>
      <c r="B18" s="21" t="s">
        <v>58</v>
      </c>
      <c r="C18" s="20" t="s">
        <v>59</v>
      </c>
      <c r="D18" s="21" t="s">
        <v>60</v>
      </c>
      <c r="E18" s="22">
        <v>20</v>
      </c>
      <c r="F18" s="18">
        <v>10</v>
      </c>
      <c r="G18" s="18">
        <v>10</v>
      </c>
      <c r="H18" s="18">
        <v>10</v>
      </c>
      <c r="I18" s="18">
        <v>10</v>
      </c>
      <c r="J18" s="18">
        <v>10</v>
      </c>
      <c r="K18" s="18">
        <v>10</v>
      </c>
      <c r="L18" s="18">
        <v>10</v>
      </c>
      <c r="M18" s="18">
        <v>10</v>
      </c>
      <c r="N18" s="18">
        <v>10</v>
      </c>
      <c r="O18" s="18">
        <v>10</v>
      </c>
      <c r="P18" s="18">
        <v>10</v>
      </c>
      <c r="Q18" s="18">
        <v>10</v>
      </c>
      <c r="R18" s="18">
        <f t="shared" si="0"/>
        <v>120</v>
      </c>
      <c r="T18" s="8">
        <f t="shared" si="1"/>
        <v>140</v>
      </c>
      <c r="U18" s="8" t="s">
        <v>24</v>
      </c>
    </row>
    <row r="19" spans="1:22" x14ac:dyDescent="0.3">
      <c r="A19" s="18">
        <v>13</v>
      </c>
      <c r="B19" s="21" t="s">
        <v>61</v>
      </c>
      <c r="C19" s="23" t="s">
        <v>62</v>
      </c>
      <c r="D19" s="21" t="s">
        <v>63</v>
      </c>
      <c r="E19" s="22">
        <v>20</v>
      </c>
      <c r="F19" s="18">
        <v>10</v>
      </c>
      <c r="G19" s="18">
        <v>10</v>
      </c>
      <c r="H19" s="18">
        <v>10</v>
      </c>
      <c r="I19" s="18">
        <v>10</v>
      </c>
      <c r="J19" s="18">
        <v>10</v>
      </c>
      <c r="K19" s="18">
        <v>10</v>
      </c>
      <c r="L19" s="18">
        <v>10</v>
      </c>
      <c r="M19" s="18">
        <v>10</v>
      </c>
      <c r="N19" s="18">
        <v>10</v>
      </c>
      <c r="O19" s="18">
        <v>10</v>
      </c>
      <c r="P19" s="18">
        <v>10</v>
      </c>
      <c r="Q19" s="18">
        <v>10</v>
      </c>
      <c r="R19" s="24">
        <f t="shared" si="0"/>
        <v>120</v>
      </c>
      <c r="T19" s="8">
        <f t="shared" si="1"/>
        <v>140</v>
      </c>
      <c r="U19" s="8" t="s">
        <v>24</v>
      </c>
      <c r="V19" s="8" t="s">
        <v>64</v>
      </c>
    </row>
    <row r="20" spans="1:22" x14ac:dyDescent="0.3">
      <c r="A20" s="18">
        <v>14</v>
      </c>
      <c r="B20" s="21" t="s">
        <v>65</v>
      </c>
      <c r="C20" s="26" t="s">
        <v>66</v>
      </c>
      <c r="D20" s="21" t="s">
        <v>67</v>
      </c>
      <c r="E20" s="22">
        <v>20</v>
      </c>
      <c r="F20" s="18">
        <v>10</v>
      </c>
      <c r="G20" s="18">
        <v>10</v>
      </c>
      <c r="H20" s="18">
        <v>10</v>
      </c>
      <c r="I20" s="18">
        <v>10</v>
      </c>
      <c r="J20" s="18">
        <v>10</v>
      </c>
      <c r="K20" s="18">
        <v>10</v>
      </c>
      <c r="L20" s="18">
        <v>10</v>
      </c>
      <c r="M20" s="18">
        <v>10</v>
      </c>
      <c r="N20" s="18">
        <v>10</v>
      </c>
      <c r="O20" s="18">
        <v>10</v>
      </c>
      <c r="P20" s="18">
        <v>10</v>
      </c>
      <c r="Q20" s="18">
        <v>10</v>
      </c>
      <c r="R20" s="18">
        <f t="shared" si="0"/>
        <v>120</v>
      </c>
      <c r="T20" s="8">
        <f t="shared" si="1"/>
        <v>140</v>
      </c>
      <c r="U20" s="8" t="s">
        <v>42</v>
      </c>
    </row>
    <row r="21" spans="1:22" ht="15.75" customHeight="1" x14ac:dyDescent="0.3">
      <c r="A21" s="18">
        <v>15</v>
      </c>
      <c r="B21" s="21" t="s">
        <v>68</v>
      </c>
      <c r="C21" s="23" t="s">
        <v>69</v>
      </c>
      <c r="D21" s="21" t="s">
        <v>70</v>
      </c>
      <c r="E21" s="22">
        <v>20</v>
      </c>
      <c r="F21" s="18">
        <v>10</v>
      </c>
      <c r="G21" s="18">
        <v>10</v>
      </c>
      <c r="H21" s="18">
        <v>10</v>
      </c>
      <c r="I21" s="18">
        <v>10</v>
      </c>
      <c r="J21" s="18">
        <v>10</v>
      </c>
      <c r="K21" s="18">
        <v>10</v>
      </c>
      <c r="L21" s="18">
        <v>10</v>
      </c>
      <c r="M21" s="18">
        <v>10</v>
      </c>
      <c r="N21" s="18">
        <v>10</v>
      </c>
      <c r="O21" s="18">
        <v>10</v>
      </c>
      <c r="P21" s="18">
        <v>10</v>
      </c>
      <c r="Q21" s="18">
        <v>10</v>
      </c>
      <c r="R21" s="18">
        <f t="shared" si="0"/>
        <v>120</v>
      </c>
      <c r="T21" s="8">
        <f t="shared" si="1"/>
        <v>140</v>
      </c>
      <c r="U21" s="8" t="s">
        <v>24</v>
      </c>
    </row>
    <row r="22" spans="1:22" ht="15.75" customHeight="1" x14ac:dyDescent="0.3">
      <c r="A22" s="18">
        <v>16</v>
      </c>
      <c r="B22" s="21" t="s">
        <v>71</v>
      </c>
      <c r="C22" s="26" t="s">
        <v>72</v>
      </c>
      <c r="D22" s="21" t="s">
        <v>73</v>
      </c>
      <c r="E22" s="22">
        <v>20</v>
      </c>
      <c r="F22" s="18">
        <v>10</v>
      </c>
      <c r="G22" s="18">
        <v>10</v>
      </c>
      <c r="H22" s="18">
        <v>10</v>
      </c>
      <c r="I22" s="18">
        <v>10</v>
      </c>
      <c r="J22" s="18">
        <v>10</v>
      </c>
      <c r="K22" s="18">
        <v>10</v>
      </c>
      <c r="L22" s="18">
        <v>10</v>
      </c>
      <c r="M22" s="18">
        <v>10</v>
      </c>
      <c r="N22" s="18">
        <v>10</v>
      </c>
      <c r="O22" s="18">
        <v>10</v>
      </c>
      <c r="P22" s="18">
        <v>10</v>
      </c>
      <c r="Q22" s="18">
        <v>10</v>
      </c>
      <c r="R22" s="18">
        <f t="shared" si="0"/>
        <v>120</v>
      </c>
      <c r="T22" s="8">
        <f t="shared" si="1"/>
        <v>140</v>
      </c>
      <c r="U22" s="8" t="s">
        <v>42</v>
      </c>
    </row>
    <row r="23" spans="1:22" ht="15.75" customHeight="1" x14ac:dyDescent="0.3">
      <c r="A23" s="18">
        <v>17</v>
      </c>
      <c r="B23" s="21" t="s">
        <v>74</v>
      </c>
      <c r="C23" s="20" t="s">
        <v>75</v>
      </c>
      <c r="D23" s="21" t="s">
        <v>76</v>
      </c>
      <c r="E23" s="22">
        <v>20</v>
      </c>
      <c r="F23" s="18">
        <v>10</v>
      </c>
      <c r="G23" s="18">
        <v>10</v>
      </c>
      <c r="H23" s="18">
        <v>10</v>
      </c>
      <c r="I23" s="18">
        <v>10</v>
      </c>
      <c r="J23" s="18">
        <v>10</v>
      </c>
      <c r="K23" s="18">
        <v>10</v>
      </c>
      <c r="L23" s="18">
        <v>10</v>
      </c>
      <c r="M23" s="18">
        <v>10</v>
      </c>
      <c r="N23" s="18">
        <v>10</v>
      </c>
      <c r="O23" s="18">
        <v>10</v>
      </c>
      <c r="P23" s="18">
        <v>10</v>
      </c>
      <c r="Q23" s="18">
        <v>10</v>
      </c>
      <c r="R23" s="18">
        <f t="shared" si="0"/>
        <v>120</v>
      </c>
      <c r="T23" s="8">
        <f t="shared" si="1"/>
        <v>140</v>
      </c>
      <c r="U23" s="8" t="s">
        <v>28</v>
      </c>
    </row>
    <row r="24" spans="1:22" ht="15.75" customHeight="1" x14ac:dyDescent="0.3">
      <c r="A24" s="18">
        <v>18</v>
      </c>
      <c r="B24" s="21" t="s">
        <v>77</v>
      </c>
      <c r="C24" s="25" t="s">
        <v>78</v>
      </c>
      <c r="D24" s="21" t="s">
        <v>79</v>
      </c>
      <c r="E24" s="22">
        <v>20</v>
      </c>
      <c r="F24" s="18">
        <v>10</v>
      </c>
      <c r="G24" s="18">
        <v>10</v>
      </c>
      <c r="H24" s="18">
        <v>10</v>
      </c>
      <c r="I24" s="18">
        <v>10</v>
      </c>
      <c r="J24" s="18">
        <v>10</v>
      </c>
      <c r="K24" s="18">
        <v>10</v>
      </c>
      <c r="L24" s="18">
        <v>10</v>
      </c>
      <c r="M24" s="18">
        <v>10</v>
      </c>
      <c r="N24" s="18">
        <v>10</v>
      </c>
      <c r="O24" s="18">
        <v>10</v>
      </c>
      <c r="P24" s="18">
        <v>10</v>
      </c>
      <c r="Q24" s="18">
        <v>10</v>
      </c>
      <c r="R24" s="18">
        <f t="shared" si="0"/>
        <v>120</v>
      </c>
      <c r="T24" s="8">
        <f t="shared" si="1"/>
        <v>140</v>
      </c>
      <c r="U24" s="8" t="s">
        <v>42</v>
      </c>
    </row>
    <row r="25" spans="1:22" ht="15.75" customHeight="1" x14ac:dyDescent="0.3">
      <c r="A25" s="18">
        <v>19</v>
      </c>
      <c r="B25" s="21" t="s">
        <v>80</v>
      </c>
      <c r="C25" s="23" t="s">
        <v>81</v>
      </c>
      <c r="D25" s="21" t="s">
        <v>82</v>
      </c>
      <c r="E25" s="22">
        <v>20</v>
      </c>
      <c r="F25" s="18">
        <v>10</v>
      </c>
      <c r="G25" s="18">
        <v>10</v>
      </c>
      <c r="H25" s="18">
        <v>10</v>
      </c>
      <c r="I25" s="18">
        <v>10</v>
      </c>
      <c r="J25" s="18">
        <v>10</v>
      </c>
      <c r="K25" s="18">
        <v>10</v>
      </c>
      <c r="L25" s="18">
        <v>10</v>
      </c>
      <c r="M25" s="18">
        <v>10</v>
      </c>
      <c r="N25" s="18">
        <v>10</v>
      </c>
      <c r="O25" s="18">
        <v>10</v>
      </c>
      <c r="P25" s="18">
        <v>10</v>
      </c>
      <c r="Q25" s="18">
        <v>10</v>
      </c>
      <c r="R25" s="18">
        <f t="shared" si="0"/>
        <v>120</v>
      </c>
      <c r="T25" s="8">
        <f t="shared" si="1"/>
        <v>140</v>
      </c>
      <c r="U25" s="8" t="s">
        <v>24</v>
      </c>
    </row>
    <row r="26" spans="1:22" ht="15.75" customHeight="1" x14ac:dyDescent="0.3">
      <c r="A26" s="18">
        <v>20</v>
      </c>
      <c r="B26" s="21" t="s">
        <v>83</v>
      </c>
      <c r="C26" s="20" t="s">
        <v>84</v>
      </c>
      <c r="D26" s="21" t="s">
        <v>85</v>
      </c>
      <c r="E26" s="22">
        <v>20</v>
      </c>
      <c r="F26" s="18">
        <v>10</v>
      </c>
      <c r="G26" s="18">
        <v>10</v>
      </c>
      <c r="H26" s="18">
        <v>10</v>
      </c>
      <c r="I26" s="18">
        <v>10</v>
      </c>
      <c r="J26" s="18">
        <v>10</v>
      </c>
      <c r="K26" s="18">
        <v>10</v>
      </c>
      <c r="L26" s="18">
        <v>10</v>
      </c>
      <c r="M26" s="18">
        <v>10</v>
      </c>
      <c r="N26" s="18">
        <v>10</v>
      </c>
      <c r="O26" s="18">
        <v>10</v>
      </c>
      <c r="P26" s="18">
        <v>10</v>
      </c>
      <c r="Q26" s="18">
        <v>10</v>
      </c>
      <c r="R26" s="18">
        <f t="shared" si="0"/>
        <v>120</v>
      </c>
      <c r="T26" s="8">
        <f t="shared" si="1"/>
        <v>140</v>
      </c>
      <c r="U26" s="8" t="s">
        <v>28</v>
      </c>
    </row>
    <row r="27" spans="1:22" ht="15.75" customHeight="1" x14ac:dyDescent="0.3">
      <c r="A27" s="18">
        <v>21</v>
      </c>
      <c r="B27" s="21" t="s">
        <v>86</v>
      </c>
      <c r="C27" s="20" t="s">
        <v>87</v>
      </c>
      <c r="D27" s="21" t="s">
        <v>88</v>
      </c>
      <c r="E27" s="22">
        <v>20</v>
      </c>
      <c r="F27" s="18">
        <v>10</v>
      </c>
      <c r="G27" s="18">
        <v>10</v>
      </c>
      <c r="H27" s="18">
        <v>10</v>
      </c>
      <c r="I27" s="18">
        <v>10</v>
      </c>
      <c r="J27" s="18">
        <v>10</v>
      </c>
      <c r="K27" s="18">
        <v>10</v>
      </c>
      <c r="L27" s="18">
        <v>10</v>
      </c>
      <c r="M27" s="18">
        <v>10</v>
      </c>
      <c r="N27" s="18">
        <v>10</v>
      </c>
      <c r="O27" s="18">
        <v>10</v>
      </c>
      <c r="P27" s="18">
        <v>10</v>
      </c>
      <c r="Q27" s="18">
        <v>10</v>
      </c>
      <c r="R27" s="18">
        <f t="shared" si="0"/>
        <v>120</v>
      </c>
      <c r="T27" s="8">
        <f t="shared" si="1"/>
        <v>140</v>
      </c>
      <c r="U27" s="8" t="s">
        <v>24</v>
      </c>
    </row>
    <row r="28" spans="1:22" ht="15.75" customHeight="1" x14ac:dyDescent="0.3">
      <c r="A28" s="18">
        <v>22</v>
      </c>
      <c r="B28" s="21" t="s">
        <v>89</v>
      </c>
      <c r="C28" s="20" t="s">
        <v>90</v>
      </c>
      <c r="D28" s="21" t="s">
        <v>91</v>
      </c>
      <c r="E28" s="22">
        <v>20</v>
      </c>
      <c r="F28" s="18">
        <v>10</v>
      </c>
      <c r="G28" s="18">
        <v>10</v>
      </c>
      <c r="H28" s="18">
        <v>10</v>
      </c>
      <c r="I28" s="18">
        <v>10</v>
      </c>
      <c r="J28" s="18">
        <v>10</v>
      </c>
      <c r="K28" s="18">
        <v>10</v>
      </c>
      <c r="L28" s="18">
        <v>10</v>
      </c>
      <c r="M28" s="18">
        <v>10</v>
      </c>
      <c r="N28" s="18">
        <v>10</v>
      </c>
      <c r="O28" s="18">
        <v>10</v>
      </c>
      <c r="P28" s="18">
        <v>10</v>
      </c>
      <c r="Q28" s="18">
        <v>10</v>
      </c>
      <c r="R28" s="18">
        <f t="shared" si="0"/>
        <v>120</v>
      </c>
      <c r="T28" s="8">
        <f t="shared" si="1"/>
        <v>140</v>
      </c>
      <c r="U28" s="8" t="s">
        <v>24</v>
      </c>
    </row>
    <row r="29" spans="1:22" ht="15.75" customHeight="1" x14ac:dyDescent="0.3">
      <c r="A29" s="18">
        <v>23</v>
      </c>
      <c r="B29" s="21" t="s">
        <v>92</v>
      </c>
      <c r="C29" s="26" t="s">
        <v>93</v>
      </c>
      <c r="D29" s="21" t="s">
        <v>94</v>
      </c>
      <c r="E29" s="22">
        <v>20</v>
      </c>
      <c r="F29" s="18">
        <v>10</v>
      </c>
      <c r="G29" s="18">
        <v>10</v>
      </c>
      <c r="H29" s="18">
        <v>10</v>
      </c>
      <c r="I29" s="18">
        <v>10</v>
      </c>
      <c r="J29" s="18">
        <v>10</v>
      </c>
      <c r="K29" s="18">
        <v>10</v>
      </c>
      <c r="L29" s="18">
        <v>10</v>
      </c>
      <c r="M29" s="18">
        <v>10</v>
      </c>
      <c r="N29" s="18">
        <v>10</v>
      </c>
      <c r="O29" s="18">
        <v>10</v>
      </c>
      <c r="P29" s="18">
        <v>10</v>
      </c>
      <c r="Q29" s="18">
        <v>10</v>
      </c>
      <c r="R29" s="18">
        <f t="shared" si="0"/>
        <v>120</v>
      </c>
      <c r="T29" s="8">
        <f t="shared" si="1"/>
        <v>140</v>
      </c>
      <c r="U29" s="8" t="s">
        <v>42</v>
      </c>
    </row>
    <row r="30" spans="1:22" ht="15.75" customHeight="1" x14ac:dyDescent="0.3">
      <c r="A30" s="18">
        <v>24</v>
      </c>
      <c r="B30" s="21" t="s">
        <v>95</v>
      </c>
      <c r="C30" s="25" t="s">
        <v>96</v>
      </c>
      <c r="D30" s="21" t="s">
        <v>97</v>
      </c>
      <c r="E30" s="22">
        <v>20</v>
      </c>
      <c r="F30" s="18">
        <v>10</v>
      </c>
      <c r="G30" s="18">
        <v>10</v>
      </c>
      <c r="H30" s="18">
        <v>10</v>
      </c>
      <c r="I30" s="18">
        <v>10</v>
      </c>
      <c r="J30" s="18">
        <v>10</v>
      </c>
      <c r="K30" s="18">
        <v>10</v>
      </c>
      <c r="L30" s="18">
        <v>10</v>
      </c>
      <c r="M30" s="18">
        <v>10</v>
      </c>
      <c r="N30" s="18">
        <v>10</v>
      </c>
      <c r="O30" s="18">
        <v>10</v>
      </c>
      <c r="P30" s="18">
        <v>10</v>
      </c>
      <c r="Q30" s="18">
        <v>10</v>
      </c>
      <c r="R30" s="18">
        <f t="shared" si="0"/>
        <v>120</v>
      </c>
      <c r="T30" s="8">
        <f t="shared" si="1"/>
        <v>140</v>
      </c>
      <c r="U30" s="8" t="s">
        <v>42</v>
      </c>
    </row>
    <row r="31" spans="1:22" ht="15.75" customHeight="1" x14ac:dyDescent="0.3">
      <c r="A31" s="18">
        <v>25</v>
      </c>
      <c r="B31" s="21" t="s">
        <v>98</v>
      </c>
      <c r="C31" s="25" t="s">
        <v>99</v>
      </c>
      <c r="D31" s="21" t="s">
        <v>100</v>
      </c>
      <c r="E31" s="22">
        <v>20</v>
      </c>
      <c r="F31" s="18">
        <v>10</v>
      </c>
      <c r="G31" s="18">
        <v>10</v>
      </c>
      <c r="H31" s="18">
        <v>10</v>
      </c>
      <c r="I31" s="18">
        <v>10</v>
      </c>
      <c r="J31" s="18">
        <v>10</v>
      </c>
      <c r="K31" s="18">
        <v>10</v>
      </c>
      <c r="L31" s="18">
        <v>10</v>
      </c>
      <c r="M31" s="18">
        <v>10</v>
      </c>
      <c r="N31" s="18">
        <v>10</v>
      </c>
      <c r="O31" s="18">
        <v>10</v>
      </c>
      <c r="P31" s="18">
        <v>10</v>
      </c>
      <c r="Q31" s="18">
        <v>10</v>
      </c>
      <c r="R31" s="18">
        <f t="shared" si="0"/>
        <v>120</v>
      </c>
      <c r="T31" s="8">
        <f t="shared" si="1"/>
        <v>140</v>
      </c>
      <c r="U31" s="8" t="s">
        <v>42</v>
      </c>
    </row>
    <row r="32" spans="1:22" ht="15.75" customHeight="1" x14ac:dyDescent="0.3">
      <c r="A32" s="18">
        <v>26</v>
      </c>
      <c r="B32" s="21" t="s">
        <v>101</v>
      </c>
      <c r="C32" s="23" t="s">
        <v>102</v>
      </c>
      <c r="D32" s="21" t="s">
        <v>103</v>
      </c>
      <c r="E32" s="22">
        <v>20</v>
      </c>
      <c r="F32" s="18">
        <v>10</v>
      </c>
      <c r="G32" s="18">
        <v>10</v>
      </c>
      <c r="H32" s="18">
        <v>10</v>
      </c>
      <c r="I32" s="18">
        <v>10</v>
      </c>
      <c r="J32" s="18">
        <v>10</v>
      </c>
      <c r="K32" s="18">
        <v>10</v>
      </c>
      <c r="L32" s="18">
        <v>10</v>
      </c>
      <c r="M32" s="18">
        <v>10</v>
      </c>
      <c r="N32" s="18">
        <v>10</v>
      </c>
      <c r="O32" s="18">
        <v>10</v>
      </c>
      <c r="P32" s="18">
        <v>10</v>
      </c>
      <c r="Q32" s="18">
        <v>10</v>
      </c>
      <c r="R32" s="18">
        <f t="shared" si="0"/>
        <v>120</v>
      </c>
      <c r="T32" s="8">
        <f t="shared" si="1"/>
        <v>140</v>
      </c>
      <c r="U32" s="8" t="s">
        <v>24</v>
      </c>
    </row>
    <row r="33" spans="1:26" ht="15.75" customHeight="1" x14ac:dyDescent="0.3">
      <c r="A33" s="18">
        <v>27</v>
      </c>
      <c r="B33" s="21" t="s">
        <v>104</v>
      </c>
      <c r="C33" s="25" t="s">
        <v>105</v>
      </c>
      <c r="D33" s="21" t="s">
        <v>106</v>
      </c>
      <c r="E33" s="22">
        <v>20</v>
      </c>
      <c r="F33" s="18">
        <v>10</v>
      </c>
      <c r="G33" s="18">
        <v>10</v>
      </c>
      <c r="H33" s="18">
        <v>10</v>
      </c>
      <c r="I33" s="18">
        <v>10</v>
      </c>
      <c r="J33" s="18">
        <v>10</v>
      </c>
      <c r="K33" s="18">
        <v>10</v>
      </c>
      <c r="L33" s="18">
        <v>10</v>
      </c>
      <c r="M33" s="18">
        <v>10</v>
      </c>
      <c r="N33" s="18">
        <v>10</v>
      </c>
      <c r="O33" s="18">
        <v>10</v>
      </c>
      <c r="P33" s="18">
        <v>10</v>
      </c>
      <c r="Q33" s="18">
        <v>10</v>
      </c>
      <c r="R33" s="18">
        <f t="shared" si="0"/>
        <v>120</v>
      </c>
      <c r="T33" s="8">
        <f t="shared" si="1"/>
        <v>140</v>
      </c>
      <c r="U33" s="8" t="s">
        <v>42</v>
      </c>
    </row>
    <row r="34" spans="1:26" ht="15.75" customHeight="1" x14ac:dyDescent="0.3">
      <c r="A34" s="18">
        <v>28</v>
      </c>
      <c r="B34" s="21" t="s">
        <v>107</v>
      </c>
      <c r="C34" s="25" t="s">
        <v>108</v>
      </c>
      <c r="D34" s="21" t="s">
        <v>109</v>
      </c>
      <c r="E34" s="22">
        <v>20</v>
      </c>
      <c r="F34" s="18">
        <v>10</v>
      </c>
      <c r="G34" s="18">
        <v>10</v>
      </c>
      <c r="H34" s="18">
        <v>10</v>
      </c>
      <c r="I34" s="18">
        <v>10</v>
      </c>
      <c r="J34" s="18">
        <v>10</v>
      </c>
      <c r="K34" s="18">
        <v>10</v>
      </c>
      <c r="L34" s="18">
        <v>10</v>
      </c>
      <c r="M34" s="18">
        <v>10</v>
      </c>
      <c r="N34" s="18">
        <v>10</v>
      </c>
      <c r="O34" s="18">
        <v>10</v>
      </c>
      <c r="P34" s="18">
        <v>10</v>
      </c>
      <c r="Q34" s="18">
        <v>10</v>
      </c>
      <c r="R34" s="18">
        <f t="shared" si="0"/>
        <v>120</v>
      </c>
      <c r="T34" s="8">
        <f t="shared" si="1"/>
        <v>140</v>
      </c>
      <c r="U34" s="8" t="s">
        <v>42</v>
      </c>
    </row>
    <row r="35" spans="1:26" ht="15.75" customHeight="1" x14ac:dyDescent="0.3">
      <c r="A35" s="18">
        <v>29</v>
      </c>
      <c r="B35" s="21" t="s">
        <v>110</v>
      </c>
      <c r="C35" s="26" t="s">
        <v>111</v>
      </c>
      <c r="D35" s="21" t="s">
        <v>112</v>
      </c>
      <c r="E35" s="22">
        <v>20</v>
      </c>
      <c r="F35" s="18">
        <v>10</v>
      </c>
      <c r="G35" s="18">
        <v>10</v>
      </c>
      <c r="H35" s="18">
        <v>10</v>
      </c>
      <c r="I35" s="18">
        <v>10</v>
      </c>
      <c r="J35" s="18">
        <v>10</v>
      </c>
      <c r="K35" s="18">
        <v>10</v>
      </c>
      <c r="L35" s="18">
        <v>10</v>
      </c>
      <c r="M35" s="18">
        <v>10</v>
      </c>
      <c r="N35" s="18">
        <v>10</v>
      </c>
      <c r="O35" s="18">
        <v>10</v>
      </c>
      <c r="P35" s="18">
        <v>10</v>
      </c>
      <c r="Q35" s="18">
        <v>10</v>
      </c>
      <c r="R35" s="18">
        <f t="shared" si="0"/>
        <v>120</v>
      </c>
      <c r="T35" s="8">
        <f t="shared" si="1"/>
        <v>140</v>
      </c>
      <c r="U35" s="8" t="s">
        <v>42</v>
      </c>
    </row>
    <row r="36" spans="1:26" ht="15.75" customHeight="1" x14ac:dyDescent="0.3">
      <c r="A36" s="18">
        <v>30</v>
      </c>
      <c r="B36" s="21" t="s">
        <v>113</v>
      </c>
      <c r="C36" s="25" t="s">
        <v>114</v>
      </c>
      <c r="D36" s="21" t="s">
        <v>115</v>
      </c>
      <c r="E36" s="22">
        <v>20</v>
      </c>
      <c r="F36" s="18">
        <v>10</v>
      </c>
      <c r="G36" s="18">
        <v>10</v>
      </c>
      <c r="H36" s="18">
        <v>10</v>
      </c>
      <c r="I36" s="18">
        <v>10</v>
      </c>
      <c r="J36" s="18">
        <v>10</v>
      </c>
      <c r="K36" s="18">
        <v>10</v>
      </c>
      <c r="L36" s="18">
        <v>10</v>
      </c>
      <c r="M36" s="18">
        <v>10</v>
      </c>
      <c r="N36" s="18">
        <v>10</v>
      </c>
      <c r="O36" s="18">
        <v>10</v>
      </c>
      <c r="P36" s="18">
        <v>10</v>
      </c>
      <c r="Q36" s="18">
        <v>10</v>
      </c>
      <c r="R36" s="18">
        <f t="shared" si="0"/>
        <v>120</v>
      </c>
      <c r="T36" s="8">
        <f t="shared" si="1"/>
        <v>140</v>
      </c>
      <c r="U36" s="8" t="s">
        <v>42</v>
      </c>
    </row>
    <row r="37" spans="1:26" ht="15.75" customHeight="1" x14ac:dyDescent="0.3">
      <c r="A37" s="18">
        <v>31</v>
      </c>
      <c r="B37" s="21" t="s">
        <v>116</v>
      </c>
      <c r="C37" s="26" t="s">
        <v>117</v>
      </c>
      <c r="D37" s="21" t="s">
        <v>118</v>
      </c>
      <c r="E37" s="22">
        <v>20</v>
      </c>
      <c r="F37" s="18">
        <v>10</v>
      </c>
      <c r="G37" s="18">
        <v>10</v>
      </c>
      <c r="H37" s="18">
        <v>10</v>
      </c>
      <c r="I37" s="18">
        <v>10</v>
      </c>
      <c r="J37" s="18">
        <v>10</v>
      </c>
      <c r="K37" s="18">
        <v>10</v>
      </c>
      <c r="L37" s="18">
        <v>10</v>
      </c>
      <c r="M37" s="18">
        <v>10</v>
      </c>
      <c r="N37" s="18">
        <v>10</v>
      </c>
      <c r="O37" s="18">
        <v>10</v>
      </c>
      <c r="P37" s="18">
        <v>10</v>
      </c>
      <c r="Q37" s="18">
        <v>10</v>
      </c>
      <c r="R37" s="18">
        <f t="shared" si="0"/>
        <v>120</v>
      </c>
      <c r="T37" s="8">
        <f t="shared" si="1"/>
        <v>140</v>
      </c>
      <c r="U37" s="8" t="s">
        <v>42</v>
      </c>
    </row>
    <row r="38" spans="1:26" ht="15.75" customHeight="1" x14ac:dyDescent="0.3">
      <c r="A38" s="18">
        <v>32</v>
      </c>
      <c r="B38" s="21" t="s">
        <v>119</v>
      </c>
      <c r="C38" s="27" t="s">
        <v>120</v>
      </c>
      <c r="D38" s="21" t="s">
        <v>121</v>
      </c>
      <c r="E38" s="22">
        <v>20</v>
      </c>
      <c r="F38" s="18">
        <v>10</v>
      </c>
      <c r="G38" s="18">
        <v>10</v>
      </c>
      <c r="H38" s="18">
        <v>10</v>
      </c>
      <c r="I38" s="18">
        <v>10</v>
      </c>
      <c r="J38" s="18">
        <v>10</v>
      </c>
      <c r="K38" s="18">
        <v>10</v>
      </c>
      <c r="L38" s="18">
        <v>10</v>
      </c>
      <c r="M38" s="18">
        <v>10</v>
      </c>
      <c r="N38" s="18">
        <v>10</v>
      </c>
      <c r="O38" s="18">
        <v>10</v>
      </c>
      <c r="P38" s="18">
        <v>10</v>
      </c>
      <c r="Q38" s="18">
        <v>10</v>
      </c>
      <c r="R38" s="18">
        <f t="shared" si="0"/>
        <v>120</v>
      </c>
      <c r="T38" s="8">
        <f t="shared" si="1"/>
        <v>140</v>
      </c>
      <c r="U38" s="8" t="s">
        <v>42</v>
      </c>
    </row>
    <row r="39" spans="1:26" ht="15.75" customHeight="1" x14ac:dyDescent="0.3">
      <c r="A39" s="18">
        <v>33</v>
      </c>
      <c r="B39" s="21" t="s">
        <v>122</v>
      </c>
      <c r="C39" s="23" t="s">
        <v>123</v>
      </c>
      <c r="D39" s="21" t="s">
        <v>124</v>
      </c>
      <c r="E39" s="22">
        <v>20</v>
      </c>
      <c r="F39" s="18">
        <v>10</v>
      </c>
      <c r="G39" s="18">
        <v>10</v>
      </c>
      <c r="H39" s="18">
        <v>10</v>
      </c>
      <c r="I39" s="18">
        <v>10</v>
      </c>
      <c r="J39" s="18">
        <v>10</v>
      </c>
      <c r="K39" s="18">
        <v>10</v>
      </c>
      <c r="L39" s="18">
        <v>10</v>
      </c>
      <c r="M39" s="18">
        <v>10</v>
      </c>
      <c r="N39" s="18">
        <v>10</v>
      </c>
      <c r="O39" s="18">
        <v>10</v>
      </c>
      <c r="P39" s="18">
        <v>10</v>
      </c>
      <c r="Q39" s="18">
        <v>10</v>
      </c>
      <c r="R39" s="18">
        <f t="shared" si="0"/>
        <v>120</v>
      </c>
      <c r="T39" s="8">
        <f t="shared" si="1"/>
        <v>140</v>
      </c>
      <c r="U39" s="8" t="s">
        <v>24</v>
      </c>
    </row>
    <row r="40" spans="1:26" ht="15.75" customHeight="1" x14ac:dyDescent="0.3">
      <c r="A40" s="18">
        <v>34</v>
      </c>
      <c r="B40" s="21" t="s">
        <v>125</v>
      </c>
      <c r="C40" s="23" t="s">
        <v>126</v>
      </c>
      <c r="D40" s="21" t="s">
        <v>127</v>
      </c>
      <c r="E40" s="22">
        <v>20</v>
      </c>
      <c r="F40" s="18">
        <v>10</v>
      </c>
      <c r="G40" s="18">
        <v>10</v>
      </c>
      <c r="H40" s="18">
        <v>10</v>
      </c>
      <c r="I40" s="18">
        <v>10</v>
      </c>
      <c r="J40" s="18">
        <v>10</v>
      </c>
      <c r="K40" s="18">
        <v>10</v>
      </c>
      <c r="L40" s="18">
        <v>10</v>
      </c>
      <c r="M40" s="18">
        <v>10</v>
      </c>
      <c r="N40" s="18">
        <v>10</v>
      </c>
      <c r="O40" s="18">
        <v>10</v>
      </c>
      <c r="P40" s="18">
        <v>10</v>
      </c>
      <c r="Q40" s="18">
        <v>10</v>
      </c>
      <c r="R40" s="18">
        <f t="shared" si="0"/>
        <v>120</v>
      </c>
      <c r="T40" s="8">
        <f t="shared" si="1"/>
        <v>140</v>
      </c>
      <c r="U40" s="8" t="s">
        <v>24</v>
      </c>
    </row>
    <row r="41" spans="1:26" ht="15.75" customHeight="1" x14ac:dyDescent="0.3">
      <c r="A41" s="18">
        <v>35</v>
      </c>
      <c r="B41" s="21" t="s">
        <v>128</v>
      </c>
      <c r="C41" s="26" t="s">
        <v>129</v>
      </c>
      <c r="D41" s="21" t="s">
        <v>130</v>
      </c>
      <c r="E41" s="22">
        <v>20</v>
      </c>
      <c r="F41" s="18">
        <v>10</v>
      </c>
      <c r="G41" s="18">
        <v>10</v>
      </c>
      <c r="H41" s="18">
        <v>10</v>
      </c>
      <c r="I41" s="18">
        <v>10</v>
      </c>
      <c r="J41" s="18">
        <v>10</v>
      </c>
      <c r="K41" s="18">
        <v>10</v>
      </c>
      <c r="L41" s="18">
        <v>10</v>
      </c>
      <c r="M41" s="18">
        <v>10</v>
      </c>
      <c r="N41" s="18">
        <v>10</v>
      </c>
      <c r="O41" s="18">
        <v>10</v>
      </c>
      <c r="P41" s="18">
        <v>10</v>
      </c>
      <c r="Q41" s="18">
        <v>10</v>
      </c>
      <c r="R41" s="18">
        <f t="shared" si="0"/>
        <v>120</v>
      </c>
      <c r="T41" s="8">
        <f t="shared" si="1"/>
        <v>140</v>
      </c>
    </row>
    <row r="42" spans="1:26" ht="15.75" customHeight="1" x14ac:dyDescent="0.3">
      <c r="A42" s="18">
        <v>36</v>
      </c>
      <c r="B42" s="21" t="s">
        <v>131</v>
      </c>
      <c r="C42" s="26" t="s">
        <v>132</v>
      </c>
      <c r="D42" s="21" t="s">
        <v>133</v>
      </c>
      <c r="E42" s="22">
        <v>20</v>
      </c>
      <c r="F42" s="18">
        <v>10</v>
      </c>
      <c r="G42" s="18">
        <v>10</v>
      </c>
      <c r="H42" s="18">
        <v>10</v>
      </c>
      <c r="I42" s="18">
        <v>10</v>
      </c>
      <c r="J42" s="18">
        <v>10</v>
      </c>
      <c r="K42" s="18">
        <v>10</v>
      </c>
      <c r="L42" s="18">
        <v>10</v>
      </c>
      <c r="M42" s="18">
        <v>10</v>
      </c>
      <c r="N42" s="18">
        <v>10</v>
      </c>
      <c r="O42" s="18">
        <v>10</v>
      </c>
      <c r="P42" s="18">
        <v>10</v>
      </c>
      <c r="Q42" s="18">
        <v>10</v>
      </c>
      <c r="R42" s="24">
        <f t="shared" si="0"/>
        <v>120</v>
      </c>
      <c r="T42" s="8">
        <f t="shared" si="1"/>
        <v>140</v>
      </c>
      <c r="U42" s="8" t="s">
        <v>134</v>
      </c>
    </row>
    <row r="43" spans="1:26" ht="15.75" customHeight="1" x14ac:dyDescent="0.3">
      <c r="A43" s="18">
        <v>37</v>
      </c>
      <c r="B43" s="21" t="s">
        <v>135</v>
      </c>
      <c r="C43" s="26" t="s">
        <v>136</v>
      </c>
      <c r="D43" s="21" t="s">
        <v>137</v>
      </c>
      <c r="E43" s="22">
        <v>20</v>
      </c>
      <c r="F43" s="18">
        <v>10</v>
      </c>
      <c r="G43" s="18">
        <v>10</v>
      </c>
      <c r="H43" s="18">
        <v>10</v>
      </c>
      <c r="I43" s="18">
        <v>10</v>
      </c>
      <c r="J43" s="18">
        <v>10</v>
      </c>
      <c r="K43" s="18">
        <v>10</v>
      </c>
      <c r="L43" s="18">
        <v>10</v>
      </c>
      <c r="M43" s="18">
        <v>10</v>
      </c>
      <c r="N43" s="18">
        <v>10</v>
      </c>
      <c r="O43" s="18">
        <v>10</v>
      </c>
      <c r="P43" s="18">
        <v>10</v>
      </c>
      <c r="Q43" s="18">
        <v>10</v>
      </c>
      <c r="R43" s="18">
        <f t="shared" si="0"/>
        <v>120</v>
      </c>
      <c r="T43" s="8">
        <f t="shared" si="1"/>
        <v>140</v>
      </c>
    </row>
    <row r="44" spans="1:26" ht="15.75" customHeight="1" x14ac:dyDescent="0.3">
      <c r="A44" s="18">
        <v>38</v>
      </c>
      <c r="B44" s="21" t="s">
        <v>138</v>
      </c>
      <c r="C44" s="26" t="s">
        <v>139</v>
      </c>
      <c r="D44" s="21" t="s">
        <v>140</v>
      </c>
      <c r="E44" s="22">
        <v>20</v>
      </c>
      <c r="F44" s="18">
        <v>10</v>
      </c>
      <c r="G44" s="18">
        <v>10</v>
      </c>
      <c r="H44" s="18">
        <v>10</v>
      </c>
      <c r="I44" s="18">
        <v>10</v>
      </c>
      <c r="J44" s="18">
        <v>10</v>
      </c>
      <c r="K44" s="18">
        <v>10</v>
      </c>
      <c r="L44" s="18">
        <v>10</v>
      </c>
      <c r="M44" s="18">
        <v>10</v>
      </c>
      <c r="N44" s="18">
        <v>10</v>
      </c>
      <c r="O44" s="18">
        <v>10</v>
      </c>
      <c r="P44" s="18">
        <v>10</v>
      </c>
      <c r="Q44" s="18">
        <v>10</v>
      </c>
      <c r="R44" s="18">
        <f t="shared" si="0"/>
        <v>120</v>
      </c>
      <c r="T44" s="8">
        <f t="shared" si="1"/>
        <v>140</v>
      </c>
    </row>
    <row r="45" spans="1:26" ht="15.75" customHeight="1" x14ac:dyDescent="0.3">
      <c r="A45" s="18">
        <v>39</v>
      </c>
      <c r="B45" s="21" t="s">
        <v>141</v>
      </c>
      <c r="C45" s="26" t="s">
        <v>142</v>
      </c>
      <c r="D45" s="21" t="s">
        <v>143</v>
      </c>
      <c r="E45" s="22">
        <v>20</v>
      </c>
      <c r="F45" s="18">
        <v>10</v>
      </c>
      <c r="G45" s="18">
        <v>10</v>
      </c>
      <c r="H45" s="18">
        <v>10</v>
      </c>
      <c r="I45" s="18">
        <v>10</v>
      </c>
      <c r="J45" s="18">
        <v>10</v>
      </c>
      <c r="K45" s="18">
        <v>10</v>
      </c>
      <c r="L45" s="18">
        <v>10</v>
      </c>
      <c r="M45" s="18">
        <v>10</v>
      </c>
      <c r="N45" s="18">
        <v>10</v>
      </c>
      <c r="O45" s="18">
        <v>10</v>
      </c>
      <c r="P45" s="18">
        <v>10</v>
      </c>
      <c r="Q45" s="18">
        <v>10</v>
      </c>
      <c r="R45" s="18">
        <f t="shared" si="0"/>
        <v>120</v>
      </c>
      <c r="T45" s="8">
        <f t="shared" si="1"/>
        <v>140</v>
      </c>
    </row>
    <row r="46" spans="1:26" ht="15.75" customHeight="1" x14ac:dyDescent="0.3">
      <c r="A46" s="18">
        <v>40</v>
      </c>
      <c r="B46" s="21" t="s">
        <v>144</v>
      </c>
      <c r="C46" s="20" t="s">
        <v>145</v>
      </c>
      <c r="D46" s="21" t="s">
        <v>146</v>
      </c>
      <c r="E46" s="22">
        <v>20</v>
      </c>
      <c r="F46" s="18">
        <v>10</v>
      </c>
      <c r="G46" s="18">
        <v>10</v>
      </c>
      <c r="H46" s="18">
        <v>10</v>
      </c>
      <c r="I46" s="18">
        <v>10</v>
      </c>
      <c r="J46" s="18">
        <v>10</v>
      </c>
      <c r="K46" s="18">
        <v>10</v>
      </c>
      <c r="L46" s="18">
        <v>10</v>
      </c>
      <c r="M46" s="18">
        <v>10</v>
      </c>
      <c r="N46" s="18">
        <v>10</v>
      </c>
      <c r="O46" s="18">
        <v>10</v>
      </c>
      <c r="P46" s="18">
        <v>10</v>
      </c>
      <c r="Q46" s="18">
        <v>10</v>
      </c>
      <c r="R46" s="18">
        <f t="shared" si="0"/>
        <v>120</v>
      </c>
      <c r="S46" s="8">
        <f>R46+E46</f>
        <v>140</v>
      </c>
      <c r="T46" s="8">
        <f t="shared" si="1"/>
        <v>140</v>
      </c>
      <c r="U46" s="8" t="s">
        <v>24</v>
      </c>
      <c r="V46" s="8"/>
      <c r="W46" s="8"/>
      <c r="X46" s="8"/>
      <c r="Y46" s="8"/>
      <c r="Z46" s="8"/>
    </row>
    <row r="47" spans="1:26" ht="15.75" customHeight="1" x14ac:dyDescent="0.3">
      <c r="A47" s="18">
        <v>41</v>
      </c>
      <c r="B47" s="21" t="s">
        <v>147</v>
      </c>
      <c r="C47" s="23" t="s">
        <v>148</v>
      </c>
      <c r="D47" s="21" t="s">
        <v>149</v>
      </c>
      <c r="E47" s="22">
        <v>20</v>
      </c>
      <c r="F47" s="18">
        <v>10</v>
      </c>
      <c r="G47" s="18">
        <v>10</v>
      </c>
      <c r="H47" s="18">
        <v>10</v>
      </c>
      <c r="I47" s="18">
        <v>10</v>
      </c>
      <c r="J47" s="18">
        <v>10</v>
      </c>
      <c r="K47" s="18">
        <v>10</v>
      </c>
      <c r="L47" s="18">
        <v>10</v>
      </c>
      <c r="M47" s="18">
        <v>10</v>
      </c>
      <c r="N47" s="18">
        <v>10</v>
      </c>
      <c r="O47" s="18">
        <v>10</v>
      </c>
      <c r="P47" s="18">
        <v>10</v>
      </c>
      <c r="Q47" s="18">
        <v>10</v>
      </c>
      <c r="R47" s="18">
        <f t="shared" si="0"/>
        <v>120</v>
      </c>
      <c r="T47" s="8">
        <f t="shared" si="1"/>
        <v>140</v>
      </c>
      <c r="U47" s="8" t="s">
        <v>24</v>
      </c>
    </row>
    <row r="48" spans="1:26" ht="15.75" customHeight="1" x14ac:dyDescent="0.3">
      <c r="A48" s="18">
        <v>42</v>
      </c>
      <c r="B48" s="21" t="s">
        <v>150</v>
      </c>
      <c r="C48" s="25" t="s">
        <v>151</v>
      </c>
      <c r="D48" s="21" t="s">
        <v>152</v>
      </c>
      <c r="E48" s="22">
        <v>20</v>
      </c>
      <c r="F48" s="18">
        <v>10</v>
      </c>
      <c r="G48" s="18">
        <v>10</v>
      </c>
      <c r="H48" s="18">
        <v>10</v>
      </c>
      <c r="I48" s="18">
        <v>10</v>
      </c>
      <c r="J48" s="18">
        <v>10</v>
      </c>
      <c r="K48" s="18">
        <v>10</v>
      </c>
      <c r="L48" s="18">
        <v>10</v>
      </c>
      <c r="M48" s="18">
        <v>10</v>
      </c>
      <c r="N48" s="18">
        <v>10</v>
      </c>
      <c r="O48" s="18">
        <v>10</v>
      </c>
      <c r="P48" s="18">
        <v>10</v>
      </c>
      <c r="Q48" s="18">
        <v>10</v>
      </c>
      <c r="R48" s="18">
        <f t="shared" si="0"/>
        <v>120</v>
      </c>
      <c r="T48" s="8">
        <f t="shared" si="1"/>
        <v>140</v>
      </c>
      <c r="U48" s="8" t="s">
        <v>42</v>
      </c>
    </row>
    <row r="49" spans="1:26" ht="15.75" customHeight="1" x14ac:dyDescent="0.3">
      <c r="A49" s="18">
        <v>43</v>
      </c>
      <c r="B49" s="21" t="s">
        <v>153</v>
      </c>
      <c r="C49" s="23" t="s">
        <v>154</v>
      </c>
      <c r="D49" s="21" t="s">
        <v>155</v>
      </c>
      <c r="E49" s="22">
        <v>20</v>
      </c>
      <c r="F49" s="18">
        <v>10</v>
      </c>
      <c r="G49" s="18">
        <v>10</v>
      </c>
      <c r="H49" s="18">
        <v>10</v>
      </c>
      <c r="I49" s="18">
        <v>10</v>
      </c>
      <c r="J49" s="18">
        <v>10</v>
      </c>
      <c r="K49" s="18">
        <v>10</v>
      </c>
      <c r="L49" s="18">
        <v>10</v>
      </c>
      <c r="M49" s="18">
        <v>10</v>
      </c>
      <c r="N49" s="18">
        <v>10</v>
      </c>
      <c r="O49" s="18">
        <v>10</v>
      </c>
      <c r="P49" s="18">
        <v>10</v>
      </c>
      <c r="Q49" s="18">
        <v>10</v>
      </c>
      <c r="R49" s="18">
        <f t="shared" si="0"/>
        <v>120</v>
      </c>
      <c r="T49" s="8">
        <f t="shared" si="1"/>
        <v>140</v>
      </c>
      <c r="U49" s="8" t="s">
        <v>24</v>
      </c>
    </row>
    <row r="50" spans="1:26" ht="15.75" customHeight="1" x14ac:dyDescent="0.3">
      <c r="A50" s="18">
        <v>44</v>
      </c>
      <c r="B50" s="21" t="s">
        <v>156</v>
      </c>
      <c r="C50" s="25" t="s">
        <v>157</v>
      </c>
      <c r="D50" s="21" t="s">
        <v>158</v>
      </c>
      <c r="E50" s="22">
        <v>20</v>
      </c>
      <c r="F50" s="18">
        <v>10</v>
      </c>
      <c r="G50" s="18">
        <v>10</v>
      </c>
      <c r="H50" s="18">
        <v>10</v>
      </c>
      <c r="I50" s="18">
        <v>10</v>
      </c>
      <c r="J50" s="18">
        <v>10</v>
      </c>
      <c r="K50" s="18">
        <v>10</v>
      </c>
      <c r="L50" s="18">
        <v>10</v>
      </c>
      <c r="M50" s="18">
        <v>10</v>
      </c>
      <c r="N50" s="18">
        <v>10</v>
      </c>
      <c r="O50" s="18">
        <v>10</v>
      </c>
      <c r="P50" s="18">
        <v>10</v>
      </c>
      <c r="Q50" s="18">
        <v>10</v>
      </c>
      <c r="R50" s="18">
        <f t="shared" si="0"/>
        <v>120</v>
      </c>
      <c r="T50" s="8">
        <f t="shared" si="1"/>
        <v>140</v>
      </c>
      <c r="U50" s="8" t="s">
        <v>42</v>
      </c>
    </row>
    <row r="51" spans="1:26" ht="15.75" customHeight="1" x14ac:dyDescent="0.3">
      <c r="A51" s="18">
        <v>45</v>
      </c>
      <c r="B51" s="21" t="s">
        <v>159</v>
      </c>
      <c r="C51" s="28" t="s">
        <v>160</v>
      </c>
      <c r="D51" s="21" t="s">
        <v>161</v>
      </c>
      <c r="E51" s="22">
        <v>20</v>
      </c>
      <c r="F51" s="18">
        <v>10</v>
      </c>
      <c r="G51" s="18">
        <v>10</v>
      </c>
      <c r="H51" s="18">
        <v>10</v>
      </c>
      <c r="I51" s="18">
        <v>10</v>
      </c>
      <c r="J51" s="18">
        <v>10</v>
      </c>
      <c r="K51" s="18">
        <v>10</v>
      </c>
      <c r="L51" s="18">
        <v>10</v>
      </c>
      <c r="M51" s="18">
        <v>10</v>
      </c>
      <c r="N51" s="18">
        <v>10</v>
      </c>
      <c r="O51" s="18">
        <v>10</v>
      </c>
      <c r="P51" s="18">
        <v>10</v>
      </c>
      <c r="Q51" s="18">
        <v>10</v>
      </c>
      <c r="R51" s="18">
        <f t="shared" si="0"/>
        <v>120</v>
      </c>
      <c r="T51" s="8">
        <f t="shared" si="1"/>
        <v>140</v>
      </c>
      <c r="U51" s="8" t="s">
        <v>42</v>
      </c>
    </row>
    <row r="52" spans="1:26" ht="15.75" customHeight="1" x14ac:dyDescent="0.3">
      <c r="A52" s="18">
        <v>46</v>
      </c>
      <c r="B52" s="21" t="s">
        <v>162</v>
      </c>
      <c r="C52" s="23" t="s">
        <v>163</v>
      </c>
      <c r="D52" s="21" t="s">
        <v>164</v>
      </c>
      <c r="E52" s="22">
        <v>20</v>
      </c>
      <c r="F52" s="18">
        <v>10</v>
      </c>
      <c r="G52" s="18">
        <v>10</v>
      </c>
      <c r="H52" s="18">
        <v>10</v>
      </c>
      <c r="I52" s="18">
        <v>10</v>
      </c>
      <c r="J52" s="18">
        <v>10</v>
      </c>
      <c r="K52" s="18">
        <v>10</v>
      </c>
      <c r="L52" s="18">
        <v>10</v>
      </c>
      <c r="M52" s="18">
        <v>10</v>
      </c>
      <c r="N52" s="18">
        <v>10</v>
      </c>
      <c r="O52" s="18">
        <v>10</v>
      </c>
      <c r="P52" s="18">
        <v>10</v>
      </c>
      <c r="Q52" s="18">
        <v>10</v>
      </c>
      <c r="R52" s="18">
        <f t="shared" si="0"/>
        <v>120</v>
      </c>
      <c r="T52" s="8">
        <f t="shared" si="1"/>
        <v>140</v>
      </c>
      <c r="U52" s="8" t="s">
        <v>24</v>
      </c>
    </row>
    <row r="53" spans="1:26" ht="15.75" customHeight="1" x14ac:dyDescent="0.3">
      <c r="A53" s="18">
        <v>47</v>
      </c>
      <c r="B53" s="21" t="s">
        <v>165</v>
      </c>
      <c r="C53" s="29" t="s">
        <v>166</v>
      </c>
      <c r="D53" s="21" t="s">
        <v>167</v>
      </c>
      <c r="E53" s="22">
        <v>20</v>
      </c>
      <c r="F53" s="18">
        <v>10</v>
      </c>
      <c r="G53" s="18">
        <v>10</v>
      </c>
      <c r="H53" s="18">
        <v>10</v>
      </c>
      <c r="I53" s="18">
        <v>10</v>
      </c>
      <c r="J53" s="18">
        <v>10</v>
      </c>
      <c r="K53" s="18">
        <v>10</v>
      </c>
      <c r="L53" s="18">
        <v>10</v>
      </c>
      <c r="M53" s="18">
        <v>10</v>
      </c>
      <c r="N53" s="18">
        <v>10</v>
      </c>
      <c r="O53" s="18">
        <v>10</v>
      </c>
      <c r="P53" s="18">
        <v>10</v>
      </c>
      <c r="Q53" s="18">
        <v>10</v>
      </c>
      <c r="R53" s="18">
        <f t="shared" si="0"/>
        <v>120</v>
      </c>
      <c r="T53" s="8">
        <f t="shared" si="1"/>
        <v>140</v>
      </c>
      <c r="U53" s="8" t="s">
        <v>24</v>
      </c>
    </row>
    <row r="54" spans="1:26" ht="15.75" customHeight="1" x14ac:dyDescent="0.3">
      <c r="A54" s="18">
        <v>48</v>
      </c>
      <c r="B54" s="21" t="s">
        <v>168</v>
      </c>
      <c r="C54" s="20" t="s">
        <v>169</v>
      </c>
      <c r="D54" s="21" t="s">
        <v>170</v>
      </c>
      <c r="E54" s="22">
        <v>20</v>
      </c>
      <c r="F54" s="18">
        <v>10</v>
      </c>
      <c r="G54" s="18">
        <v>10</v>
      </c>
      <c r="H54" s="18">
        <v>10</v>
      </c>
      <c r="I54" s="18">
        <v>10</v>
      </c>
      <c r="J54" s="18">
        <v>10</v>
      </c>
      <c r="K54" s="18">
        <v>10</v>
      </c>
      <c r="L54" s="18">
        <v>10</v>
      </c>
      <c r="M54" s="18">
        <v>10</v>
      </c>
      <c r="N54" s="18">
        <v>10</v>
      </c>
      <c r="O54" s="18">
        <v>10</v>
      </c>
      <c r="P54" s="18">
        <v>10</v>
      </c>
      <c r="Q54" s="18">
        <v>10</v>
      </c>
      <c r="R54" s="18">
        <f t="shared" si="0"/>
        <v>120</v>
      </c>
      <c r="T54" s="8">
        <f t="shared" si="1"/>
        <v>140</v>
      </c>
      <c r="U54" s="8" t="s">
        <v>24</v>
      </c>
    </row>
    <row r="55" spans="1:26" ht="15.75" customHeight="1" x14ac:dyDescent="0.3">
      <c r="A55" s="18">
        <v>49</v>
      </c>
      <c r="B55" s="21" t="s">
        <v>171</v>
      </c>
      <c r="C55" s="30" t="s">
        <v>172</v>
      </c>
      <c r="D55" s="21" t="s">
        <v>173</v>
      </c>
      <c r="E55" s="22">
        <v>20</v>
      </c>
      <c r="F55" s="18">
        <v>10</v>
      </c>
      <c r="G55" s="18">
        <v>10</v>
      </c>
      <c r="H55" s="18">
        <v>10</v>
      </c>
      <c r="I55" s="18">
        <v>10</v>
      </c>
      <c r="J55" s="18">
        <v>10</v>
      </c>
      <c r="K55" s="18">
        <v>10</v>
      </c>
      <c r="L55" s="18">
        <v>10</v>
      </c>
      <c r="M55" s="18">
        <v>10</v>
      </c>
      <c r="N55" s="18">
        <v>10</v>
      </c>
      <c r="O55" s="18">
        <v>10</v>
      </c>
      <c r="P55" s="18">
        <v>10</v>
      </c>
      <c r="Q55" s="18">
        <v>10</v>
      </c>
      <c r="R55" s="18">
        <f t="shared" si="0"/>
        <v>120</v>
      </c>
      <c r="S55" s="8">
        <f>R55+E55</f>
        <v>140</v>
      </c>
      <c r="T55" s="8">
        <f t="shared" si="1"/>
        <v>140</v>
      </c>
      <c r="U55" s="8"/>
      <c r="V55" s="8"/>
      <c r="W55" s="8"/>
      <c r="X55" s="8"/>
      <c r="Y55" s="8"/>
      <c r="Z55" s="8"/>
    </row>
    <row r="56" spans="1:26" ht="15.75" customHeight="1" x14ac:dyDescent="0.3">
      <c r="A56" s="18">
        <v>50</v>
      </c>
      <c r="B56" s="21" t="s">
        <v>174</v>
      </c>
      <c r="C56" s="29" t="s">
        <v>175</v>
      </c>
      <c r="D56" s="21" t="s">
        <v>176</v>
      </c>
      <c r="E56" s="22">
        <v>20</v>
      </c>
      <c r="F56" s="18">
        <v>10</v>
      </c>
      <c r="G56" s="18">
        <v>10</v>
      </c>
      <c r="H56" s="18">
        <v>10</v>
      </c>
      <c r="I56" s="18">
        <v>10</v>
      </c>
      <c r="J56" s="18">
        <v>10</v>
      </c>
      <c r="K56" s="18">
        <v>10</v>
      </c>
      <c r="L56" s="18">
        <v>10</v>
      </c>
      <c r="M56" s="18">
        <v>10</v>
      </c>
      <c r="N56" s="18">
        <v>10</v>
      </c>
      <c r="O56" s="18">
        <v>10</v>
      </c>
      <c r="P56" s="18">
        <v>10</v>
      </c>
      <c r="Q56" s="18">
        <v>10</v>
      </c>
      <c r="R56" s="18">
        <f t="shared" si="0"/>
        <v>120</v>
      </c>
      <c r="T56" s="8">
        <f t="shared" si="1"/>
        <v>140</v>
      </c>
    </row>
    <row r="57" spans="1:26" ht="15.75" customHeight="1" x14ac:dyDescent="0.3">
      <c r="A57" s="18">
        <v>51</v>
      </c>
      <c r="B57" s="21" t="s">
        <v>177</v>
      </c>
      <c r="C57" s="25" t="s">
        <v>178</v>
      </c>
      <c r="D57" s="21" t="s">
        <v>179</v>
      </c>
      <c r="E57" s="22">
        <v>20</v>
      </c>
      <c r="F57" s="18">
        <v>10</v>
      </c>
      <c r="G57" s="18">
        <v>10</v>
      </c>
      <c r="H57" s="18">
        <v>10</v>
      </c>
      <c r="I57" s="18">
        <v>10</v>
      </c>
      <c r="J57" s="18">
        <v>10</v>
      </c>
      <c r="K57" s="18">
        <v>10</v>
      </c>
      <c r="L57" s="18">
        <v>10</v>
      </c>
      <c r="M57" s="18">
        <v>10</v>
      </c>
      <c r="N57" s="18">
        <v>10</v>
      </c>
      <c r="O57" s="18">
        <v>10</v>
      </c>
      <c r="P57" s="18">
        <v>10</v>
      </c>
      <c r="Q57" s="18">
        <v>10</v>
      </c>
      <c r="R57" s="18">
        <f t="shared" si="0"/>
        <v>120</v>
      </c>
      <c r="T57" s="8">
        <f t="shared" si="1"/>
        <v>140</v>
      </c>
    </row>
    <row r="58" spans="1:26" ht="15.75" customHeight="1" x14ac:dyDescent="0.3">
      <c r="A58" s="18">
        <v>52</v>
      </c>
      <c r="B58" s="21" t="s">
        <v>180</v>
      </c>
      <c r="C58" s="26" t="s">
        <v>181</v>
      </c>
      <c r="D58" s="21" t="s">
        <v>182</v>
      </c>
      <c r="E58" s="22">
        <v>20</v>
      </c>
      <c r="F58" s="18">
        <v>10</v>
      </c>
      <c r="G58" s="18">
        <v>10</v>
      </c>
      <c r="H58" s="18">
        <v>10</v>
      </c>
      <c r="I58" s="18">
        <v>10</v>
      </c>
      <c r="J58" s="18">
        <v>10</v>
      </c>
      <c r="K58" s="18">
        <v>10</v>
      </c>
      <c r="L58" s="18">
        <v>10</v>
      </c>
      <c r="M58" s="18">
        <v>10</v>
      </c>
      <c r="N58" s="18">
        <v>10</v>
      </c>
      <c r="O58" s="18">
        <v>10</v>
      </c>
      <c r="P58" s="18">
        <v>10</v>
      </c>
      <c r="Q58" s="18">
        <v>10</v>
      </c>
      <c r="R58" s="18">
        <f t="shared" si="0"/>
        <v>120</v>
      </c>
      <c r="T58" s="8">
        <f t="shared" si="1"/>
        <v>140</v>
      </c>
    </row>
    <row r="59" spans="1:26" ht="15.75" customHeight="1" x14ac:dyDescent="0.3">
      <c r="A59" s="18">
        <v>53</v>
      </c>
      <c r="B59" s="21" t="s">
        <v>183</v>
      </c>
      <c r="C59" s="20" t="s">
        <v>184</v>
      </c>
      <c r="D59" s="21" t="s">
        <v>185</v>
      </c>
      <c r="E59" s="22">
        <v>20</v>
      </c>
      <c r="F59" s="18">
        <v>10</v>
      </c>
      <c r="G59" s="18">
        <v>10</v>
      </c>
      <c r="H59" s="18">
        <v>10</v>
      </c>
      <c r="I59" s="18">
        <v>10</v>
      </c>
      <c r="J59" s="18">
        <v>10</v>
      </c>
      <c r="K59" s="18">
        <v>10</v>
      </c>
      <c r="L59" s="18">
        <v>10</v>
      </c>
      <c r="M59" s="18">
        <v>10</v>
      </c>
      <c r="N59" s="18">
        <v>10</v>
      </c>
      <c r="O59" s="18">
        <v>10</v>
      </c>
      <c r="P59" s="18">
        <v>10</v>
      </c>
      <c r="Q59" s="18">
        <v>10</v>
      </c>
      <c r="R59" s="18">
        <f t="shared" si="0"/>
        <v>120</v>
      </c>
      <c r="T59" s="8">
        <f t="shared" si="1"/>
        <v>140</v>
      </c>
      <c r="U59" s="8" t="s">
        <v>24</v>
      </c>
    </row>
    <row r="60" spans="1:26" ht="15.75" customHeight="1" x14ac:dyDescent="0.3">
      <c r="A60" s="18">
        <v>54</v>
      </c>
      <c r="B60" s="21" t="s">
        <v>186</v>
      </c>
      <c r="C60" s="23" t="s">
        <v>187</v>
      </c>
      <c r="D60" s="21" t="s">
        <v>188</v>
      </c>
      <c r="E60" s="22">
        <v>20</v>
      </c>
      <c r="F60" s="18">
        <v>10</v>
      </c>
      <c r="G60" s="18">
        <v>10</v>
      </c>
      <c r="H60" s="18">
        <v>10</v>
      </c>
      <c r="I60" s="18">
        <v>10</v>
      </c>
      <c r="J60" s="18">
        <v>10</v>
      </c>
      <c r="K60" s="18">
        <v>10</v>
      </c>
      <c r="L60" s="18">
        <v>10</v>
      </c>
      <c r="M60" s="18">
        <v>10</v>
      </c>
      <c r="N60" s="18">
        <v>10</v>
      </c>
      <c r="O60" s="18">
        <v>10</v>
      </c>
      <c r="P60" s="18">
        <v>10</v>
      </c>
      <c r="Q60" s="18">
        <v>10</v>
      </c>
      <c r="R60" s="18">
        <f t="shared" si="0"/>
        <v>120</v>
      </c>
      <c r="T60" s="8">
        <f t="shared" si="1"/>
        <v>140</v>
      </c>
      <c r="U60" s="8" t="s">
        <v>189</v>
      </c>
    </row>
    <row r="61" spans="1:26" ht="15.75" customHeight="1" x14ac:dyDescent="0.3">
      <c r="A61" s="18">
        <v>55</v>
      </c>
      <c r="B61" s="21" t="s">
        <v>190</v>
      </c>
      <c r="C61" s="20" t="s">
        <v>191</v>
      </c>
      <c r="D61" s="21" t="s">
        <v>192</v>
      </c>
      <c r="E61" s="22">
        <v>20</v>
      </c>
      <c r="F61" s="18">
        <v>10</v>
      </c>
      <c r="G61" s="18">
        <v>10</v>
      </c>
      <c r="H61" s="18">
        <v>10</v>
      </c>
      <c r="I61" s="18">
        <v>10</v>
      </c>
      <c r="J61" s="18">
        <v>10</v>
      </c>
      <c r="K61" s="18">
        <v>10</v>
      </c>
      <c r="L61" s="18">
        <v>10</v>
      </c>
      <c r="M61" s="18">
        <v>10</v>
      </c>
      <c r="N61" s="18">
        <v>10</v>
      </c>
      <c r="O61" s="18">
        <v>10</v>
      </c>
      <c r="P61" s="18">
        <v>10</v>
      </c>
      <c r="Q61" s="18">
        <v>10</v>
      </c>
      <c r="R61" s="18">
        <f t="shared" si="0"/>
        <v>120</v>
      </c>
      <c r="T61" s="8">
        <f t="shared" si="1"/>
        <v>140</v>
      </c>
      <c r="U61" s="8" t="s">
        <v>189</v>
      </c>
    </row>
    <row r="62" spans="1:26" ht="15.75" customHeight="1" x14ac:dyDescent="0.3">
      <c r="A62" s="18">
        <v>56</v>
      </c>
      <c r="B62" s="21" t="s">
        <v>193</v>
      </c>
      <c r="C62" s="26" t="s">
        <v>194</v>
      </c>
      <c r="D62" s="21" t="s">
        <v>195</v>
      </c>
      <c r="E62" s="22">
        <v>20</v>
      </c>
      <c r="F62" s="18">
        <v>10</v>
      </c>
      <c r="G62" s="18">
        <v>10</v>
      </c>
      <c r="H62" s="18">
        <v>10</v>
      </c>
      <c r="I62" s="18">
        <v>10</v>
      </c>
      <c r="J62" s="18">
        <v>10</v>
      </c>
      <c r="K62" s="18">
        <v>10</v>
      </c>
      <c r="L62" s="18">
        <v>10</v>
      </c>
      <c r="M62" s="18">
        <v>10</v>
      </c>
      <c r="N62" s="18">
        <v>10</v>
      </c>
      <c r="O62" s="18">
        <v>10</v>
      </c>
      <c r="P62" s="18">
        <v>10</v>
      </c>
      <c r="Q62" s="18">
        <v>10</v>
      </c>
      <c r="R62" s="18">
        <f t="shared" si="0"/>
        <v>120</v>
      </c>
      <c r="T62" s="8">
        <f t="shared" si="1"/>
        <v>140</v>
      </c>
      <c r="U62" s="8" t="s">
        <v>196</v>
      </c>
      <c r="W62" s="8" t="s">
        <v>197</v>
      </c>
    </row>
    <row r="63" spans="1:26" ht="15.75" customHeight="1" x14ac:dyDescent="0.3">
      <c r="A63" s="18">
        <v>57</v>
      </c>
      <c r="B63" s="21" t="s">
        <v>198</v>
      </c>
      <c r="C63" s="30" t="s">
        <v>199</v>
      </c>
      <c r="D63" s="21" t="s">
        <v>200</v>
      </c>
      <c r="E63" s="22">
        <v>20</v>
      </c>
      <c r="F63" s="18">
        <v>10</v>
      </c>
      <c r="G63" s="18">
        <v>10</v>
      </c>
      <c r="H63" s="18">
        <v>10</v>
      </c>
      <c r="I63" s="31">
        <v>10</v>
      </c>
      <c r="J63" s="31">
        <v>10</v>
      </c>
      <c r="K63" s="31">
        <v>10</v>
      </c>
      <c r="L63" s="31">
        <v>10</v>
      </c>
      <c r="M63" s="31">
        <v>10</v>
      </c>
      <c r="N63" s="31">
        <v>10</v>
      </c>
      <c r="O63" s="31">
        <v>10</v>
      </c>
      <c r="P63" s="31">
        <v>10</v>
      </c>
      <c r="Q63" s="31">
        <v>10</v>
      </c>
      <c r="R63" s="18">
        <f t="shared" si="0"/>
        <v>120</v>
      </c>
      <c r="S63" s="8">
        <f t="shared" ref="S63:S66" si="2">R63+E63</f>
        <v>140</v>
      </c>
      <c r="T63" s="8">
        <f t="shared" si="1"/>
        <v>140</v>
      </c>
      <c r="U63" s="8" t="s">
        <v>201</v>
      </c>
      <c r="V63" s="8"/>
      <c r="W63" s="8"/>
      <c r="X63" s="8"/>
      <c r="Y63" s="8"/>
      <c r="Z63" s="8"/>
    </row>
    <row r="64" spans="1:26" ht="15.75" customHeight="1" x14ac:dyDescent="0.3">
      <c r="A64" s="18">
        <v>58</v>
      </c>
      <c r="B64" s="21" t="s">
        <v>202</v>
      </c>
      <c r="C64" s="32" t="s">
        <v>203</v>
      </c>
      <c r="D64" s="21" t="s">
        <v>204</v>
      </c>
      <c r="E64" s="22">
        <v>20</v>
      </c>
      <c r="F64" s="18">
        <v>10</v>
      </c>
      <c r="G64" s="18">
        <v>10</v>
      </c>
      <c r="H64" s="18">
        <v>10</v>
      </c>
      <c r="I64" s="18">
        <v>10</v>
      </c>
      <c r="J64" s="18">
        <v>10</v>
      </c>
      <c r="K64" s="18">
        <v>10</v>
      </c>
      <c r="L64" s="18">
        <v>10</v>
      </c>
      <c r="M64" s="18">
        <v>10</v>
      </c>
      <c r="N64" s="18">
        <v>10</v>
      </c>
      <c r="O64" s="18">
        <v>10</v>
      </c>
      <c r="P64" s="18">
        <v>10</v>
      </c>
      <c r="Q64" s="18">
        <v>10</v>
      </c>
      <c r="R64" s="18">
        <f t="shared" si="0"/>
        <v>120</v>
      </c>
      <c r="S64" s="8">
        <f t="shared" si="2"/>
        <v>140</v>
      </c>
      <c r="T64" s="8">
        <f t="shared" si="1"/>
        <v>140</v>
      </c>
      <c r="U64" s="8"/>
      <c r="V64" s="8"/>
      <c r="W64" s="8"/>
      <c r="X64" s="8"/>
      <c r="Y64" s="8"/>
      <c r="Z64" s="8"/>
    </row>
    <row r="65" spans="1:26" ht="15.75" customHeight="1" x14ac:dyDescent="0.3">
      <c r="A65" s="33">
        <v>59</v>
      </c>
      <c r="B65" s="34" t="s">
        <v>205</v>
      </c>
      <c r="C65" s="35" t="s">
        <v>206</v>
      </c>
      <c r="D65" s="34" t="s">
        <v>207</v>
      </c>
      <c r="E65" s="36">
        <v>20</v>
      </c>
      <c r="F65" s="33">
        <v>10</v>
      </c>
      <c r="G65" s="33">
        <v>10</v>
      </c>
      <c r="H65" s="33">
        <v>10</v>
      </c>
      <c r="I65" s="33"/>
      <c r="J65" s="33"/>
      <c r="K65" s="33"/>
      <c r="L65" s="33"/>
      <c r="M65" s="33"/>
      <c r="N65" s="33"/>
      <c r="O65" s="33"/>
      <c r="P65" s="33"/>
      <c r="Q65" s="33"/>
      <c r="R65" s="24">
        <f t="shared" si="0"/>
        <v>30</v>
      </c>
      <c r="S65" s="37">
        <f t="shared" si="2"/>
        <v>50</v>
      </c>
      <c r="T65" s="37">
        <f t="shared" si="1"/>
        <v>0</v>
      </c>
      <c r="U65" s="37"/>
      <c r="V65" s="37"/>
      <c r="W65" s="37"/>
      <c r="X65" s="37"/>
      <c r="Y65" s="37"/>
      <c r="Z65" s="37"/>
    </row>
    <row r="66" spans="1:26" ht="15.75" customHeight="1" x14ac:dyDescent="0.3">
      <c r="A66" s="33">
        <v>60</v>
      </c>
      <c r="B66" s="34" t="s">
        <v>208</v>
      </c>
      <c r="C66" s="35" t="s">
        <v>209</v>
      </c>
      <c r="D66" s="34" t="s">
        <v>210</v>
      </c>
      <c r="E66" s="36">
        <v>20</v>
      </c>
      <c r="F66" s="33">
        <v>10</v>
      </c>
      <c r="G66" s="33">
        <v>10</v>
      </c>
      <c r="H66" s="33">
        <v>10</v>
      </c>
      <c r="I66" s="33">
        <v>10</v>
      </c>
      <c r="J66" s="33">
        <v>10</v>
      </c>
      <c r="K66" s="33">
        <v>10</v>
      </c>
      <c r="L66" s="33">
        <v>10</v>
      </c>
      <c r="M66" s="33">
        <v>10</v>
      </c>
      <c r="N66" s="33">
        <v>10</v>
      </c>
      <c r="O66" s="33">
        <v>10</v>
      </c>
      <c r="P66" s="33">
        <v>10</v>
      </c>
      <c r="Q66" s="33">
        <v>10</v>
      </c>
      <c r="R66" s="33">
        <f t="shared" si="0"/>
        <v>120</v>
      </c>
      <c r="S66" s="37">
        <f t="shared" si="2"/>
        <v>140</v>
      </c>
      <c r="T66" s="37">
        <f t="shared" si="1"/>
        <v>140</v>
      </c>
      <c r="U66" s="37"/>
      <c r="V66" s="37"/>
      <c r="W66" s="37"/>
      <c r="X66" s="37"/>
      <c r="Y66" s="37"/>
      <c r="Z66" s="37"/>
    </row>
    <row r="67" spans="1:26" ht="15.75" customHeight="1" x14ac:dyDescent="0.3">
      <c r="A67" s="18">
        <v>61</v>
      </c>
      <c r="B67" s="21" t="s">
        <v>211</v>
      </c>
      <c r="C67" s="23" t="s">
        <v>212</v>
      </c>
      <c r="D67" s="21" t="s">
        <v>213</v>
      </c>
      <c r="E67" s="22">
        <v>20</v>
      </c>
      <c r="F67" s="18">
        <v>10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24">
        <f t="shared" si="0"/>
        <v>10</v>
      </c>
      <c r="T67" s="8">
        <f t="shared" si="1"/>
        <v>0</v>
      </c>
      <c r="U67" s="8" t="s">
        <v>189</v>
      </c>
    </row>
    <row r="68" spans="1:26" ht="15.75" customHeight="1" x14ac:dyDescent="0.3">
      <c r="A68" s="18">
        <v>62</v>
      </c>
      <c r="B68" s="21" t="s">
        <v>214</v>
      </c>
      <c r="C68" s="29" t="s">
        <v>215</v>
      </c>
      <c r="D68" s="21" t="s">
        <v>216</v>
      </c>
      <c r="E68" s="22">
        <v>20</v>
      </c>
      <c r="F68" s="18">
        <v>10</v>
      </c>
      <c r="G68" s="18">
        <v>10</v>
      </c>
      <c r="H68" s="18">
        <v>10</v>
      </c>
      <c r="I68" s="18">
        <v>10</v>
      </c>
      <c r="J68" s="18">
        <v>10</v>
      </c>
      <c r="K68" s="18">
        <v>10</v>
      </c>
      <c r="L68" s="18">
        <v>10</v>
      </c>
      <c r="M68" s="18">
        <v>10</v>
      </c>
      <c r="N68" s="18">
        <v>10</v>
      </c>
      <c r="O68" s="18">
        <v>10</v>
      </c>
      <c r="P68" s="31">
        <v>10</v>
      </c>
      <c r="Q68" s="31">
        <v>10</v>
      </c>
      <c r="R68" s="18">
        <f t="shared" si="0"/>
        <v>120</v>
      </c>
      <c r="T68" s="8">
        <f t="shared" si="1"/>
        <v>140</v>
      </c>
      <c r="U68" s="8" t="s">
        <v>189</v>
      </c>
    </row>
    <row r="69" spans="1:26" ht="15.75" customHeight="1" x14ac:dyDescent="0.3">
      <c r="A69" s="18">
        <v>63</v>
      </c>
      <c r="B69" s="21" t="s">
        <v>217</v>
      </c>
      <c r="C69" s="32" t="s">
        <v>218</v>
      </c>
      <c r="D69" s="21" t="s">
        <v>219</v>
      </c>
      <c r="E69" s="22">
        <v>20</v>
      </c>
      <c r="F69" s="18">
        <v>10</v>
      </c>
      <c r="G69" s="18">
        <v>10</v>
      </c>
      <c r="H69" s="18">
        <v>10</v>
      </c>
      <c r="I69" s="18">
        <v>10</v>
      </c>
      <c r="J69" s="18">
        <v>10</v>
      </c>
      <c r="K69" s="18">
        <v>10</v>
      </c>
      <c r="L69" s="18">
        <v>10</v>
      </c>
      <c r="M69" s="18">
        <v>10</v>
      </c>
      <c r="N69" s="18">
        <v>10</v>
      </c>
      <c r="O69" s="18">
        <v>10</v>
      </c>
      <c r="P69" s="18">
        <v>10</v>
      </c>
      <c r="Q69" s="18">
        <v>10</v>
      </c>
      <c r="R69" s="18">
        <f t="shared" si="0"/>
        <v>120</v>
      </c>
      <c r="S69" s="8">
        <f t="shared" ref="S69:S73" si="3">R69+E69</f>
        <v>140</v>
      </c>
      <c r="T69" s="8">
        <f t="shared" si="1"/>
        <v>140</v>
      </c>
      <c r="U69" s="8"/>
      <c r="V69" s="8"/>
      <c r="W69" s="8"/>
      <c r="X69" s="8"/>
      <c r="Y69" s="8"/>
      <c r="Z69" s="8"/>
    </row>
    <row r="70" spans="1:26" ht="15.75" customHeight="1" x14ac:dyDescent="0.3">
      <c r="A70" s="18">
        <v>64</v>
      </c>
      <c r="B70" s="21" t="s">
        <v>220</v>
      </c>
      <c r="C70" s="18" t="s">
        <v>221</v>
      </c>
      <c r="D70" s="21" t="s">
        <v>222</v>
      </c>
      <c r="E70" s="22">
        <v>20</v>
      </c>
      <c r="F70" s="18">
        <v>10</v>
      </c>
      <c r="G70" s="18">
        <v>10</v>
      </c>
      <c r="H70" s="18">
        <v>10</v>
      </c>
      <c r="I70" s="18">
        <v>10</v>
      </c>
      <c r="J70" s="18">
        <v>10</v>
      </c>
      <c r="K70" s="18">
        <v>10</v>
      </c>
      <c r="L70" s="18">
        <v>10</v>
      </c>
      <c r="M70" s="18">
        <v>10</v>
      </c>
      <c r="N70" s="18">
        <v>10</v>
      </c>
      <c r="O70" s="18">
        <v>10</v>
      </c>
      <c r="P70" s="18">
        <v>10</v>
      </c>
      <c r="Q70" s="18">
        <v>10</v>
      </c>
      <c r="R70" s="18">
        <f t="shared" si="0"/>
        <v>120</v>
      </c>
      <c r="S70" s="8">
        <f t="shared" si="3"/>
        <v>140</v>
      </c>
      <c r="T70" s="8">
        <f t="shared" si="1"/>
        <v>140</v>
      </c>
      <c r="U70" s="8"/>
      <c r="V70" s="8"/>
      <c r="W70" s="8"/>
      <c r="X70" s="8"/>
      <c r="Y70" s="8"/>
      <c r="Z70" s="8"/>
    </row>
    <row r="71" spans="1:26" ht="15.75" customHeight="1" x14ac:dyDescent="0.3">
      <c r="A71" s="18">
        <v>65</v>
      </c>
      <c r="B71" s="21" t="s">
        <v>223</v>
      </c>
      <c r="C71" s="30" t="s">
        <v>224</v>
      </c>
      <c r="D71" s="21" t="s">
        <v>225</v>
      </c>
      <c r="E71" s="22">
        <v>20</v>
      </c>
      <c r="F71" s="18">
        <v>10</v>
      </c>
      <c r="G71" s="18">
        <v>10</v>
      </c>
      <c r="H71" s="18">
        <v>10</v>
      </c>
      <c r="I71" s="18">
        <v>10</v>
      </c>
      <c r="J71" s="18">
        <v>10</v>
      </c>
      <c r="K71" s="18">
        <v>10</v>
      </c>
      <c r="L71" s="18">
        <v>10</v>
      </c>
      <c r="M71" s="18">
        <v>10</v>
      </c>
      <c r="N71" s="18">
        <v>10</v>
      </c>
      <c r="O71" s="18">
        <v>10</v>
      </c>
      <c r="P71" s="18">
        <v>10</v>
      </c>
      <c r="Q71" s="18">
        <v>10</v>
      </c>
      <c r="R71" s="18">
        <f t="shared" si="0"/>
        <v>120</v>
      </c>
      <c r="S71" s="8">
        <f t="shared" si="3"/>
        <v>140</v>
      </c>
      <c r="T71" s="8">
        <f t="shared" si="1"/>
        <v>140</v>
      </c>
      <c r="U71" s="8"/>
      <c r="V71" s="8"/>
      <c r="W71" s="8"/>
      <c r="X71" s="8"/>
      <c r="Y71" s="8"/>
      <c r="Z71" s="8"/>
    </row>
    <row r="72" spans="1:26" ht="15.75" customHeight="1" x14ac:dyDescent="0.3">
      <c r="A72" s="18">
        <v>66</v>
      </c>
      <c r="B72" s="21" t="s">
        <v>226</v>
      </c>
      <c r="C72" s="25" t="s">
        <v>227</v>
      </c>
      <c r="D72" s="21" t="s">
        <v>228</v>
      </c>
      <c r="E72" s="22">
        <v>20</v>
      </c>
      <c r="F72" s="18">
        <v>10</v>
      </c>
      <c r="G72" s="18">
        <v>10</v>
      </c>
      <c r="H72" s="18">
        <v>10</v>
      </c>
      <c r="I72" s="18">
        <v>10</v>
      </c>
      <c r="J72" s="18">
        <v>10</v>
      </c>
      <c r="K72" s="18">
        <v>10</v>
      </c>
      <c r="L72" s="18">
        <v>10</v>
      </c>
      <c r="M72" s="18">
        <v>10</v>
      </c>
      <c r="N72" s="18">
        <v>10</v>
      </c>
      <c r="O72" s="18">
        <v>10</v>
      </c>
      <c r="P72" s="18">
        <v>10</v>
      </c>
      <c r="Q72" s="18">
        <v>10</v>
      </c>
      <c r="R72" s="24">
        <f t="shared" si="0"/>
        <v>120</v>
      </c>
      <c r="S72" s="8">
        <f t="shared" si="3"/>
        <v>140</v>
      </c>
      <c r="T72" s="8">
        <f t="shared" si="1"/>
        <v>140</v>
      </c>
      <c r="U72" s="8" t="s">
        <v>229</v>
      </c>
      <c r="V72" s="38">
        <v>42945</v>
      </c>
    </row>
    <row r="73" spans="1:26" ht="15.75" customHeight="1" x14ac:dyDescent="0.3">
      <c r="A73" s="18">
        <v>67</v>
      </c>
      <c r="B73" s="21" t="s">
        <v>230</v>
      </c>
      <c r="C73" s="28" t="s">
        <v>231</v>
      </c>
      <c r="D73" s="21" t="s">
        <v>232</v>
      </c>
      <c r="E73" s="22">
        <v>20</v>
      </c>
      <c r="F73" s="18">
        <v>10</v>
      </c>
      <c r="G73" s="18">
        <v>10</v>
      </c>
      <c r="H73" s="18">
        <v>10</v>
      </c>
      <c r="I73" s="18">
        <v>10</v>
      </c>
      <c r="J73" s="18">
        <v>10</v>
      </c>
      <c r="K73" s="18">
        <v>10</v>
      </c>
      <c r="L73" s="18">
        <v>10</v>
      </c>
      <c r="M73" s="18">
        <v>10</v>
      </c>
      <c r="N73" s="18">
        <v>10</v>
      </c>
      <c r="O73" s="18">
        <v>10</v>
      </c>
      <c r="P73" s="18">
        <v>10</v>
      </c>
      <c r="Q73" s="18">
        <v>10</v>
      </c>
      <c r="R73" s="18">
        <f t="shared" si="0"/>
        <v>120</v>
      </c>
      <c r="S73" s="8">
        <f t="shared" si="3"/>
        <v>140</v>
      </c>
      <c r="T73" s="8">
        <f t="shared" si="1"/>
        <v>140</v>
      </c>
    </row>
    <row r="74" spans="1:26" ht="15.75" customHeight="1" x14ac:dyDescent="0.3">
      <c r="A74" s="18">
        <v>68</v>
      </c>
      <c r="B74" s="21" t="s">
        <v>233</v>
      </c>
      <c r="C74" s="23" t="s">
        <v>234</v>
      </c>
      <c r="D74" s="21" t="s">
        <v>235</v>
      </c>
      <c r="E74" s="22">
        <v>20</v>
      </c>
      <c r="F74" s="18">
        <v>10</v>
      </c>
      <c r="G74" s="18">
        <v>10</v>
      </c>
      <c r="H74" s="18">
        <v>10</v>
      </c>
      <c r="I74" s="18">
        <v>10</v>
      </c>
      <c r="J74" s="18">
        <v>10</v>
      </c>
      <c r="K74" s="18">
        <v>10</v>
      </c>
      <c r="L74" s="18">
        <v>10</v>
      </c>
      <c r="M74" s="18">
        <v>10</v>
      </c>
      <c r="N74" s="18">
        <v>10</v>
      </c>
      <c r="O74" s="18">
        <v>10</v>
      </c>
      <c r="P74" s="18">
        <v>10</v>
      </c>
      <c r="Q74" s="18">
        <v>10</v>
      </c>
      <c r="R74" s="18">
        <f t="shared" si="0"/>
        <v>120</v>
      </c>
      <c r="T74" s="8">
        <f t="shared" si="1"/>
        <v>140</v>
      </c>
      <c r="U74" s="8" t="s">
        <v>24</v>
      </c>
    </row>
    <row r="75" spans="1:26" ht="15.75" customHeight="1" x14ac:dyDescent="0.3">
      <c r="A75" s="18">
        <v>69</v>
      </c>
      <c r="B75" s="21" t="s">
        <v>236</v>
      </c>
      <c r="C75" s="23" t="s">
        <v>237</v>
      </c>
      <c r="D75" s="21" t="s">
        <v>238</v>
      </c>
      <c r="E75" s="22">
        <v>20</v>
      </c>
      <c r="F75" s="18">
        <v>10</v>
      </c>
      <c r="G75" s="18">
        <v>10</v>
      </c>
      <c r="H75" s="18">
        <v>10</v>
      </c>
      <c r="I75" s="18">
        <v>10</v>
      </c>
      <c r="J75" s="18">
        <v>10</v>
      </c>
      <c r="K75" s="18">
        <v>10</v>
      </c>
      <c r="L75" s="18">
        <v>10</v>
      </c>
      <c r="M75" s="18">
        <v>10</v>
      </c>
      <c r="N75" s="18">
        <v>10</v>
      </c>
      <c r="O75" s="18">
        <v>10</v>
      </c>
      <c r="P75" s="18">
        <v>10</v>
      </c>
      <c r="Q75" s="18">
        <v>10</v>
      </c>
      <c r="R75" s="18">
        <f t="shared" si="0"/>
        <v>120</v>
      </c>
      <c r="T75" s="8">
        <f t="shared" si="1"/>
        <v>140</v>
      </c>
      <c r="U75" s="8" t="s">
        <v>24</v>
      </c>
    </row>
    <row r="76" spans="1:26" ht="15.75" customHeight="1" x14ac:dyDescent="0.3">
      <c r="A76" s="18">
        <v>70</v>
      </c>
      <c r="B76" s="21" t="s">
        <v>239</v>
      </c>
      <c r="C76" s="32" t="s">
        <v>240</v>
      </c>
      <c r="D76" s="21" t="s">
        <v>241</v>
      </c>
      <c r="E76" s="22">
        <v>20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/>
      <c r="Q76" s="18"/>
      <c r="R76" s="24">
        <f t="shared" si="0"/>
        <v>100</v>
      </c>
      <c r="T76" s="8">
        <f t="shared" si="1"/>
        <v>0</v>
      </c>
      <c r="U76" s="8" t="s">
        <v>229</v>
      </c>
    </row>
    <row r="77" spans="1:26" ht="15.75" customHeight="1" x14ac:dyDescent="0.3">
      <c r="A77" s="18">
        <v>71</v>
      </c>
      <c r="B77" s="21" t="s">
        <v>242</v>
      </c>
      <c r="C77" s="23" t="s">
        <v>243</v>
      </c>
      <c r="D77" s="21" t="s">
        <v>244</v>
      </c>
      <c r="E77" s="22">
        <v>20</v>
      </c>
      <c r="F77" s="18">
        <v>10</v>
      </c>
      <c r="G77" s="18">
        <v>10</v>
      </c>
      <c r="H77" s="18">
        <v>10</v>
      </c>
      <c r="I77" s="18">
        <v>10</v>
      </c>
      <c r="J77" s="18">
        <v>10</v>
      </c>
      <c r="K77" s="18">
        <v>10</v>
      </c>
      <c r="L77" s="18">
        <v>10</v>
      </c>
      <c r="M77" s="18">
        <v>10</v>
      </c>
      <c r="N77" s="18">
        <v>10</v>
      </c>
      <c r="O77" s="18">
        <v>10</v>
      </c>
      <c r="P77" s="18">
        <v>10</v>
      </c>
      <c r="Q77" s="18">
        <v>10</v>
      </c>
      <c r="R77" s="18">
        <f t="shared" si="0"/>
        <v>120</v>
      </c>
      <c r="T77" s="8">
        <f t="shared" si="1"/>
        <v>140</v>
      </c>
    </row>
    <row r="78" spans="1:26" ht="15.75" customHeight="1" x14ac:dyDescent="0.3">
      <c r="A78" s="18">
        <v>72</v>
      </c>
      <c r="B78" s="21" t="s">
        <v>245</v>
      </c>
      <c r="C78" s="23" t="s">
        <v>246</v>
      </c>
      <c r="D78" s="21" t="s">
        <v>247</v>
      </c>
      <c r="E78" s="22">
        <v>20</v>
      </c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f t="shared" si="0"/>
        <v>120</v>
      </c>
      <c r="T78" s="8">
        <f t="shared" si="1"/>
        <v>140</v>
      </c>
    </row>
    <row r="79" spans="1:26" ht="15.75" customHeight="1" x14ac:dyDescent="0.3">
      <c r="A79" s="18">
        <v>73</v>
      </c>
      <c r="B79" s="21" t="s">
        <v>248</v>
      </c>
      <c r="C79" s="23" t="s">
        <v>249</v>
      </c>
      <c r="D79" s="21" t="s">
        <v>250</v>
      </c>
      <c r="E79" s="22">
        <v>20</v>
      </c>
      <c r="F79" s="18">
        <v>10</v>
      </c>
      <c r="G79" s="18">
        <v>10</v>
      </c>
      <c r="H79" s="18">
        <v>10</v>
      </c>
      <c r="I79" s="18">
        <v>10</v>
      </c>
      <c r="J79" s="18">
        <v>10</v>
      </c>
      <c r="K79" s="18">
        <v>10</v>
      </c>
      <c r="L79" s="18">
        <v>10</v>
      </c>
      <c r="M79" s="18">
        <v>10</v>
      </c>
      <c r="N79" s="18">
        <v>10</v>
      </c>
      <c r="O79" s="18">
        <v>10</v>
      </c>
      <c r="P79" s="18">
        <v>10</v>
      </c>
      <c r="Q79" s="18">
        <v>10</v>
      </c>
      <c r="R79" s="18">
        <f t="shared" si="0"/>
        <v>120</v>
      </c>
      <c r="T79" s="8">
        <f t="shared" si="1"/>
        <v>140</v>
      </c>
    </row>
    <row r="80" spans="1:26" ht="15.75" customHeight="1" x14ac:dyDescent="0.3">
      <c r="A80" s="18">
        <v>74</v>
      </c>
      <c r="B80" s="21" t="s">
        <v>251</v>
      </c>
      <c r="C80" s="23" t="s">
        <v>252</v>
      </c>
      <c r="D80" s="21" t="s">
        <v>253</v>
      </c>
      <c r="E80" s="22">
        <v>20</v>
      </c>
      <c r="F80" s="18">
        <v>10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24">
        <f t="shared" si="0"/>
        <v>10</v>
      </c>
      <c r="T80" s="8">
        <f t="shared" si="1"/>
        <v>0</v>
      </c>
    </row>
    <row r="81" spans="1:21" ht="15.75" customHeight="1" x14ac:dyDescent="0.3">
      <c r="A81" s="18">
        <v>75</v>
      </c>
      <c r="B81" s="21" t="s">
        <v>254</v>
      </c>
      <c r="C81" s="23" t="s">
        <v>255</v>
      </c>
      <c r="D81" s="21" t="s">
        <v>256</v>
      </c>
      <c r="E81" s="22">
        <v>20</v>
      </c>
      <c r="F81" s="18">
        <v>10</v>
      </c>
      <c r="G81" s="18">
        <v>10</v>
      </c>
      <c r="H81" s="18">
        <v>10</v>
      </c>
      <c r="I81" s="18">
        <v>10</v>
      </c>
      <c r="J81" s="18">
        <v>10</v>
      </c>
      <c r="K81" s="18">
        <v>10</v>
      </c>
      <c r="L81" s="18">
        <v>10</v>
      </c>
      <c r="M81" s="18">
        <v>10</v>
      </c>
      <c r="N81" s="18">
        <v>10</v>
      </c>
      <c r="O81" s="18">
        <v>10</v>
      </c>
      <c r="P81" s="18">
        <v>10</v>
      </c>
      <c r="Q81" s="18">
        <v>10</v>
      </c>
      <c r="R81" s="18">
        <f t="shared" si="0"/>
        <v>120</v>
      </c>
      <c r="T81" s="8">
        <f t="shared" si="1"/>
        <v>140</v>
      </c>
    </row>
    <row r="82" spans="1:21" ht="15.75" customHeight="1" x14ac:dyDescent="0.3">
      <c r="A82" s="18">
        <v>76</v>
      </c>
      <c r="B82" s="21" t="s">
        <v>257</v>
      </c>
      <c r="C82" s="23" t="s">
        <v>258</v>
      </c>
      <c r="D82" s="21" t="s">
        <v>259</v>
      </c>
      <c r="E82" s="22">
        <v>20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f t="shared" si="0"/>
        <v>120</v>
      </c>
      <c r="T82" s="8">
        <f t="shared" si="1"/>
        <v>140</v>
      </c>
    </row>
    <row r="83" spans="1:21" ht="15.75" customHeight="1" x14ac:dyDescent="0.3">
      <c r="A83" s="18">
        <v>77</v>
      </c>
      <c r="B83" s="21" t="s">
        <v>260</v>
      </c>
      <c r="C83" s="20" t="s">
        <v>261</v>
      </c>
      <c r="D83" s="21" t="s">
        <v>262</v>
      </c>
      <c r="E83" s="22">
        <v>20</v>
      </c>
      <c r="F83" s="18">
        <v>10</v>
      </c>
      <c r="G83" s="18">
        <v>10</v>
      </c>
      <c r="H83" s="18">
        <v>10</v>
      </c>
      <c r="I83" s="18">
        <v>10</v>
      </c>
      <c r="J83" s="18">
        <v>10</v>
      </c>
      <c r="K83" s="18">
        <v>10</v>
      </c>
      <c r="L83" s="18">
        <v>10</v>
      </c>
      <c r="M83" s="18">
        <v>10</v>
      </c>
      <c r="N83" s="18">
        <v>10</v>
      </c>
      <c r="O83" s="18">
        <v>10</v>
      </c>
      <c r="P83" s="18">
        <v>10</v>
      </c>
      <c r="Q83" s="18">
        <v>10</v>
      </c>
      <c r="R83" s="24">
        <f t="shared" si="0"/>
        <v>120</v>
      </c>
      <c r="T83" s="8">
        <f t="shared" si="1"/>
        <v>140</v>
      </c>
      <c r="U83" s="8" t="s">
        <v>28</v>
      </c>
    </row>
    <row r="84" spans="1:21" ht="15.75" customHeight="1" x14ac:dyDescent="0.3">
      <c r="A84" s="18">
        <v>78</v>
      </c>
      <c r="B84" s="21" t="s">
        <v>263</v>
      </c>
      <c r="C84" s="18" t="s">
        <v>264</v>
      </c>
      <c r="D84" s="21" t="s">
        <v>265</v>
      </c>
      <c r="E84" s="22">
        <v>20</v>
      </c>
      <c r="F84" s="18">
        <v>10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24">
        <f t="shared" si="0"/>
        <v>10</v>
      </c>
      <c r="T84" s="8">
        <f t="shared" si="1"/>
        <v>0</v>
      </c>
      <c r="U84" s="8" t="s">
        <v>229</v>
      </c>
    </row>
    <row r="85" spans="1:21" ht="15.75" customHeight="1" x14ac:dyDescent="0.3">
      <c r="A85" s="18">
        <v>79</v>
      </c>
      <c r="B85" s="21" t="s">
        <v>266</v>
      </c>
      <c r="C85" s="32" t="s">
        <v>267</v>
      </c>
      <c r="D85" s="21" t="s">
        <v>45</v>
      </c>
      <c r="E85" s="22">
        <v>20</v>
      </c>
      <c r="F85" s="18">
        <v>10</v>
      </c>
      <c r="G85" s="18">
        <v>10</v>
      </c>
      <c r="H85" s="18">
        <v>10</v>
      </c>
      <c r="I85" s="18">
        <v>10</v>
      </c>
      <c r="J85" s="18">
        <v>10</v>
      </c>
      <c r="K85" s="18">
        <v>10</v>
      </c>
      <c r="L85" s="18">
        <v>10</v>
      </c>
      <c r="M85" s="18">
        <v>10</v>
      </c>
      <c r="N85" s="18">
        <v>10</v>
      </c>
      <c r="O85" s="18">
        <v>10</v>
      </c>
      <c r="P85" s="18"/>
      <c r="Q85" s="18"/>
      <c r="R85" s="18">
        <f t="shared" si="0"/>
        <v>100</v>
      </c>
      <c r="T85" s="8">
        <f t="shared" si="1"/>
        <v>0</v>
      </c>
    </row>
    <row r="86" spans="1:21" ht="15.75" customHeight="1" x14ac:dyDescent="0.3">
      <c r="A86" s="18">
        <v>80</v>
      </c>
      <c r="B86" s="21" t="s">
        <v>268</v>
      </c>
      <c r="C86" s="39" t="s">
        <v>269</v>
      </c>
      <c r="D86" s="21" t="s">
        <v>270</v>
      </c>
      <c r="E86" s="22">
        <v>20</v>
      </c>
      <c r="F86" s="18">
        <v>10</v>
      </c>
      <c r="G86" s="18">
        <v>10</v>
      </c>
      <c r="H86" s="18">
        <v>10</v>
      </c>
      <c r="I86" s="18">
        <v>10</v>
      </c>
      <c r="J86" s="18">
        <v>10</v>
      </c>
      <c r="K86" s="18">
        <v>10</v>
      </c>
      <c r="L86" s="18">
        <v>10</v>
      </c>
      <c r="M86" s="18">
        <v>10</v>
      </c>
      <c r="N86" s="18">
        <v>10</v>
      </c>
      <c r="O86" s="18">
        <v>10</v>
      </c>
      <c r="P86" s="18">
        <v>10</v>
      </c>
      <c r="Q86" s="18">
        <v>10</v>
      </c>
      <c r="R86" s="24">
        <f t="shared" si="0"/>
        <v>120</v>
      </c>
      <c r="T86" s="8">
        <f t="shared" si="1"/>
        <v>140</v>
      </c>
      <c r="U86" s="8" t="s">
        <v>271</v>
      </c>
    </row>
    <row r="87" spans="1:21" ht="15.75" customHeight="1" x14ac:dyDescent="0.3">
      <c r="A87" s="18">
        <v>81</v>
      </c>
      <c r="B87" s="21" t="s">
        <v>272</v>
      </c>
      <c r="C87" s="18"/>
      <c r="D87" s="21"/>
      <c r="E87" s="22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T87" s="8">
        <f t="shared" si="1"/>
        <v>0</v>
      </c>
    </row>
    <row r="88" spans="1:21" ht="15.75" customHeight="1" x14ac:dyDescent="0.3">
      <c r="A88" s="18">
        <v>82</v>
      </c>
      <c r="B88" s="21" t="s">
        <v>273</v>
      </c>
      <c r="C88" s="18"/>
      <c r="D88" s="21"/>
      <c r="E88" s="22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>
        <f t="shared" ref="R88:R140" si="4">SUM(F88:Q88)</f>
        <v>0</v>
      </c>
      <c r="T88" s="8">
        <f t="shared" si="1"/>
        <v>0</v>
      </c>
    </row>
    <row r="89" spans="1:21" ht="15.75" customHeight="1" x14ac:dyDescent="0.3">
      <c r="A89" s="18">
        <v>83</v>
      </c>
      <c r="B89" s="21" t="s">
        <v>274</v>
      </c>
      <c r="C89" s="20" t="s">
        <v>275</v>
      </c>
      <c r="D89" s="21" t="s">
        <v>276</v>
      </c>
      <c r="E89" s="22">
        <v>20</v>
      </c>
      <c r="F89" s="18">
        <v>10</v>
      </c>
      <c r="G89" s="18">
        <v>10</v>
      </c>
      <c r="H89" s="18">
        <v>10</v>
      </c>
      <c r="I89" s="18">
        <v>10</v>
      </c>
      <c r="J89" s="18">
        <v>10</v>
      </c>
      <c r="K89" s="18">
        <v>10</v>
      </c>
      <c r="L89" s="18">
        <v>10</v>
      </c>
      <c r="M89" s="18">
        <v>10</v>
      </c>
      <c r="N89" s="18">
        <v>10</v>
      </c>
      <c r="O89" s="18">
        <v>10</v>
      </c>
      <c r="P89" s="18">
        <v>10</v>
      </c>
      <c r="Q89" s="18">
        <v>10</v>
      </c>
      <c r="R89" s="18">
        <f t="shared" si="4"/>
        <v>120</v>
      </c>
      <c r="T89" s="8">
        <f t="shared" si="1"/>
        <v>140</v>
      </c>
      <c r="U89" s="8" t="s">
        <v>24</v>
      </c>
    </row>
    <row r="90" spans="1:21" ht="15.75" customHeight="1" x14ac:dyDescent="0.3">
      <c r="A90" s="18">
        <v>84</v>
      </c>
      <c r="B90" s="21" t="s">
        <v>277</v>
      </c>
      <c r="C90" s="18"/>
      <c r="D90" s="21"/>
      <c r="E90" s="22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>
        <f t="shared" si="4"/>
        <v>0</v>
      </c>
      <c r="T90" s="8">
        <f t="shared" si="1"/>
        <v>0</v>
      </c>
    </row>
    <row r="91" spans="1:21" ht="15.75" customHeight="1" x14ac:dyDescent="0.3">
      <c r="A91" s="18">
        <v>85</v>
      </c>
      <c r="B91" s="21" t="s">
        <v>278</v>
      </c>
      <c r="C91" s="18"/>
      <c r="D91" s="21"/>
      <c r="E91" s="22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>
        <f t="shared" si="4"/>
        <v>0</v>
      </c>
      <c r="T91" s="8">
        <f t="shared" si="1"/>
        <v>0</v>
      </c>
    </row>
    <row r="92" spans="1:21" ht="15.75" customHeight="1" x14ac:dyDescent="0.3">
      <c r="A92" s="18">
        <v>86</v>
      </c>
      <c r="B92" s="21" t="s">
        <v>279</v>
      </c>
      <c r="C92" s="18"/>
      <c r="D92" s="21"/>
      <c r="E92" s="22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>
        <f t="shared" si="4"/>
        <v>0</v>
      </c>
      <c r="T92" s="8">
        <f t="shared" si="1"/>
        <v>0</v>
      </c>
    </row>
    <row r="93" spans="1:21" ht="15.75" customHeight="1" x14ac:dyDescent="0.3">
      <c r="A93" s="18">
        <v>87</v>
      </c>
      <c r="B93" s="21" t="s">
        <v>280</v>
      </c>
      <c r="C93" s="18"/>
      <c r="D93" s="21"/>
      <c r="E93" s="22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>
        <f t="shared" si="4"/>
        <v>0</v>
      </c>
      <c r="T93" s="8">
        <f t="shared" si="1"/>
        <v>0</v>
      </c>
    </row>
    <row r="94" spans="1:21" ht="15.75" customHeight="1" x14ac:dyDescent="0.3">
      <c r="A94" s="18">
        <v>88</v>
      </c>
      <c r="B94" s="21" t="s">
        <v>281</v>
      </c>
      <c r="C94" s="20" t="s">
        <v>282</v>
      </c>
      <c r="D94" s="21" t="s">
        <v>283</v>
      </c>
      <c r="E94" s="22">
        <v>20</v>
      </c>
      <c r="F94" s="18">
        <v>10</v>
      </c>
      <c r="G94" s="18">
        <v>10</v>
      </c>
      <c r="H94" s="18">
        <v>10</v>
      </c>
      <c r="I94" s="18">
        <v>10</v>
      </c>
      <c r="J94" s="18">
        <v>10</v>
      </c>
      <c r="K94" s="18">
        <v>10</v>
      </c>
      <c r="L94" s="18">
        <v>10</v>
      </c>
      <c r="M94" s="18">
        <v>10</v>
      </c>
      <c r="N94" s="18">
        <v>10</v>
      </c>
      <c r="O94" s="18">
        <v>10</v>
      </c>
      <c r="P94" s="18">
        <v>10</v>
      </c>
      <c r="Q94" s="18">
        <v>10</v>
      </c>
      <c r="R94" s="18">
        <f t="shared" si="4"/>
        <v>120</v>
      </c>
      <c r="T94" s="8">
        <f t="shared" si="1"/>
        <v>140</v>
      </c>
      <c r="U94" s="8" t="s">
        <v>24</v>
      </c>
    </row>
    <row r="95" spans="1:21" ht="15.75" customHeight="1" x14ac:dyDescent="0.3">
      <c r="A95" s="18">
        <v>89</v>
      </c>
      <c r="B95" s="21" t="s">
        <v>284</v>
      </c>
      <c r="C95" s="18"/>
      <c r="D95" s="21"/>
      <c r="E95" s="22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>
        <f t="shared" si="4"/>
        <v>0</v>
      </c>
      <c r="T95" s="8">
        <f t="shared" si="1"/>
        <v>0</v>
      </c>
    </row>
    <row r="96" spans="1:21" ht="15.75" customHeight="1" x14ac:dyDescent="0.3">
      <c r="A96" s="18">
        <v>90</v>
      </c>
      <c r="B96" s="21" t="s">
        <v>285</v>
      </c>
      <c r="C96" s="18"/>
      <c r="D96" s="21"/>
      <c r="E96" s="22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>
        <f t="shared" si="4"/>
        <v>0</v>
      </c>
      <c r="T96" s="8">
        <f t="shared" si="1"/>
        <v>0</v>
      </c>
    </row>
    <row r="97" spans="1:21" ht="15.75" customHeight="1" x14ac:dyDescent="0.3">
      <c r="A97" s="18">
        <v>91</v>
      </c>
      <c r="B97" s="21" t="s">
        <v>286</v>
      </c>
      <c r="C97" s="18"/>
      <c r="D97" s="21"/>
      <c r="E97" s="22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>
        <f t="shared" si="4"/>
        <v>0</v>
      </c>
      <c r="T97" s="8">
        <f t="shared" si="1"/>
        <v>0</v>
      </c>
    </row>
    <row r="98" spans="1:21" ht="15.75" customHeight="1" x14ac:dyDescent="0.3">
      <c r="A98" s="18">
        <v>92</v>
      </c>
      <c r="B98" s="21" t="s">
        <v>287</v>
      </c>
      <c r="C98" s="18"/>
      <c r="D98" s="21"/>
      <c r="E98" s="22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>
        <f t="shared" si="4"/>
        <v>0</v>
      </c>
      <c r="T98" s="8">
        <f t="shared" si="1"/>
        <v>0</v>
      </c>
    </row>
    <row r="99" spans="1:21" ht="15.75" customHeight="1" x14ac:dyDescent="0.3">
      <c r="A99" s="18">
        <v>93</v>
      </c>
      <c r="B99" s="21" t="s">
        <v>288</v>
      </c>
      <c r="C99" s="18"/>
      <c r="D99" s="21"/>
      <c r="E99" s="22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>
        <f t="shared" si="4"/>
        <v>0</v>
      </c>
      <c r="T99" s="8">
        <f t="shared" si="1"/>
        <v>0</v>
      </c>
    </row>
    <row r="100" spans="1:21" ht="15.75" customHeight="1" x14ac:dyDescent="0.3">
      <c r="A100" s="18">
        <v>94</v>
      </c>
      <c r="B100" s="21" t="s">
        <v>289</v>
      </c>
      <c r="C100" s="18"/>
      <c r="D100" s="21"/>
      <c r="E100" s="22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>
        <f t="shared" si="4"/>
        <v>0</v>
      </c>
      <c r="T100" s="8">
        <f t="shared" si="1"/>
        <v>0</v>
      </c>
    </row>
    <row r="101" spans="1:21" ht="15.75" customHeight="1" x14ac:dyDescent="0.3">
      <c r="A101" s="18">
        <v>95</v>
      </c>
      <c r="B101" s="21" t="s">
        <v>290</v>
      </c>
      <c r="C101" s="18"/>
      <c r="D101" s="21"/>
      <c r="E101" s="22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>
        <f t="shared" si="4"/>
        <v>0</v>
      </c>
      <c r="T101" s="8">
        <f t="shared" si="1"/>
        <v>0</v>
      </c>
    </row>
    <row r="102" spans="1:21" ht="15.75" customHeight="1" x14ac:dyDescent="0.3">
      <c r="A102" s="18">
        <v>96</v>
      </c>
      <c r="B102" s="21" t="s">
        <v>291</v>
      </c>
      <c r="C102" s="18"/>
      <c r="D102" s="21"/>
      <c r="E102" s="22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>
        <f t="shared" si="4"/>
        <v>0</v>
      </c>
      <c r="T102" s="8">
        <f t="shared" si="1"/>
        <v>0</v>
      </c>
    </row>
    <row r="103" spans="1:21" ht="15.75" customHeight="1" x14ac:dyDescent="0.3">
      <c r="A103" s="18">
        <v>97</v>
      </c>
      <c r="B103" s="21" t="s">
        <v>292</v>
      </c>
      <c r="C103" s="18"/>
      <c r="D103" s="21"/>
      <c r="E103" s="22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>
        <f t="shared" si="4"/>
        <v>0</v>
      </c>
      <c r="T103" s="8">
        <f t="shared" si="1"/>
        <v>0</v>
      </c>
    </row>
    <row r="104" spans="1:21" ht="15.75" customHeight="1" x14ac:dyDescent="0.3">
      <c r="A104" s="18">
        <v>98</v>
      </c>
      <c r="B104" s="21" t="s">
        <v>293</v>
      </c>
      <c r="C104" s="18"/>
      <c r="D104" s="21"/>
      <c r="E104" s="2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>
        <f t="shared" si="4"/>
        <v>0</v>
      </c>
      <c r="T104" s="8">
        <f t="shared" si="1"/>
        <v>0</v>
      </c>
    </row>
    <row r="105" spans="1:21" ht="15.75" customHeight="1" x14ac:dyDescent="0.3">
      <c r="A105" s="18">
        <v>99</v>
      </c>
      <c r="B105" s="21" t="s">
        <v>294</v>
      </c>
      <c r="C105" s="18"/>
      <c r="D105" s="21"/>
      <c r="E105" s="22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>
        <f t="shared" si="4"/>
        <v>0</v>
      </c>
      <c r="T105" s="8">
        <f t="shared" si="1"/>
        <v>0</v>
      </c>
    </row>
    <row r="106" spans="1:21" ht="15.75" customHeight="1" x14ac:dyDescent="0.3">
      <c r="A106" s="18">
        <v>100</v>
      </c>
      <c r="B106" s="21" t="s">
        <v>295</v>
      </c>
      <c r="C106" s="18"/>
      <c r="D106" s="21"/>
      <c r="E106" s="22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>
        <f t="shared" si="4"/>
        <v>0</v>
      </c>
      <c r="T106" s="8">
        <f t="shared" si="1"/>
        <v>0</v>
      </c>
    </row>
    <row r="107" spans="1:21" ht="15.75" customHeight="1" x14ac:dyDescent="0.3">
      <c r="A107" s="18">
        <v>101</v>
      </c>
      <c r="B107" s="21" t="s">
        <v>296</v>
      </c>
      <c r="C107" s="18"/>
      <c r="D107" s="21"/>
      <c r="E107" s="22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>
        <f t="shared" si="4"/>
        <v>0</v>
      </c>
      <c r="T107" s="8">
        <f t="shared" si="1"/>
        <v>0</v>
      </c>
    </row>
    <row r="108" spans="1:21" ht="15.75" customHeight="1" x14ac:dyDescent="0.3">
      <c r="A108" s="18">
        <v>102</v>
      </c>
      <c r="B108" s="21" t="s">
        <v>297</v>
      </c>
      <c r="C108" s="18"/>
      <c r="D108" s="21"/>
      <c r="E108" s="22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>
        <f t="shared" si="4"/>
        <v>0</v>
      </c>
      <c r="T108" s="8">
        <f t="shared" si="1"/>
        <v>0</v>
      </c>
    </row>
    <row r="109" spans="1:21" ht="15.75" customHeight="1" x14ac:dyDescent="0.3">
      <c r="A109" s="18">
        <v>103</v>
      </c>
      <c r="B109" s="21" t="s">
        <v>298</v>
      </c>
      <c r="C109" s="18"/>
      <c r="D109" s="21"/>
      <c r="E109" s="22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>
        <f t="shared" si="4"/>
        <v>0</v>
      </c>
      <c r="T109" s="8">
        <f t="shared" si="1"/>
        <v>0</v>
      </c>
    </row>
    <row r="110" spans="1:21" ht="15.75" customHeight="1" x14ac:dyDescent="0.3">
      <c r="A110" s="18">
        <v>104</v>
      </c>
      <c r="B110" s="21" t="s">
        <v>299</v>
      </c>
      <c r="C110" s="18"/>
      <c r="D110" s="21"/>
      <c r="E110" s="22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>
        <f t="shared" si="4"/>
        <v>0</v>
      </c>
      <c r="T110" s="8">
        <f t="shared" si="1"/>
        <v>0</v>
      </c>
    </row>
    <row r="111" spans="1:21" ht="15.75" customHeight="1" x14ac:dyDescent="0.3">
      <c r="A111" s="18">
        <v>105</v>
      </c>
      <c r="B111" s="21" t="s">
        <v>300</v>
      </c>
      <c r="C111" s="23" t="s">
        <v>301</v>
      </c>
      <c r="D111" s="21" t="s">
        <v>302</v>
      </c>
      <c r="E111" s="22">
        <v>20</v>
      </c>
      <c r="F111" s="18">
        <v>10</v>
      </c>
      <c r="G111" s="18">
        <v>10</v>
      </c>
      <c r="H111" s="18">
        <v>10</v>
      </c>
      <c r="I111" s="18">
        <v>10</v>
      </c>
      <c r="J111" s="18">
        <v>10</v>
      </c>
      <c r="K111" s="18">
        <v>10</v>
      </c>
      <c r="L111" s="18">
        <v>10</v>
      </c>
      <c r="M111" s="18">
        <v>10</v>
      </c>
      <c r="N111" s="18">
        <v>10</v>
      </c>
      <c r="O111" s="18">
        <v>10</v>
      </c>
      <c r="P111" s="18">
        <v>10</v>
      </c>
      <c r="Q111" s="18">
        <v>10</v>
      </c>
      <c r="R111" s="18">
        <f t="shared" si="4"/>
        <v>120</v>
      </c>
      <c r="T111" s="8">
        <f t="shared" si="1"/>
        <v>140</v>
      </c>
      <c r="U111" s="8" t="s">
        <v>24</v>
      </c>
    </row>
    <row r="112" spans="1:21" ht="15.75" customHeight="1" x14ac:dyDescent="0.3">
      <c r="A112" s="18">
        <v>106</v>
      </c>
      <c r="B112" s="21" t="s">
        <v>303</v>
      </c>
      <c r="C112" s="18"/>
      <c r="D112" s="21"/>
      <c r="E112" s="22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>
        <f t="shared" si="4"/>
        <v>0</v>
      </c>
      <c r="T112" s="8">
        <f t="shared" si="1"/>
        <v>0</v>
      </c>
    </row>
    <row r="113" spans="1:21" ht="15.75" customHeight="1" x14ac:dyDescent="0.3">
      <c r="A113" s="18">
        <v>107</v>
      </c>
      <c r="B113" s="21" t="s">
        <v>304</v>
      </c>
      <c r="C113" s="18"/>
      <c r="D113" s="21"/>
      <c r="E113" s="22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>
        <f t="shared" si="4"/>
        <v>0</v>
      </c>
      <c r="T113" s="8">
        <f t="shared" si="1"/>
        <v>0</v>
      </c>
    </row>
    <row r="114" spans="1:21" ht="15.75" customHeight="1" x14ac:dyDescent="0.3">
      <c r="A114" s="18">
        <v>108</v>
      </c>
      <c r="B114" s="21" t="s">
        <v>305</v>
      </c>
      <c r="C114" s="18"/>
      <c r="D114" s="21"/>
      <c r="E114" s="22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>
        <f t="shared" si="4"/>
        <v>0</v>
      </c>
      <c r="T114" s="8">
        <f t="shared" si="1"/>
        <v>0</v>
      </c>
    </row>
    <row r="115" spans="1:21" ht="15.75" customHeight="1" x14ac:dyDescent="0.3">
      <c r="A115" s="18">
        <v>109</v>
      </c>
      <c r="B115" s="21" t="s">
        <v>306</v>
      </c>
      <c r="C115" s="18"/>
      <c r="D115" s="21"/>
      <c r="E115" s="22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>
        <f t="shared" si="4"/>
        <v>0</v>
      </c>
      <c r="T115" s="8">
        <f t="shared" si="1"/>
        <v>0</v>
      </c>
    </row>
    <row r="116" spans="1:21" ht="15.75" customHeight="1" x14ac:dyDescent="0.3">
      <c r="A116" s="18">
        <v>110</v>
      </c>
      <c r="B116" s="21" t="s">
        <v>307</v>
      </c>
      <c r="C116" s="18"/>
      <c r="D116" s="21"/>
      <c r="E116" s="2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>
        <f t="shared" si="4"/>
        <v>0</v>
      </c>
      <c r="T116" s="8">
        <f t="shared" si="1"/>
        <v>0</v>
      </c>
    </row>
    <row r="117" spans="1:21" ht="15.75" customHeight="1" x14ac:dyDescent="0.3">
      <c r="A117" s="18">
        <v>111</v>
      </c>
      <c r="B117" s="21" t="s">
        <v>308</v>
      </c>
      <c r="C117" s="20" t="s">
        <v>309</v>
      </c>
      <c r="D117" s="21" t="s">
        <v>310</v>
      </c>
      <c r="E117" s="22">
        <v>20</v>
      </c>
      <c r="F117" s="18">
        <v>10</v>
      </c>
      <c r="G117" s="18">
        <v>10</v>
      </c>
      <c r="H117" s="18">
        <v>10</v>
      </c>
      <c r="I117" s="18">
        <v>10</v>
      </c>
      <c r="J117" s="18">
        <v>10</v>
      </c>
      <c r="K117" s="18">
        <v>10</v>
      </c>
      <c r="L117" s="18">
        <v>10</v>
      </c>
      <c r="M117" s="18">
        <v>10</v>
      </c>
      <c r="N117" s="18">
        <v>10</v>
      </c>
      <c r="O117" s="18">
        <v>10</v>
      </c>
      <c r="P117" s="18">
        <v>10</v>
      </c>
      <c r="Q117" s="18">
        <v>10</v>
      </c>
      <c r="R117" s="18">
        <f t="shared" si="4"/>
        <v>120</v>
      </c>
      <c r="T117" s="8">
        <f t="shared" si="1"/>
        <v>140</v>
      </c>
      <c r="U117" s="8" t="s">
        <v>28</v>
      </c>
    </row>
    <row r="118" spans="1:21" ht="15.75" customHeight="1" x14ac:dyDescent="0.3">
      <c r="A118" s="18">
        <v>112</v>
      </c>
      <c r="B118" s="21" t="s">
        <v>311</v>
      </c>
      <c r="C118" s="18"/>
      <c r="D118" s="21"/>
      <c r="E118" s="22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>
        <f t="shared" si="4"/>
        <v>0</v>
      </c>
      <c r="T118" s="8">
        <f t="shared" si="1"/>
        <v>0</v>
      </c>
    </row>
    <row r="119" spans="1:21" ht="15.75" customHeight="1" x14ac:dyDescent="0.3">
      <c r="A119" s="18">
        <v>113</v>
      </c>
      <c r="B119" s="21" t="s">
        <v>312</v>
      </c>
      <c r="C119" s="18"/>
      <c r="D119" s="21"/>
      <c r="E119" s="22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>
        <f t="shared" si="4"/>
        <v>0</v>
      </c>
      <c r="T119" s="8">
        <f t="shared" si="1"/>
        <v>0</v>
      </c>
    </row>
    <row r="120" spans="1:21" ht="15.75" customHeight="1" x14ac:dyDescent="0.3">
      <c r="A120" s="18">
        <v>114</v>
      </c>
      <c r="B120" s="21" t="s">
        <v>313</v>
      </c>
      <c r="C120" s="18"/>
      <c r="D120" s="21"/>
      <c r="E120" s="22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>
        <f t="shared" si="4"/>
        <v>0</v>
      </c>
      <c r="T120" s="8">
        <f t="shared" si="1"/>
        <v>0</v>
      </c>
    </row>
    <row r="121" spans="1:21" ht="15.75" customHeight="1" x14ac:dyDescent="0.3">
      <c r="A121" s="18">
        <v>115</v>
      </c>
      <c r="B121" s="21" t="s">
        <v>314</v>
      </c>
      <c r="C121" s="18"/>
      <c r="D121" s="21"/>
      <c r="E121" s="22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>
        <f t="shared" si="4"/>
        <v>0</v>
      </c>
      <c r="T121" s="8">
        <f t="shared" si="1"/>
        <v>0</v>
      </c>
    </row>
    <row r="122" spans="1:21" ht="15.75" customHeight="1" x14ac:dyDescent="0.3">
      <c r="A122" s="18">
        <v>116</v>
      </c>
      <c r="B122" s="21" t="s">
        <v>315</v>
      </c>
      <c r="C122" s="18"/>
      <c r="D122" s="21"/>
      <c r="E122" s="22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>
        <f t="shared" si="4"/>
        <v>0</v>
      </c>
      <c r="T122" s="8">
        <f t="shared" si="1"/>
        <v>0</v>
      </c>
    </row>
    <row r="123" spans="1:21" ht="15.75" customHeight="1" x14ac:dyDescent="0.3">
      <c r="A123" s="18">
        <v>117</v>
      </c>
      <c r="B123" s="21" t="s">
        <v>316</v>
      </c>
      <c r="C123" s="18"/>
      <c r="D123" s="21"/>
      <c r="E123" s="22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>
        <f t="shared" si="4"/>
        <v>0</v>
      </c>
      <c r="T123" s="8">
        <f t="shared" si="1"/>
        <v>0</v>
      </c>
    </row>
    <row r="124" spans="1:21" ht="15.75" customHeight="1" x14ac:dyDescent="0.3">
      <c r="A124" s="18">
        <v>118</v>
      </c>
      <c r="B124" s="21" t="s">
        <v>317</v>
      </c>
      <c r="C124" s="18"/>
      <c r="D124" s="21"/>
      <c r="E124" s="22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>
        <f t="shared" si="4"/>
        <v>0</v>
      </c>
      <c r="T124" s="8">
        <f t="shared" si="1"/>
        <v>0</v>
      </c>
    </row>
    <row r="125" spans="1:21" ht="15.75" customHeight="1" x14ac:dyDescent="0.3">
      <c r="A125" s="18">
        <v>119</v>
      </c>
      <c r="B125" s="21" t="s">
        <v>318</v>
      </c>
      <c r="C125" s="18"/>
      <c r="D125" s="21"/>
      <c r="E125" s="22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>
        <f t="shared" si="4"/>
        <v>0</v>
      </c>
      <c r="T125" s="8">
        <f t="shared" si="1"/>
        <v>0</v>
      </c>
    </row>
    <row r="126" spans="1:21" ht="15.75" customHeight="1" x14ac:dyDescent="0.3">
      <c r="A126" s="18">
        <v>120</v>
      </c>
      <c r="B126" s="21" t="s">
        <v>319</v>
      </c>
      <c r="C126" s="18"/>
      <c r="D126" s="21"/>
      <c r="E126" s="22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>
        <f t="shared" si="4"/>
        <v>0</v>
      </c>
      <c r="T126" s="8">
        <f t="shared" si="1"/>
        <v>0</v>
      </c>
    </row>
    <row r="127" spans="1:21" ht="15.75" customHeight="1" x14ac:dyDescent="0.3">
      <c r="A127" s="18">
        <v>121</v>
      </c>
      <c r="B127" s="21" t="s">
        <v>320</v>
      </c>
      <c r="C127" s="23" t="s">
        <v>321</v>
      </c>
      <c r="D127" s="21" t="s">
        <v>322</v>
      </c>
      <c r="E127" s="22">
        <v>20</v>
      </c>
      <c r="F127" s="18">
        <v>10</v>
      </c>
      <c r="G127" s="18">
        <v>10</v>
      </c>
      <c r="H127" s="18">
        <v>10</v>
      </c>
      <c r="I127" s="18">
        <v>10</v>
      </c>
      <c r="J127" s="18">
        <v>10</v>
      </c>
      <c r="K127" s="18">
        <v>10</v>
      </c>
      <c r="L127" s="18">
        <v>10</v>
      </c>
      <c r="M127" s="18">
        <v>10</v>
      </c>
      <c r="N127" s="18">
        <v>10</v>
      </c>
      <c r="O127" s="18">
        <v>10</v>
      </c>
      <c r="P127" s="18">
        <v>10</v>
      </c>
      <c r="Q127" s="18">
        <v>10</v>
      </c>
      <c r="R127" s="18">
        <f t="shared" si="4"/>
        <v>120</v>
      </c>
      <c r="T127" s="8">
        <f t="shared" si="1"/>
        <v>140</v>
      </c>
      <c r="U127" s="8" t="s">
        <v>24</v>
      </c>
    </row>
    <row r="128" spans="1:21" ht="15.75" customHeight="1" x14ac:dyDescent="0.3">
      <c r="A128" s="18">
        <v>122</v>
      </c>
      <c r="B128" s="21" t="s">
        <v>323</v>
      </c>
      <c r="C128" s="18"/>
      <c r="D128" s="21"/>
      <c r="E128" s="2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>
        <f t="shared" si="4"/>
        <v>0</v>
      </c>
      <c r="T128" s="8">
        <f t="shared" si="1"/>
        <v>0</v>
      </c>
    </row>
    <row r="129" spans="1:26" ht="15.75" customHeight="1" x14ac:dyDescent="0.3">
      <c r="A129" s="18">
        <v>123</v>
      </c>
      <c r="B129" s="21" t="s">
        <v>324</v>
      </c>
      <c r="C129" s="20" t="s">
        <v>325</v>
      </c>
      <c r="D129" s="21" t="s">
        <v>326</v>
      </c>
      <c r="E129" s="22">
        <v>20</v>
      </c>
      <c r="F129" s="18">
        <v>10</v>
      </c>
      <c r="G129" s="18">
        <v>10</v>
      </c>
      <c r="H129" s="18">
        <v>10</v>
      </c>
      <c r="I129" s="18">
        <v>10</v>
      </c>
      <c r="J129" s="18">
        <v>10</v>
      </c>
      <c r="K129" s="18">
        <v>10</v>
      </c>
      <c r="L129" s="18">
        <v>10</v>
      </c>
      <c r="M129" s="18">
        <v>10</v>
      </c>
      <c r="N129" s="18">
        <v>10</v>
      </c>
      <c r="O129" s="18">
        <v>10</v>
      </c>
      <c r="P129" s="18">
        <v>10</v>
      </c>
      <c r="Q129" s="18">
        <v>10</v>
      </c>
      <c r="R129" s="18">
        <f t="shared" si="4"/>
        <v>120</v>
      </c>
      <c r="T129" s="8">
        <f t="shared" si="1"/>
        <v>140</v>
      </c>
      <c r="U129" s="8" t="s">
        <v>24</v>
      </c>
    </row>
    <row r="130" spans="1:26" ht="15.75" customHeight="1" x14ac:dyDescent="0.3">
      <c r="A130" s="18">
        <v>124</v>
      </c>
      <c r="B130" s="21" t="s">
        <v>327</v>
      </c>
      <c r="C130" s="18"/>
      <c r="D130" s="21"/>
      <c r="E130" s="22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>
        <f t="shared" si="4"/>
        <v>0</v>
      </c>
      <c r="T130" s="8">
        <f t="shared" si="1"/>
        <v>0</v>
      </c>
    </row>
    <row r="131" spans="1:26" ht="15.75" customHeight="1" x14ac:dyDescent="0.3">
      <c r="A131" s="18">
        <v>125</v>
      </c>
      <c r="B131" s="21" t="s">
        <v>328</v>
      </c>
      <c r="C131" s="20" t="s">
        <v>329</v>
      </c>
      <c r="D131" s="21" t="s">
        <v>330</v>
      </c>
      <c r="E131" s="22">
        <v>20</v>
      </c>
      <c r="F131" s="18">
        <v>10</v>
      </c>
      <c r="G131" s="18">
        <v>10</v>
      </c>
      <c r="H131" s="18">
        <v>10</v>
      </c>
      <c r="I131" s="18">
        <v>10</v>
      </c>
      <c r="J131" s="18">
        <v>10</v>
      </c>
      <c r="K131" s="18">
        <v>10</v>
      </c>
      <c r="L131" s="18">
        <v>10</v>
      </c>
      <c r="M131" s="18">
        <v>10</v>
      </c>
      <c r="N131" s="18">
        <v>10</v>
      </c>
      <c r="O131" s="18">
        <v>10</v>
      </c>
      <c r="P131" s="18">
        <v>10</v>
      </c>
      <c r="Q131" s="18">
        <v>10</v>
      </c>
      <c r="R131" s="18">
        <f t="shared" si="4"/>
        <v>120</v>
      </c>
      <c r="T131" s="8">
        <f t="shared" si="1"/>
        <v>140</v>
      </c>
      <c r="U131" s="8" t="s">
        <v>28</v>
      </c>
    </row>
    <row r="132" spans="1:26" ht="15.75" customHeight="1" x14ac:dyDescent="0.3">
      <c r="A132" s="18"/>
      <c r="B132" s="21" t="s">
        <v>331</v>
      </c>
      <c r="C132" s="26" t="s">
        <v>332</v>
      </c>
      <c r="D132" s="21" t="s">
        <v>333</v>
      </c>
      <c r="E132" s="22">
        <v>20</v>
      </c>
      <c r="F132" s="18">
        <v>10</v>
      </c>
      <c r="G132" s="18">
        <v>10</v>
      </c>
      <c r="H132" s="18">
        <v>10</v>
      </c>
      <c r="I132" s="18">
        <v>10</v>
      </c>
      <c r="J132" s="18">
        <v>10</v>
      </c>
      <c r="K132" s="18">
        <v>10</v>
      </c>
      <c r="L132" s="18">
        <v>10</v>
      </c>
      <c r="M132" s="18">
        <v>10</v>
      </c>
      <c r="N132" s="18">
        <v>10</v>
      </c>
      <c r="O132" s="18">
        <v>10</v>
      </c>
      <c r="P132" s="18">
        <v>10</v>
      </c>
      <c r="Q132" s="18">
        <v>10</v>
      </c>
      <c r="R132" s="18">
        <f t="shared" si="4"/>
        <v>120</v>
      </c>
      <c r="T132" s="8">
        <f t="shared" si="1"/>
        <v>140</v>
      </c>
      <c r="U132" s="8" t="s">
        <v>42</v>
      </c>
    </row>
    <row r="133" spans="1:26" ht="15.75" customHeight="1" x14ac:dyDescent="0.3">
      <c r="A133" s="18"/>
      <c r="B133" s="21" t="s">
        <v>334</v>
      </c>
      <c r="C133" s="20" t="s">
        <v>335</v>
      </c>
      <c r="D133" s="21" t="s">
        <v>336</v>
      </c>
      <c r="E133" s="22">
        <v>20</v>
      </c>
      <c r="F133" s="18">
        <v>10</v>
      </c>
      <c r="G133" s="18">
        <v>10</v>
      </c>
      <c r="H133" s="18">
        <v>10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24">
        <f t="shared" si="4"/>
        <v>30</v>
      </c>
      <c r="T133" s="8">
        <f t="shared" si="1"/>
        <v>0</v>
      </c>
      <c r="U133" s="8" t="s">
        <v>24</v>
      </c>
      <c r="V133" s="8" t="s">
        <v>337</v>
      </c>
    </row>
    <row r="134" spans="1:26" ht="15.75" customHeight="1" x14ac:dyDescent="0.3">
      <c r="A134" s="18"/>
      <c r="B134" s="21" t="s">
        <v>338</v>
      </c>
      <c r="C134" s="26" t="s">
        <v>339</v>
      </c>
      <c r="D134" s="21" t="s">
        <v>340</v>
      </c>
      <c r="E134" s="22">
        <v>20</v>
      </c>
      <c r="F134" s="18">
        <v>10</v>
      </c>
      <c r="G134" s="18">
        <v>10</v>
      </c>
      <c r="H134" s="18">
        <v>10</v>
      </c>
      <c r="I134" s="18">
        <v>10</v>
      </c>
      <c r="J134" s="18">
        <v>10</v>
      </c>
      <c r="K134" s="18">
        <v>10</v>
      </c>
      <c r="L134" s="18">
        <v>10</v>
      </c>
      <c r="M134" s="18">
        <v>10</v>
      </c>
      <c r="N134" s="18">
        <v>10</v>
      </c>
      <c r="O134" s="18">
        <v>10</v>
      </c>
      <c r="P134" s="18">
        <v>10</v>
      </c>
      <c r="Q134" s="18">
        <v>10</v>
      </c>
      <c r="R134" s="18">
        <f t="shared" si="4"/>
        <v>120</v>
      </c>
      <c r="T134" s="8">
        <f t="shared" si="1"/>
        <v>140</v>
      </c>
      <c r="U134" s="8" t="s">
        <v>341</v>
      </c>
    </row>
    <row r="135" spans="1:26" ht="15.75" customHeight="1" x14ac:dyDescent="0.3">
      <c r="A135" s="18"/>
      <c r="B135" s="21" t="s">
        <v>342</v>
      </c>
      <c r="C135" s="25" t="s">
        <v>343</v>
      </c>
      <c r="D135" s="21" t="s">
        <v>344</v>
      </c>
      <c r="E135" s="22">
        <v>20</v>
      </c>
      <c r="F135" s="18">
        <v>10</v>
      </c>
      <c r="G135" s="18">
        <v>10</v>
      </c>
      <c r="H135" s="18">
        <v>10</v>
      </c>
      <c r="I135" s="18">
        <v>10</v>
      </c>
      <c r="J135" s="18">
        <v>10</v>
      </c>
      <c r="K135" s="18">
        <v>10</v>
      </c>
      <c r="L135" s="18">
        <v>10</v>
      </c>
      <c r="M135" s="18">
        <v>10</v>
      </c>
      <c r="N135" s="18">
        <v>10</v>
      </c>
      <c r="O135" s="18">
        <v>10</v>
      </c>
      <c r="P135" s="18">
        <v>10</v>
      </c>
      <c r="Q135" s="18">
        <v>10</v>
      </c>
      <c r="R135" s="18">
        <f t="shared" si="4"/>
        <v>120</v>
      </c>
      <c r="T135" s="8">
        <f t="shared" si="1"/>
        <v>140</v>
      </c>
    </row>
    <row r="136" spans="1:26" ht="15.75" customHeight="1" x14ac:dyDescent="0.3">
      <c r="A136" s="18"/>
      <c r="B136" s="21" t="s">
        <v>345</v>
      </c>
      <c r="C136" s="23" t="s">
        <v>346</v>
      </c>
      <c r="D136" s="21"/>
      <c r="E136" s="22">
        <v>20</v>
      </c>
      <c r="F136" s="18">
        <v>10</v>
      </c>
      <c r="G136" s="18">
        <v>10</v>
      </c>
      <c r="H136" s="18">
        <v>10</v>
      </c>
      <c r="I136" s="18">
        <v>10</v>
      </c>
      <c r="J136" s="18">
        <v>10</v>
      </c>
      <c r="K136" s="18">
        <v>10</v>
      </c>
      <c r="L136" s="18">
        <v>10</v>
      </c>
      <c r="M136" s="18">
        <v>10</v>
      </c>
      <c r="N136" s="18">
        <v>10</v>
      </c>
      <c r="O136" s="18">
        <v>10</v>
      </c>
      <c r="P136" s="18">
        <v>10</v>
      </c>
      <c r="Q136" s="18">
        <v>10</v>
      </c>
      <c r="R136" s="18">
        <f t="shared" si="4"/>
        <v>120</v>
      </c>
      <c r="T136" s="8">
        <f t="shared" si="1"/>
        <v>140</v>
      </c>
    </row>
    <row r="137" spans="1:26" ht="15.75" customHeight="1" x14ac:dyDescent="0.3">
      <c r="A137" s="18"/>
      <c r="B137" s="21" t="s">
        <v>347</v>
      </c>
      <c r="C137" s="28" t="s">
        <v>348</v>
      </c>
      <c r="D137" s="21" t="s">
        <v>349</v>
      </c>
      <c r="E137" s="22">
        <v>20</v>
      </c>
      <c r="F137" s="18">
        <v>10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24">
        <f t="shared" si="4"/>
        <v>10</v>
      </c>
      <c r="T137" s="8">
        <f t="shared" si="1"/>
        <v>0</v>
      </c>
    </row>
    <row r="138" spans="1:26" ht="15.75" customHeight="1" x14ac:dyDescent="0.3">
      <c r="A138" s="33"/>
      <c r="B138" s="34" t="s">
        <v>350</v>
      </c>
      <c r="C138" s="35" t="s">
        <v>351</v>
      </c>
      <c r="D138" s="34" t="s">
        <v>82</v>
      </c>
      <c r="E138" s="36">
        <v>20</v>
      </c>
      <c r="F138" s="33">
        <v>10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24">
        <f t="shared" si="4"/>
        <v>10</v>
      </c>
      <c r="S138" s="37">
        <f>R138+E138</f>
        <v>30</v>
      </c>
      <c r="T138" s="37">
        <f t="shared" si="1"/>
        <v>0</v>
      </c>
      <c r="U138" s="37"/>
      <c r="V138" s="37"/>
      <c r="W138" s="37"/>
      <c r="X138" s="37"/>
      <c r="Y138" s="37"/>
      <c r="Z138" s="37"/>
    </row>
    <row r="139" spans="1:26" ht="15.75" customHeight="1" x14ac:dyDescent="0.3">
      <c r="A139" s="18"/>
      <c r="B139" s="21" t="s">
        <v>352</v>
      </c>
      <c r="C139" s="29" t="s">
        <v>353</v>
      </c>
      <c r="D139" s="21" t="s">
        <v>354</v>
      </c>
      <c r="E139" s="22">
        <v>20</v>
      </c>
      <c r="F139" s="18">
        <v>10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24">
        <f t="shared" si="4"/>
        <v>10</v>
      </c>
      <c r="S139" s="8"/>
      <c r="T139" s="8">
        <f t="shared" si="1"/>
        <v>0</v>
      </c>
      <c r="U139" s="8"/>
      <c r="V139" s="8"/>
      <c r="W139" s="8"/>
      <c r="X139" s="8"/>
      <c r="Y139" s="8"/>
      <c r="Z139" s="8"/>
    </row>
    <row r="140" spans="1:26" ht="15.75" customHeight="1" x14ac:dyDescent="0.3">
      <c r="A140" s="18"/>
      <c r="B140" s="21" t="s">
        <v>355</v>
      </c>
      <c r="C140" s="29" t="s">
        <v>356</v>
      </c>
      <c r="D140" s="21" t="s">
        <v>357</v>
      </c>
      <c r="E140" s="22">
        <v>20</v>
      </c>
      <c r="F140" s="18">
        <v>10</v>
      </c>
      <c r="G140" s="18">
        <v>10</v>
      </c>
      <c r="H140" s="18">
        <v>10</v>
      </c>
      <c r="I140" s="18">
        <v>10</v>
      </c>
      <c r="J140" s="18">
        <v>10</v>
      </c>
      <c r="K140" s="18">
        <v>10</v>
      </c>
      <c r="L140" s="18">
        <v>10</v>
      </c>
      <c r="M140" s="18">
        <v>10</v>
      </c>
      <c r="N140" s="18">
        <v>10</v>
      </c>
      <c r="O140" s="18">
        <v>10</v>
      </c>
      <c r="P140" s="18">
        <v>10</v>
      </c>
      <c r="Q140" s="18">
        <v>10</v>
      </c>
      <c r="R140" s="18">
        <f t="shared" si="4"/>
        <v>120</v>
      </c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18"/>
      <c r="B141" s="21"/>
      <c r="C141" s="30"/>
      <c r="D141" s="21"/>
      <c r="E141" s="22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 spans="1:26" ht="15.75" customHeight="1" x14ac:dyDescent="0.3">
      <c r="A142" s="8"/>
      <c r="B142" s="2"/>
      <c r="C142" s="40"/>
      <c r="D142" s="2"/>
      <c r="E142" s="41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</row>
    <row r="143" spans="1:26" ht="15.75" customHeight="1" x14ac:dyDescent="0.3">
      <c r="B143" s="2"/>
      <c r="D143" s="2" t="s">
        <v>358</v>
      </c>
      <c r="E143" s="41">
        <f t="shared" ref="E143:T143" si="5">SUM(E7:E141)</f>
        <v>1920</v>
      </c>
      <c r="F143" s="8">
        <f t="shared" si="5"/>
        <v>960</v>
      </c>
      <c r="G143" s="8">
        <f t="shared" si="5"/>
        <v>900</v>
      </c>
      <c r="H143" s="8">
        <f t="shared" si="5"/>
        <v>900</v>
      </c>
      <c r="I143" s="8">
        <f t="shared" si="5"/>
        <v>880</v>
      </c>
      <c r="J143" s="8">
        <f t="shared" si="5"/>
        <v>880</v>
      </c>
      <c r="K143" s="8">
        <f t="shared" si="5"/>
        <v>880</v>
      </c>
      <c r="L143" s="8">
        <f t="shared" si="5"/>
        <v>880</v>
      </c>
      <c r="M143" s="8">
        <f t="shared" si="5"/>
        <v>880</v>
      </c>
      <c r="N143" s="8">
        <f t="shared" si="5"/>
        <v>880</v>
      </c>
      <c r="O143" s="8">
        <f t="shared" si="5"/>
        <v>880</v>
      </c>
      <c r="P143" s="8">
        <f t="shared" si="5"/>
        <v>860</v>
      </c>
      <c r="Q143" s="8">
        <f t="shared" si="5"/>
        <v>860</v>
      </c>
      <c r="R143" s="8">
        <f t="shared" si="5"/>
        <v>10640</v>
      </c>
      <c r="S143" s="8">
        <f t="shared" si="5"/>
        <v>1480</v>
      </c>
      <c r="T143" s="8">
        <f t="shared" si="5"/>
        <v>11900</v>
      </c>
      <c r="U143" s="8">
        <f>T143/140</f>
        <v>85</v>
      </c>
    </row>
    <row r="144" spans="1:26" ht="15.75" customHeight="1" x14ac:dyDescent="0.3">
      <c r="B144" s="2"/>
      <c r="D144" s="2"/>
      <c r="E144" s="41">
        <f>E143/20</f>
        <v>96</v>
      </c>
    </row>
    <row r="145" spans="2:19" ht="15.75" customHeight="1" x14ac:dyDescent="0.3">
      <c r="B145" s="2"/>
      <c r="D145" s="2"/>
      <c r="S145" s="9">
        <f>C3-S143-280</f>
        <v>10800</v>
      </c>
    </row>
    <row r="146" spans="2:19" ht="15.75" customHeight="1" x14ac:dyDescent="0.3">
      <c r="B146" s="2"/>
      <c r="D146" s="2"/>
    </row>
    <row r="147" spans="2:19" ht="15.75" customHeight="1" x14ac:dyDescent="0.3">
      <c r="B147" s="2"/>
      <c r="D147" s="2"/>
    </row>
    <row r="148" spans="2:19" ht="15.75" customHeight="1" x14ac:dyDescent="0.3">
      <c r="B148" s="2"/>
      <c r="D148" s="2"/>
    </row>
    <row r="149" spans="2:19" ht="15.75" customHeight="1" x14ac:dyDescent="0.3">
      <c r="B149" s="2"/>
      <c r="D149" s="2"/>
    </row>
    <row r="150" spans="2:19" ht="15.75" customHeight="1" x14ac:dyDescent="0.3">
      <c r="B150" s="2"/>
      <c r="D150" s="2"/>
    </row>
    <row r="151" spans="2:19" ht="15.75" customHeight="1" x14ac:dyDescent="0.3">
      <c r="B151" s="2"/>
      <c r="D151" s="2"/>
    </row>
    <row r="152" spans="2:19" ht="15.75" customHeight="1" x14ac:dyDescent="0.3">
      <c r="B152" s="2"/>
      <c r="D152" s="2"/>
    </row>
    <row r="153" spans="2:19" ht="15.75" customHeight="1" x14ac:dyDescent="0.3">
      <c r="B153" s="2"/>
      <c r="D153" s="2"/>
    </row>
    <row r="154" spans="2:19" ht="15.75" customHeight="1" x14ac:dyDescent="0.3">
      <c r="B154" s="2"/>
      <c r="D154" s="2"/>
    </row>
    <row r="155" spans="2:19" ht="15.75" customHeight="1" x14ac:dyDescent="0.3">
      <c r="B155" s="2"/>
      <c r="D155" s="2"/>
    </row>
    <row r="156" spans="2:19" ht="15.75" customHeight="1" x14ac:dyDescent="0.3">
      <c r="B156" s="2"/>
      <c r="D156" s="2"/>
    </row>
    <row r="157" spans="2:19" ht="15.75" customHeight="1" x14ac:dyDescent="0.3">
      <c r="B157" s="2"/>
      <c r="D157" s="2"/>
    </row>
    <row r="158" spans="2:19" ht="15.75" customHeight="1" x14ac:dyDescent="0.3">
      <c r="B158" s="2"/>
      <c r="D158" s="2"/>
    </row>
    <row r="159" spans="2:19" ht="15.75" customHeight="1" x14ac:dyDescent="0.3">
      <c r="B159" s="2"/>
      <c r="D159" s="2"/>
    </row>
    <row r="160" spans="2:19" ht="15.75" customHeight="1" x14ac:dyDescent="0.3">
      <c r="B160" s="2"/>
      <c r="D160" s="2"/>
    </row>
    <row r="161" spans="2:4" ht="15.75" customHeight="1" x14ac:dyDescent="0.3">
      <c r="B161" s="2"/>
      <c r="D161" s="2"/>
    </row>
    <row r="162" spans="2:4" ht="15.75" customHeight="1" x14ac:dyDescent="0.3">
      <c r="B162" s="2"/>
      <c r="D162" s="2"/>
    </row>
    <row r="163" spans="2:4" ht="15.75" customHeight="1" x14ac:dyDescent="0.3">
      <c r="B163" s="2"/>
      <c r="D163" s="2"/>
    </row>
    <row r="164" spans="2:4" ht="15.75" customHeight="1" x14ac:dyDescent="0.3">
      <c r="B164" s="2"/>
      <c r="D164" s="2"/>
    </row>
    <row r="165" spans="2:4" ht="15.75" customHeight="1" x14ac:dyDescent="0.3">
      <c r="B165" s="2"/>
      <c r="D165" s="2"/>
    </row>
    <row r="166" spans="2:4" ht="15.75" customHeight="1" x14ac:dyDescent="0.3">
      <c r="B166" s="2"/>
      <c r="D166" s="2"/>
    </row>
    <row r="167" spans="2:4" ht="15.75" customHeight="1" x14ac:dyDescent="0.3">
      <c r="B167" s="2"/>
      <c r="D167" s="2"/>
    </row>
    <row r="168" spans="2:4" ht="15.75" customHeight="1" x14ac:dyDescent="0.3">
      <c r="B168" s="2"/>
      <c r="D168" s="2"/>
    </row>
    <row r="169" spans="2:4" ht="15.75" customHeight="1" x14ac:dyDescent="0.3">
      <c r="B169" s="2"/>
      <c r="D169" s="2"/>
    </row>
    <row r="170" spans="2:4" ht="15.75" customHeight="1" x14ac:dyDescent="0.3">
      <c r="B170" s="2"/>
      <c r="D170" s="2"/>
    </row>
    <row r="171" spans="2:4" ht="15.75" customHeight="1" x14ac:dyDescent="0.3">
      <c r="B171" s="2"/>
      <c r="D171" s="2"/>
    </row>
    <row r="172" spans="2:4" ht="15.75" customHeight="1" x14ac:dyDescent="0.3">
      <c r="B172" s="2"/>
      <c r="D172" s="2"/>
    </row>
    <row r="173" spans="2:4" ht="15.75" customHeight="1" x14ac:dyDescent="0.3">
      <c r="B173" s="2"/>
      <c r="D173" s="2"/>
    </row>
    <row r="174" spans="2:4" ht="15.75" customHeight="1" x14ac:dyDescent="0.3">
      <c r="B174" s="2"/>
      <c r="D174" s="2"/>
    </row>
    <row r="175" spans="2:4" ht="15.75" customHeight="1" x14ac:dyDescent="0.3">
      <c r="B175" s="2"/>
      <c r="D175" s="2"/>
    </row>
    <row r="176" spans="2:4" ht="15.75" customHeight="1" x14ac:dyDescent="0.3">
      <c r="B176" s="2"/>
      <c r="D176" s="2"/>
    </row>
    <row r="177" spans="2:4" ht="15.75" customHeight="1" x14ac:dyDescent="0.3">
      <c r="B177" s="2"/>
      <c r="D177" s="2"/>
    </row>
    <row r="178" spans="2:4" ht="15.75" customHeight="1" x14ac:dyDescent="0.3">
      <c r="B178" s="2"/>
      <c r="D178" s="2"/>
    </row>
    <row r="179" spans="2:4" ht="15.75" customHeight="1" x14ac:dyDescent="0.3">
      <c r="B179" s="2"/>
      <c r="D179" s="2"/>
    </row>
    <row r="180" spans="2:4" ht="15.75" customHeight="1" x14ac:dyDescent="0.3">
      <c r="B180" s="2"/>
      <c r="D180" s="2"/>
    </row>
    <row r="181" spans="2:4" ht="15.75" customHeight="1" x14ac:dyDescent="0.3">
      <c r="B181" s="2"/>
      <c r="D181" s="2"/>
    </row>
    <row r="182" spans="2:4" ht="15.75" customHeight="1" x14ac:dyDescent="0.3">
      <c r="B182" s="2"/>
      <c r="D182" s="2"/>
    </row>
    <row r="183" spans="2:4" ht="15.75" customHeight="1" x14ac:dyDescent="0.3">
      <c r="B183" s="2"/>
      <c r="D183" s="2"/>
    </row>
    <row r="184" spans="2:4" ht="15.75" customHeight="1" x14ac:dyDescent="0.3">
      <c r="B184" s="2"/>
      <c r="D184" s="2"/>
    </row>
    <row r="185" spans="2:4" ht="15.75" customHeight="1" x14ac:dyDescent="0.3">
      <c r="B185" s="2"/>
      <c r="D185" s="2"/>
    </row>
    <row r="186" spans="2:4" ht="15.75" customHeight="1" x14ac:dyDescent="0.3">
      <c r="B186" s="2"/>
      <c r="D186" s="2"/>
    </row>
    <row r="187" spans="2:4" ht="15.75" customHeight="1" x14ac:dyDescent="0.3">
      <c r="B187" s="2"/>
      <c r="D187" s="2"/>
    </row>
    <row r="188" spans="2:4" ht="15.75" customHeight="1" x14ac:dyDescent="0.3">
      <c r="B188" s="2"/>
      <c r="D188" s="2"/>
    </row>
    <row r="189" spans="2:4" ht="15.75" customHeight="1" x14ac:dyDescent="0.3">
      <c r="B189" s="2"/>
      <c r="D189" s="2"/>
    </row>
    <row r="190" spans="2:4" ht="15.75" customHeight="1" x14ac:dyDescent="0.3">
      <c r="B190" s="2"/>
      <c r="D190" s="2"/>
    </row>
    <row r="191" spans="2:4" ht="15.75" customHeight="1" x14ac:dyDescent="0.3">
      <c r="B191" s="2"/>
      <c r="D191" s="2"/>
    </row>
    <row r="192" spans="2:4" ht="15.75" customHeight="1" x14ac:dyDescent="0.3">
      <c r="B192" s="2"/>
      <c r="D192" s="2"/>
    </row>
    <row r="193" spans="2:4" ht="15.75" customHeight="1" x14ac:dyDescent="0.3">
      <c r="B193" s="2"/>
      <c r="D193" s="2"/>
    </row>
    <row r="194" spans="2:4" ht="15.75" customHeight="1" x14ac:dyDescent="0.3">
      <c r="B194" s="2"/>
      <c r="D194" s="2"/>
    </row>
    <row r="195" spans="2:4" ht="15.75" customHeight="1" x14ac:dyDescent="0.3">
      <c r="B195" s="2"/>
      <c r="D195" s="2"/>
    </row>
    <row r="196" spans="2:4" ht="15.75" customHeight="1" x14ac:dyDescent="0.3">
      <c r="B196" s="2"/>
      <c r="D196" s="2"/>
    </row>
    <row r="197" spans="2:4" ht="15.75" customHeight="1" x14ac:dyDescent="0.3">
      <c r="B197" s="2"/>
      <c r="D197" s="2"/>
    </row>
    <row r="198" spans="2:4" ht="15.75" customHeight="1" x14ac:dyDescent="0.3">
      <c r="B198" s="2"/>
      <c r="D198" s="2"/>
    </row>
    <row r="199" spans="2:4" ht="15.75" customHeight="1" x14ac:dyDescent="0.3">
      <c r="B199" s="2"/>
      <c r="D199" s="2"/>
    </row>
    <row r="200" spans="2:4" ht="15.75" customHeight="1" x14ac:dyDescent="0.3">
      <c r="B200" s="2"/>
      <c r="D200" s="2"/>
    </row>
    <row r="201" spans="2:4" ht="15.75" customHeight="1" x14ac:dyDescent="0.3">
      <c r="B201" s="2"/>
      <c r="D201" s="2"/>
    </row>
    <row r="202" spans="2:4" ht="15.75" customHeight="1" x14ac:dyDescent="0.3">
      <c r="B202" s="2"/>
      <c r="D202" s="2"/>
    </row>
    <row r="203" spans="2:4" ht="15.75" customHeight="1" x14ac:dyDescent="0.3">
      <c r="B203" s="2"/>
      <c r="D203" s="2"/>
    </row>
    <row r="204" spans="2:4" ht="15.75" customHeight="1" x14ac:dyDescent="0.3">
      <c r="B204" s="2"/>
      <c r="D204" s="2"/>
    </row>
    <row r="205" spans="2:4" ht="15.75" customHeight="1" x14ac:dyDescent="0.3">
      <c r="B205" s="2"/>
      <c r="D205" s="2"/>
    </row>
    <row r="206" spans="2:4" ht="15.75" customHeight="1" x14ac:dyDescent="0.3">
      <c r="B206" s="2"/>
      <c r="D206" s="2"/>
    </row>
    <row r="207" spans="2:4" ht="15.75" customHeight="1" x14ac:dyDescent="0.3">
      <c r="B207" s="2"/>
      <c r="D207" s="2"/>
    </row>
    <row r="208" spans="2:4" ht="15.75" customHeight="1" x14ac:dyDescent="0.3">
      <c r="B208" s="2"/>
      <c r="D208" s="2"/>
    </row>
    <row r="209" spans="2:4" ht="15.75" customHeight="1" x14ac:dyDescent="0.3">
      <c r="B209" s="2"/>
      <c r="D209" s="2"/>
    </row>
    <row r="210" spans="2:4" ht="15.75" customHeight="1" x14ac:dyDescent="0.3">
      <c r="B210" s="2"/>
      <c r="D210" s="2"/>
    </row>
    <row r="211" spans="2:4" ht="15.75" customHeight="1" x14ac:dyDescent="0.3">
      <c r="B211" s="2"/>
      <c r="D211" s="2"/>
    </row>
    <row r="212" spans="2:4" ht="15.75" customHeight="1" x14ac:dyDescent="0.3">
      <c r="B212" s="2"/>
      <c r="D212" s="2"/>
    </row>
    <row r="213" spans="2:4" ht="15.75" customHeight="1" x14ac:dyDescent="0.3">
      <c r="B213" s="2"/>
      <c r="D213" s="2"/>
    </row>
    <row r="214" spans="2:4" ht="15.75" customHeight="1" x14ac:dyDescent="0.3">
      <c r="B214" s="2"/>
      <c r="D214" s="2"/>
    </row>
    <row r="215" spans="2:4" ht="15.75" customHeight="1" x14ac:dyDescent="0.3">
      <c r="B215" s="2"/>
      <c r="D215" s="2"/>
    </row>
    <row r="216" spans="2:4" ht="15.75" customHeight="1" x14ac:dyDescent="0.3">
      <c r="B216" s="2"/>
      <c r="D216" s="2"/>
    </row>
    <row r="217" spans="2:4" ht="15.75" customHeight="1" x14ac:dyDescent="0.3">
      <c r="B217" s="2"/>
      <c r="D217" s="2"/>
    </row>
    <row r="218" spans="2:4" ht="15.75" customHeight="1" x14ac:dyDescent="0.3">
      <c r="B218" s="2"/>
      <c r="D218" s="2"/>
    </row>
    <row r="219" spans="2:4" ht="15.75" customHeight="1" x14ac:dyDescent="0.3">
      <c r="B219" s="2"/>
      <c r="D219" s="2"/>
    </row>
    <row r="220" spans="2:4" ht="15.75" customHeight="1" x14ac:dyDescent="0.3">
      <c r="B220" s="2"/>
      <c r="D220" s="2"/>
    </row>
    <row r="221" spans="2:4" ht="15.75" customHeight="1" x14ac:dyDescent="0.3">
      <c r="B221" s="2"/>
      <c r="D221" s="2"/>
    </row>
    <row r="222" spans="2:4" ht="15.75" customHeight="1" x14ac:dyDescent="0.3">
      <c r="B222" s="2"/>
      <c r="D222" s="2"/>
    </row>
    <row r="223" spans="2:4" ht="15.75" customHeight="1" x14ac:dyDescent="0.3">
      <c r="B223" s="2"/>
      <c r="D223" s="2"/>
    </row>
    <row r="224" spans="2:4" ht="15.75" customHeight="1" x14ac:dyDescent="0.3">
      <c r="B224" s="2"/>
      <c r="D224" s="2"/>
    </row>
    <row r="225" spans="2:4" ht="15.75" customHeight="1" x14ac:dyDescent="0.3">
      <c r="B225" s="2"/>
      <c r="D225" s="2"/>
    </row>
    <row r="226" spans="2:4" ht="15.75" customHeight="1" x14ac:dyDescent="0.3">
      <c r="B226" s="2"/>
      <c r="D226" s="2"/>
    </row>
    <row r="227" spans="2:4" ht="15.75" customHeight="1" x14ac:dyDescent="0.3">
      <c r="B227" s="2"/>
      <c r="D227" s="2"/>
    </row>
    <row r="228" spans="2:4" ht="15.75" customHeight="1" x14ac:dyDescent="0.3">
      <c r="B228" s="2"/>
      <c r="D228" s="2"/>
    </row>
    <row r="229" spans="2:4" ht="15.75" customHeight="1" x14ac:dyDescent="0.3">
      <c r="B229" s="2"/>
      <c r="D229" s="2"/>
    </row>
    <row r="230" spans="2:4" ht="15.75" customHeight="1" x14ac:dyDescent="0.3">
      <c r="B230" s="2"/>
      <c r="D230" s="2"/>
    </row>
    <row r="231" spans="2:4" ht="15.75" customHeight="1" x14ac:dyDescent="0.3">
      <c r="B231" s="2"/>
      <c r="D231" s="2"/>
    </row>
    <row r="232" spans="2:4" ht="15.75" customHeight="1" x14ac:dyDescent="0.3">
      <c r="B232" s="2"/>
      <c r="D232" s="2"/>
    </row>
    <row r="233" spans="2:4" ht="15.75" customHeight="1" x14ac:dyDescent="0.3">
      <c r="B233" s="2"/>
      <c r="D233" s="2"/>
    </row>
    <row r="234" spans="2:4" ht="15.75" customHeight="1" x14ac:dyDescent="0.3">
      <c r="B234" s="2"/>
      <c r="D234" s="2"/>
    </row>
    <row r="235" spans="2:4" ht="15.75" customHeight="1" x14ac:dyDescent="0.3">
      <c r="B235" s="2"/>
      <c r="D235" s="2"/>
    </row>
    <row r="236" spans="2:4" ht="15.75" customHeight="1" x14ac:dyDescent="0.3">
      <c r="B236" s="2"/>
      <c r="D236" s="2"/>
    </row>
    <row r="237" spans="2:4" ht="15.75" customHeight="1" x14ac:dyDescent="0.3">
      <c r="B237" s="2"/>
      <c r="D237" s="2"/>
    </row>
    <row r="238" spans="2:4" ht="15.75" customHeight="1" x14ac:dyDescent="0.3">
      <c r="B238" s="2"/>
      <c r="D238" s="2"/>
    </row>
    <row r="239" spans="2:4" ht="15.75" customHeight="1" x14ac:dyDescent="0.3">
      <c r="B239" s="2"/>
      <c r="D239" s="2"/>
    </row>
    <row r="240" spans="2:4" ht="15.75" customHeight="1" x14ac:dyDescent="0.3">
      <c r="B240" s="2"/>
      <c r="D240" s="2"/>
    </row>
    <row r="241" spans="2:4" ht="15.75" customHeight="1" x14ac:dyDescent="0.3">
      <c r="B241" s="2"/>
      <c r="D241" s="2"/>
    </row>
    <row r="242" spans="2:4" ht="15.75" customHeight="1" x14ac:dyDescent="0.3">
      <c r="B242" s="2"/>
      <c r="D242" s="2"/>
    </row>
    <row r="243" spans="2:4" ht="15.75" customHeight="1" x14ac:dyDescent="0.3">
      <c r="B243" s="2"/>
      <c r="D243" s="2"/>
    </row>
    <row r="244" spans="2:4" ht="15.75" customHeight="1" x14ac:dyDescent="0.3">
      <c r="B244" s="2"/>
      <c r="D244" s="2"/>
    </row>
    <row r="245" spans="2:4" ht="15.75" customHeight="1" x14ac:dyDescent="0.3">
      <c r="B245" s="2"/>
      <c r="D245" s="2"/>
    </row>
    <row r="246" spans="2:4" ht="15.75" customHeight="1" x14ac:dyDescent="0.3">
      <c r="B246" s="2"/>
      <c r="D246" s="2"/>
    </row>
    <row r="247" spans="2:4" ht="15.75" customHeight="1" x14ac:dyDescent="0.3">
      <c r="B247" s="2"/>
      <c r="D247" s="2"/>
    </row>
    <row r="248" spans="2:4" ht="15.75" customHeight="1" x14ac:dyDescent="0.3">
      <c r="B248" s="2"/>
      <c r="D248" s="2"/>
    </row>
    <row r="249" spans="2:4" ht="15.75" customHeight="1" x14ac:dyDescent="0.3">
      <c r="B249" s="2"/>
      <c r="D249" s="2"/>
    </row>
    <row r="250" spans="2:4" ht="15.75" customHeight="1" x14ac:dyDescent="0.3">
      <c r="B250" s="2"/>
      <c r="D250" s="2"/>
    </row>
    <row r="251" spans="2:4" ht="15.75" customHeight="1" x14ac:dyDescent="0.3">
      <c r="B251" s="2"/>
      <c r="D251" s="2"/>
    </row>
    <row r="252" spans="2:4" ht="15.75" customHeight="1" x14ac:dyDescent="0.3">
      <c r="B252" s="2"/>
      <c r="D252" s="2"/>
    </row>
    <row r="253" spans="2:4" ht="15.75" customHeight="1" x14ac:dyDescent="0.3">
      <c r="B253" s="2"/>
      <c r="D253" s="2"/>
    </row>
    <row r="254" spans="2:4" ht="15.75" customHeight="1" x14ac:dyDescent="0.3">
      <c r="B254" s="2"/>
      <c r="D254" s="2"/>
    </row>
    <row r="255" spans="2:4" ht="15.75" customHeight="1" x14ac:dyDescent="0.3">
      <c r="B255" s="2"/>
      <c r="D255" s="2"/>
    </row>
    <row r="256" spans="2:4" ht="15.75" customHeight="1" x14ac:dyDescent="0.3">
      <c r="B256" s="2"/>
      <c r="D256" s="2"/>
    </row>
    <row r="257" spans="2:4" ht="15.75" customHeight="1" x14ac:dyDescent="0.3">
      <c r="B257" s="2"/>
      <c r="D257" s="2"/>
    </row>
    <row r="258" spans="2:4" ht="15.75" customHeight="1" x14ac:dyDescent="0.3">
      <c r="B258" s="2"/>
      <c r="D258" s="2"/>
    </row>
    <row r="259" spans="2:4" ht="15.75" customHeight="1" x14ac:dyDescent="0.3">
      <c r="B259" s="2"/>
      <c r="D259" s="2"/>
    </row>
    <row r="260" spans="2:4" ht="15.75" customHeight="1" x14ac:dyDescent="0.3">
      <c r="B260" s="2"/>
      <c r="D260" s="2"/>
    </row>
    <row r="261" spans="2:4" ht="15.75" customHeight="1" x14ac:dyDescent="0.3">
      <c r="B261" s="2"/>
      <c r="D261" s="2"/>
    </row>
    <row r="262" spans="2:4" ht="15.75" customHeight="1" x14ac:dyDescent="0.3">
      <c r="B262" s="2"/>
      <c r="D262" s="2"/>
    </row>
    <row r="263" spans="2:4" ht="15.75" customHeight="1" x14ac:dyDescent="0.3">
      <c r="B263" s="2"/>
      <c r="D263" s="2"/>
    </row>
    <row r="264" spans="2:4" ht="15.75" customHeight="1" x14ac:dyDescent="0.3">
      <c r="B264" s="2"/>
      <c r="D264" s="2"/>
    </row>
    <row r="265" spans="2:4" ht="15.75" customHeight="1" x14ac:dyDescent="0.3">
      <c r="B265" s="2"/>
      <c r="D265" s="2"/>
    </row>
    <row r="266" spans="2:4" ht="15.75" customHeight="1" x14ac:dyDescent="0.3">
      <c r="B266" s="2"/>
      <c r="D266" s="2"/>
    </row>
    <row r="267" spans="2:4" ht="15.75" customHeight="1" x14ac:dyDescent="0.3">
      <c r="B267" s="2"/>
      <c r="D267" s="2"/>
    </row>
    <row r="268" spans="2:4" ht="15.75" customHeight="1" x14ac:dyDescent="0.3">
      <c r="B268" s="2"/>
      <c r="D268" s="2"/>
    </row>
    <row r="269" spans="2:4" ht="15.75" customHeight="1" x14ac:dyDescent="0.3">
      <c r="B269" s="2"/>
      <c r="D269" s="2"/>
    </row>
    <row r="270" spans="2:4" ht="15.75" customHeight="1" x14ac:dyDescent="0.3">
      <c r="B270" s="2"/>
      <c r="D270" s="2"/>
    </row>
    <row r="271" spans="2:4" ht="15.75" customHeight="1" x14ac:dyDescent="0.3">
      <c r="B271" s="2"/>
      <c r="D271" s="2"/>
    </row>
    <row r="272" spans="2:4" ht="15.75" customHeight="1" x14ac:dyDescent="0.3">
      <c r="B272" s="2"/>
      <c r="D272" s="2"/>
    </row>
    <row r="273" spans="2:4" ht="15.75" customHeight="1" x14ac:dyDescent="0.3">
      <c r="B273" s="2"/>
      <c r="D273" s="2"/>
    </row>
    <row r="274" spans="2:4" ht="15.75" customHeight="1" x14ac:dyDescent="0.3">
      <c r="B274" s="2"/>
      <c r="D274" s="2"/>
    </row>
    <row r="275" spans="2:4" ht="15.75" customHeight="1" x14ac:dyDescent="0.3">
      <c r="B275" s="2"/>
      <c r="D275" s="2"/>
    </row>
    <row r="276" spans="2:4" ht="15.75" customHeight="1" x14ac:dyDescent="0.3">
      <c r="B276" s="2"/>
      <c r="D276" s="2"/>
    </row>
    <row r="277" spans="2:4" ht="15.75" customHeight="1" x14ac:dyDescent="0.3">
      <c r="B277" s="2"/>
      <c r="D277" s="2"/>
    </row>
    <row r="278" spans="2:4" ht="15.75" customHeight="1" x14ac:dyDescent="0.3">
      <c r="B278" s="2"/>
      <c r="D278" s="2"/>
    </row>
    <row r="279" spans="2:4" ht="15.75" customHeight="1" x14ac:dyDescent="0.3">
      <c r="B279" s="2"/>
      <c r="D279" s="2"/>
    </row>
    <row r="280" spans="2:4" ht="15.75" customHeight="1" x14ac:dyDescent="0.3">
      <c r="B280" s="2"/>
      <c r="D280" s="2"/>
    </row>
    <row r="281" spans="2:4" ht="15.75" customHeight="1" x14ac:dyDescent="0.3">
      <c r="B281" s="2"/>
      <c r="D281" s="2"/>
    </row>
    <row r="282" spans="2:4" ht="15.75" customHeight="1" x14ac:dyDescent="0.3">
      <c r="B282" s="2"/>
      <c r="D282" s="2"/>
    </row>
    <row r="283" spans="2:4" ht="15.75" customHeight="1" x14ac:dyDescent="0.3">
      <c r="B283" s="2"/>
      <c r="D283" s="2"/>
    </row>
    <row r="284" spans="2:4" ht="15.75" customHeight="1" x14ac:dyDescent="0.3">
      <c r="B284" s="2"/>
      <c r="D284" s="2"/>
    </row>
    <row r="285" spans="2:4" ht="15.75" customHeight="1" x14ac:dyDescent="0.3">
      <c r="B285" s="2"/>
      <c r="D285" s="2"/>
    </row>
    <row r="286" spans="2:4" ht="15.75" customHeight="1" x14ac:dyDescent="0.3">
      <c r="B286" s="2"/>
      <c r="D286" s="2"/>
    </row>
    <row r="287" spans="2:4" ht="15.75" customHeight="1" x14ac:dyDescent="0.3">
      <c r="B287" s="2"/>
      <c r="D287" s="2"/>
    </row>
    <row r="288" spans="2:4" ht="15.75" customHeight="1" x14ac:dyDescent="0.3">
      <c r="B288" s="2"/>
      <c r="D288" s="2"/>
    </row>
    <row r="289" spans="2:4" ht="15.75" customHeight="1" x14ac:dyDescent="0.3">
      <c r="B289" s="2"/>
      <c r="D289" s="2"/>
    </row>
    <row r="290" spans="2:4" ht="15.75" customHeight="1" x14ac:dyDescent="0.3">
      <c r="B290" s="2"/>
      <c r="D290" s="2"/>
    </row>
    <row r="291" spans="2:4" ht="15.75" customHeight="1" x14ac:dyDescent="0.3">
      <c r="B291" s="2"/>
      <c r="D291" s="2"/>
    </row>
    <row r="292" spans="2:4" ht="15.75" customHeight="1" x14ac:dyDescent="0.3">
      <c r="B292" s="2"/>
      <c r="D292" s="2"/>
    </row>
    <row r="293" spans="2:4" ht="15.75" customHeight="1" x14ac:dyDescent="0.3">
      <c r="B293" s="2"/>
      <c r="D293" s="2"/>
    </row>
    <row r="294" spans="2:4" ht="15.75" customHeight="1" x14ac:dyDescent="0.3">
      <c r="B294" s="2"/>
      <c r="D294" s="2"/>
    </row>
    <row r="295" spans="2:4" ht="15.75" customHeight="1" x14ac:dyDescent="0.3">
      <c r="B295" s="2"/>
      <c r="D295" s="2"/>
    </row>
    <row r="296" spans="2:4" ht="15.75" customHeight="1" x14ac:dyDescent="0.3">
      <c r="B296" s="2"/>
      <c r="D296" s="2"/>
    </row>
    <row r="297" spans="2:4" ht="15.75" customHeight="1" x14ac:dyDescent="0.3">
      <c r="B297" s="2"/>
      <c r="D297" s="2"/>
    </row>
    <row r="298" spans="2:4" ht="15.75" customHeight="1" x14ac:dyDescent="0.3">
      <c r="B298" s="2"/>
      <c r="D298" s="2"/>
    </row>
    <row r="299" spans="2:4" ht="15.75" customHeight="1" x14ac:dyDescent="0.3">
      <c r="B299" s="2"/>
      <c r="D299" s="2"/>
    </row>
    <row r="300" spans="2:4" ht="15.75" customHeight="1" x14ac:dyDescent="0.3">
      <c r="B300" s="2"/>
      <c r="D300" s="2"/>
    </row>
    <row r="301" spans="2:4" ht="15.75" customHeight="1" x14ac:dyDescent="0.3">
      <c r="B301" s="2"/>
      <c r="D301" s="2"/>
    </row>
    <row r="302" spans="2:4" ht="15.75" customHeight="1" x14ac:dyDescent="0.3">
      <c r="B302" s="2"/>
      <c r="D302" s="2"/>
    </row>
    <row r="303" spans="2:4" ht="15.75" customHeight="1" x14ac:dyDescent="0.3">
      <c r="B303" s="2"/>
      <c r="D303" s="2"/>
    </row>
    <row r="304" spans="2:4" ht="15.75" customHeight="1" x14ac:dyDescent="0.3">
      <c r="B304" s="2"/>
      <c r="D304" s="2"/>
    </row>
    <row r="305" spans="2:4" ht="15.75" customHeight="1" x14ac:dyDescent="0.3">
      <c r="B305" s="2"/>
      <c r="D305" s="2"/>
    </row>
    <row r="306" spans="2:4" ht="15.75" customHeight="1" x14ac:dyDescent="0.3">
      <c r="B306" s="2"/>
      <c r="D306" s="2"/>
    </row>
    <row r="307" spans="2:4" ht="15.75" customHeight="1" x14ac:dyDescent="0.3">
      <c r="B307" s="2"/>
      <c r="D307" s="2"/>
    </row>
    <row r="308" spans="2:4" ht="15.75" customHeight="1" x14ac:dyDescent="0.3">
      <c r="B308" s="2"/>
      <c r="D308" s="2"/>
    </row>
    <row r="309" spans="2:4" ht="15.75" customHeight="1" x14ac:dyDescent="0.3">
      <c r="B309" s="2"/>
      <c r="D309" s="2"/>
    </row>
    <row r="310" spans="2:4" ht="15.75" customHeight="1" x14ac:dyDescent="0.3">
      <c r="B310" s="2"/>
      <c r="D310" s="2"/>
    </row>
    <row r="311" spans="2:4" ht="15.75" customHeight="1" x14ac:dyDescent="0.3">
      <c r="B311" s="2"/>
      <c r="D311" s="2"/>
    </row>
    <row r="312" spans="2:4" ht="15.75" customHeight="1" x14ac:dyDescent="0.3">
      <c r="B312" s="2"/>
      <c r="D312" s="2"/>
    </row>
    <row r="313" spans="2:4" ht="15.75" customHeight="1" x14ac:dyDescent="0.3">
      <c r="B313" s="2"/>
      <c r="D313" s="2"/>
    </row>
    <row r="314" spans="2:4" ht="15.75" customHeight="1" x14ac:dyDescent="0.3">
      <c r="B314" s="2"/>
      <c r="D314" s="2"/>
    </row>
    <row r="315" spans="2:4" ht="15.75" customHeight="1" x14ac:dyDescent="0.3">
      <c r="B315" s="2"/>
      <c r="D315" s="2"/>
    </row>
    <row r="316" spans="2:4" ht="15.75" customHeight="1" x14ac:dyDescent="0.3">
      <c r="B316" s="2"/>
      <c r="D316" s="2"/>
    </row>
    <row r="317" spans="2:4" ht="15.75" customHeight="1" x14ac:dyDescent="0.3">
      <c r="B317" s="2"/>
      <c r="D317" s="2"/>
    </row>
    <row r="318" spans="2:4" ht="15.75" customHeight="1" x14ac:dyDescent="0.3">
      <c r="B318" s="2"/>
      <c r="D318" s="2"/>
    </row>
    <row r="319" spans="2:4" ht="15.75" customHeight="1" x14ac:dyDescent="0.3">
      <c r="B319" s="2"/>
      <c r="D319" s="2"/>
    </row>
    <row r="320" spans="2:4" ht="15.75" customHeight="1" x14ac:dyDescent="0.3">
      <c r="B320" s="2"/>
      <c r="D320" s="2"/>
    </row>
    <row r="321" spans="2:4" ht="15.75" customHeight="1" x14ac:dyDescent="0.3">
      <c r="B321" s="2"/>
      <c r="D321" s="2"/>
    </row>
    <row r="322" spans="2:4" ht="15.75" customHeight="1" x14ac:dyDescent="0.3">
      <c r="B322" s="2"/>
      <c r="D322" s="2"/>
    </row>
    <row r="323" spans="2:4" ht="15.75" customHeight="1" x14ac:dyDescent="0.3">
      <c r="B323" s="2"/>
      <c r="D323" s="2"/>
    </row>
    <row r="324" spans="2:4" ht="15.75" customHeight="1" x14ac:dyDescent="0.3">
      <c r="B324" s="2"/>
      <c r="D324" s="2"/>
    </row>
    <row r="325" spans="2:4" ht="15.75" customHeight="1" x14ac:dyDescent="0.3">
      <c r="B325" s="2"/>
      <c r="D325" s="2"/>
    </row>
    <row r="326" spans="2:4" ht="15.75" customHeight="1" x14ac:dyDescent="0.3">
      <c r="B326" s="2"/>
      <c r="D326" s="2"/>
    </row>
    <row r="327" spans="2:4" ht="15.75" customHeight="1" x14ac:dyDescent="0.3">
      <c r="B327" s="2"/>
      <c r="D327" s="2"/>
    </row>
    <row r="328" spans="2:4" ht="15.75" customHeight="1" x14ac:dyDescent="0.3">
      <c r="B328" s="2"/>
      <c r="D328" s="2"/>
    </row>
    <row r="329" spans="2:4" ht="15.75" customHeight="1" x14ac:dyDescent="0.3">
      <c r="B329" s="2"/>
      <c r="D329" s="2"/>
    </row>
    <row r="330" spans="2:4" ht="15.75" customHeight="1" x14ac:dyDescent="0.3">
      <c r="B330" s="2"/>
      <c r="D330" s="2"/>
    </row>
    <row r="331" spans="2:4" ht="15.75" customHeight="1" x14ac:dyDescent="0.3">
      <c r="B331" s="2"/>
      <c r="D331" s="2"/>
    </row>
    <row r="332" spans="2:4" ht="15.75" customHeight="1" x14ac:dyDescent="0.3">
      <c r="B332" s="2"/>
      <c r="D332" s="2"/>
    </row>
    <row r="333" spans="2:4" ht="15.75" customHeight="1" x14ac:dyDescent="0.3">
      <c r="B333" s="2"/>
      <c r="D333" s="2"/>
    </row>
    <row r="334" spans="2:4" ht="15.75" customHeight="1" x14ac:dyDescent="0.3">
      <c r="B334" s="2"/>
      <c r="D334" s="2"/>
    </row>
    <row r="335" spans="2:4" ht="15.75" customHeight="1" x14ac:dyDescent="0.3">
      <c r="B335" s="2"/>
      <c r="D335" s="2"/>
    </row>
    <row r="336" spans="2:4" ht="15.75" customHeight="1" x14ac:dyDescent="0.3">
      <c r="B336" s="2"/>
      <c r="D336" s="2"/>
    </row>
    <row r="337" spans="2:4" ht="15.75" customHeight="1" x14ac:dyDescent="0.3">
      <c r="B337" s="2"/>
      <c r="D337" s="2"/>
    </row>
    <row r="338" spans="2:4" ht="15.75" customHeight="1" x14ac:dyDescent="0.3">
      <c r="B338" s="2"/>
      <c r="D338" s="2"/>
    </row>
    <row r="339" spans="2:4" ht="15.75" customHeight="1" x14ac:dyDescent="0.3">
      <c r="B339" s="2"/>
      <c r="D339" s="2"/>
    </row>
    <row r="340" spans="2:4" ht="15.75" customHeight="1" x14ac:dyDescent="0.3">
      <c r="B340" s="2"/>
      <c r="D340" s="2"/>
    </row>
    <row r="341" spans="2:4" ht="15.75" customHeight="1" x14ac:dyDescent="0.3">
      <c r="B341" s="2"/>
      <c r="D341" s="2"/>
    </row>
    <row r="342" spans="2:4" ht="15.75" customHeight="1" x14ac:dyDescent="0.3">
      <c r="B342" s="2"/>
      <c r="D342" s="2"/>
    </row>
    <row r="343" spans="2:4" ht="15.75" customHeight="1" x14ac:dyDescent="0.3">
      <c r="B343" s="2"/>
      <c r="D343" s="2"/>
    </row>
    <row r="344" spans="2:4" ht="15.75" customHeight="1" x14ac:dyDescent="0.3">
      <c r="B344" s="2"/>
      <c r="D344" s="2"/>
    </row>
    <row r="345" spans="2:4" ht="15.75" customHeight="1" x14ac:dyDescent="0.3">
      <c r="B345" s="2"/>
      <c r="D345" s="2"/>
    </row>
    <row r="346" spans="2:4" ht="15.75" customHeight="1" x14ac:dyDescent="0.3">
      <c r="B346" s="2"/>
      <c r="D346" s="2"/>
    </row>
    <row r="347" spans="2:4" ht="15.75" customHeight="1" x14ac:dyDescent="0.3">
      <c r="B347" s="2"/>
      <c r="D347" s="2"/>
    </row>
    <row r="348" spans="2:4" ht="15.75" customHeight="1" x14ac:dyDescent="0.3">
      <c r="B348" s="2"/>
      <c r="D348" s="2"/>
    </row>
    <row r="349" spans="2:4" ht="15.75" customHeight="1" x14ac:dyDescent="0.3">
      <c r="B349" s="2"/>
      <c r="D349" s="2"/>
    </row>
    <row r="350" spans="2:4" ht="15.75" customHeight="1" x14ac:dyDescent="0.3">
      <c r="B350" s="2"/>
      <c r="D350" s="2"/>
    </row>
    <row r="351" spans="2:4" ht="15.75" customHeight="1" x14ac:dyDescent="0.3">
      <c r="B351" s="2"/>
      <c r="D351" s="2"/>
    </row>
    <row r="352" spans="2:4" ht="15.75" customHeight="1" x14ac:dyDescent="0.3">
      <c r="B352" s="2"/>
      <c r="D352" s="2"/>
    </row>
    <row r="353" spans="2:4" ht="15.75" customHeight="1" x14ac:dyDescent="0.3">
      <c r="B353" s="2"/>
      <c r="D353" s="2"/>
    </row>
    <row r="354" spans="2:4" ht="15.75" customHeight="1" x14ac:dyDescent="0.3">
      <c r="B354" s="2"/>
      <c r="D354" s="2"/>
    </row>
    <row r="355" spans="2:4" ht="15.75" customHeight="1" x14ac:dyDescent="0.3">
      <c r="B355" s="2"/>
      <c r="D355" s="2"/>
    </row>
    <row r="356" spans="2:4" ht="15.75" customHeight="1" x14ac:dyDescent="0.3">
      <c r="B356" s="2"/>
      <c r="D356" s="2"/>
    </row>
    <row r="357" spans="2:4" ht="15.75" customHeight="1" x14ac:dyDescent="0.3">
      <c r="B357" s="2"/>
      <c r="D357" s="2"/>
    </row>
    <row r="358" spans="2:4" ht="15.75" customHeight="1" x14ac:dyDescent="0.3">
      <c r="B358" s="2"/>
      <c r="D358" s="2"/>
    </row>
    <row r="359" spans="2:4" ht="15.75" customHeight="1" x14ac:dyDescent="0.3">
      <c r="B359" s="2"/>
      <c r="D359" s="2"/>
    </row>
    <row r="360" spans="2:4" ht="15.75" customHeight="1" x14ac:dyDescent="0.3">
      <c r="B360" s="2"/>
      <c r="D360" s="2"/>
    </row>
    <row r="361" spans="2:4" ht="15.75" customHeight="1" x14ac:dyDescent="0.3">
      <c r="B361" s="2"/>
      <c r="D361" s="2"/>
    </row>
    <row r="362" spans="2:4" ht="15.75" customHeight="1" x14ac:dyDescent="0.3">
      <c r="B362" s="2"/>
      <c r="D362" s="2"/>
    </row>
    <row r="363" spans="2:4" ht="15.75" customHeight="1" x14ac:dyDescent="0.3">
      <c r="B363" s="2"/>
      <c r="D363" s="2"/>
    </row>
    <row r="364" spans="2:4" ht="15.75" customHeight="1" x14ac:dyDescent="0.3">
      <c r="B364" s="2"/>
      <c r="D364" s="2"/>
    </row>
    <row r="365" spans="2:4" ht="15.75" customHeight="1" x14ac:dyDescent="0.3">
      <c r="B365" s="2"/>
      <c r="D365" s="2"/>
    </row>
    <row r="366" spans="2:4" ht="15.75" customHeight="1" x14ac:dyDescent="0.3">
      <c r="B366" s="2"/>
      <c r="D366" s="2"/>
    </row>
    <row r="367" spans="2:4" ht="15.75" customHeight="1" x14ac:dyDescent="0.3">
      <c r="B367" s="2"/>
      <c r="D367" s="2"/>
    </row>
    <row r="368" spans="2:4" ht="15.75" customHeight="1" x14ac:dyDescent="0.3">
      <c r="B368" s="2"/>
      <c r="D368" s="2"/>
    </row>
    <row r="369" spans="2:4" ht="15.75" customHeight="1" x14ac:dyDescent="0.3">
      <c r="B369" s="2"/>
      <c r="D369" s="2"/>
    </row>
    <row r="370" spans="2:4" ht="15.75" customHeight="1" x14ac:dyDescent="0.3">
      <c r="B370" s="2"/>
      <c r="D370" s="2"/>
    </row>
    <row r="371" spans="2:4" ht="15.75" customHeight="1" x14ac:dyDescent="0.3">
      <c r="B371" s="2"/>
      <c r="D371" s="2"/>
    </row>
    <row r="372" spans="2:4" ht="15.75" customHeight="1" x14ac:dyDescent="0.3">
      <c r="B372" s="2"/>
      <c r="D372" s="2"/>
    </row>
    <row r="373" spans="2:4" ht="15.75" customHeight="1" x14ac:dyDescent="0.3">
      <c r="B373" s="2"/>
      <c r="D373" s="2"/>
    </row>
    <row r="374" spans="2:4" ht="15.75" customHeight="1" x14ac:dyDescent="0.3">
      <c r="B374" s="2"/>
      <c r="D374" s="2"/>
    </row>
    <row r="375" spans="2:4" ht="15.75" customHeight="1" x14ac:dyDescent="0.3">
      <c r="B375" s="2"/>
      <c r="D375" s="2"/>
    </row>
    <row r="376" spans="2:4" ht="15.75" customHeight="1" x14ac:dyDescent="0.3">
      <c r="B376" s="2"/>
      <c r="D376" s="2"/>
    </row>
    <row r="377" spans="2:4" ht="15.75" customHeight="1" x14ac:dyDescent="0.3">
      <c r="B377" s="2"/>
      <c r="D377" s="2"/>
    </row>
    <row r="378" spans="2:4" ht="15.75" customHeight="1" x14ac:dyDescent="0.3">
      <c r="B378" s="2"/>
      <c r="D378" s="2"/>
    </row>
    <row r="379" spans="2:4" ht="15.75" customHeight="1" x14ac:dyDescent="0.3">
      <c r="B379" s="2"/>
      <c r="D379" s="2"/>
    </row>
    <row r="380" spans="2:4" ht="15.75" customHeight="1" x14ac:dyDescent="0.3">
      <c r="B380" s="2"/>
      <c r="D380" s="2"/>
    </row>
    <row r="381" spans="2:4" ht="15.75" customHeight="1" x14ac:dyDescent="0.3">
      <c r="B381" s="2"/>
      <c r="D381" s="2"/>
    </row>
    <row r="382" spans="2:4" ht="15.75" customHeight="1" x14ac:dyDescent="0.3">
      <c r="B382" s="2"/>
      <c r="D382" s="2"/>
    </row>
    <row r="383" spans="2:4" ht="15.75" customHeight="1" x14ac:dyDescent="0.3">
      <c r="B383" s="2"/>
      <c r="D383" s="2"/>
    </row>
    <row r="384" spans="2:4" ht="15.75" customHeight="1" x14ac:dyDescent="0.3">
      <c r="B384" s="2"/>
      <c r="D384" s="2"/>
    </row>
    <row r="385" spans="2:4" ht="15.75" customHeight="1" x14ac:dyDescent="0.3">
      <c r="B385" s="2"/>
      <c r="D385" s="2"/>
    </row>
    <row r="386" spans="2:4" ht="15.75" customHeight="1" x14ac:dyDescent="0.3">
      <c r="B386" s="2"/>
      <c r="D386" s="2"/>
    </row>
    <row r="387" spans="2:4" ht="15.75" customHeight="1" x14ac:dyDescent="0.3">
      <c r="B387" s="2"/>
      <c r="D387" s="2"/>
    </row>
    <row r="388" spans="2:4" ht="15.75" customHeight="1" x14ac:dyDescent="0.3">
      <c r="B388" s="2"/>
      <c r="D388" s="2"/>
    </row>
    <row r="389" spans="2:4" ht="15.75" customHeight="1" x14ac:dyDescent="0.3">
      <c r="B389" s="2"/>
      <c r="D389" s="2"/>
    </row>
    <row r="390" spans="2:4" ht="15.75" customHeight="1" x14ac:dyDescent="0.3">
      <c r="B390" s="2"/>
      <c r="D390" s="2"/>
    </row>
    <row r="391" spans="2:4" ht="15.75" customHeight="1" x14ac:dyDescent="0.3">
      <c r="B391" s="2"/>
      <c r="D391" s="2"/>
    </row>
    <row r="392" spans="2:4" ht="15.75" customHeight="1" x14ac:dyDescent="0.3">
      <c r="B392" s="2"/>
      <c r="D392" s="2"/>
    </row>
    <row r="393" spans="2:4" ht="15.75" customHeight="1" x14ac:dyDescent="0.3">
      <c r="B393" s="2"/>
      <c r="D393" s="2"/>
    </row>
    <row r="394" spans="2:4" ht="15.75" customHeight="1" x14ac:dyDescent="0.3">
      <c r="B394" s="2"/>
      <c r="D394" s="2"/>
    </row>
    <row r="395" spans="2:4" ht="15.75" customHeight="1" x14ac:dyDescent="0.3">
      <c r="B395" s="2"/>
      <c r="D395" s="2"/>
    </row>
    <row r="396" spans="2:4" ht="15.75" customHeight="1" x14ac:dyDescent="0.3">
      <c r="B396" s="2"/>
      <c r="D396" s="2"/>
    </row>
    <row r="397" spans="2:4" ht="15.75" customHeight="1" x14ac:dyDescent="0.3">
      <c r="B397" s="2"/>
      <c r="D397" s="2"/>
    </row>
    <row r="398" spans="2:4" ht="15.75" customHeight="1" x14ac:dyDescent="0.3">
      <c r="B398" s="2"/>
      <c r="D398" s="2"/>
    </row>
    <row r="399" spans="2:4" ht="15.75" customHeight="1" x14ac:dyDescent="0.3">
      <c r="B399" s="2"/>
      <c r="D399" s="2"/>
    </row>
    <row r="400" spans="2:4" ht="15.75" customHeight="1" x14ac:dyDescent="0.3">
      <c r="B400" s="2"/>
      <c r="D400" s="2"/>
    </row>
    <row r="401" spans="2:4" ht="15.75" customHeight="1" x14ac:dyDescent="0.3">
      <c r="B401" s="2"/>
      <c r="D401" s="2"/>
    </row>
    <row r="402" spans="2:4" ht="15.75" customHeight="1" x14ac:dyDescent="0.3">
      <c r="B402" s="2"/>
      <c r="D402" s="2"/>
    </row>
    <row r="403" spans="2:4" ht="15.75" customHeight="1" x14ac:dyDescent="0.3">
      <c r="B403" s="2"/>
      <c r="D403" s="2"/>
    </row>
    <row r="404" spans="2:4" ht="15.75" customHeight="1" x14ac:dyDescent="0.3">
      <c r="B404" s="2"/>
      <c r="D404" s="2"/>
    </row>
    <row r="405" spans="2:4" ht="15.75" customHeight="1" x14ac:dyDescent="0.3">
      <c r="B405" s="2"/>
      <c r="D405" s="2"/>
    </row>
    <row r="406" spans="2:4" ht="15.75" customHeight="1" x14ac:dyDescent="0.3">
      <c r="B406" s="2"/>
      <c r="D406" s="2"/>
    </row>
    <row r="407" spans="2:4" ht="15.75" customHeight="1" x14ac:dyDescent="0.3">
      <c r="B407" s="2"/>
      <c r="D407" s="2"/>
    </row>
    <row r="408" spans="2:4" ht="15.75" customHeight="1" x14ac:dyDescent="0.3">
      <c r="B408" s="2"/>
      <c r="D408" s="2"/>
    </row>
    <row r="409" spans="2:4" ht="15.75" customHeight="1" x14ac:dyDescent="0.3">
      <c r="B409" s="2"/>
      <c r="D409" s="2"/>
    </row>
    <row r="410" spans="2:4" ht="15.75" customHeight="1" x14ac:dyDescent="0.3">
      <c r="B410" s="2"/>
      <c r="D410" s="2"/>
    </row>
    <row r="411" spans="2:4" ht="15.75" customHeight="1" x14ac:dyDescent="0.3">
      <c r="B411" s="2"/>
      <c r="D411" s="2"/>
    </row>
    <row r="412" spans="2:4" ht="15.75" customHeight="1" x14ac:dyDescent="0.3">
      <c r="B412" s="2"/>
      <c r="D412" s="2"/>
    </row>
    <row r="413" spans="2:4" ht="15.75" customHeight="1" x14ac:dyDescent="0.3">
      <c r="B413" s="2"/>
      <c r="D413" s="2"/>
    </row>
    <row r="414" spans="2:4" ht="15.75" customHeight="1" x14ac:dyDescent="0.3">
      <c r="B414" s="2"/>
      <c r="D414" s="2"/>
    </row>
    <row r="415" spans="2:4" ht="15.75" customHeight="1" x14ac:dyDescent="0.3">
      <c r="B415" s="2"/>
      <c r="D415" s="2"/>
    </row>
    <row r="416" spans="2:4" ht="15.75" customHeight="1" x14ac:dyDescent="0.3">
      <c r="B416" s="2"/>
      <c r="D416" s="2"/>
    </row>
    <row r="417" spans="2:4" ht="15.75" customHeight="1" x14ac:dyDescent="0.3">
      <c r="B417" s="2"/>
      <c r="D417" s="2"/>
    </row>
    <row r="418" spans="2:4" ht="15.75" customHeight="1" x14ac:dyDescent="0.3">
      <c r="B418" s="2"/>
      <c r="D418" s="2"/>
    </row>
    <row r="419" spans="2:4" ht="15.75" customHeight="1" x14ac:dyDescent="0.3">
      <c r="B419" s="2"/>
      <c r="D419" s="2"/>
    </row>
    <row r="420" spans="2:4" ht="15.75" customHeight="1" x14ac:dyDescent="0.3">
      <c r="B420" s="2"/>
      <c r="D420" s="2"/>
    </row>
    <row r="421" spans="2:4" ht="15.75" customHeight="1" x14ac:dyDescent="0.3">
      <c r="B421" s="2"/>
      <c r="D421" s="2"/>
    </row>
    <row r="422" spans="2:4" ht="15.75" customHeight="1" x14ac:dyDescent="0.3">
      <c r="B422" s="2"/>
      <c r="D422" s="2"/>
    </row>
    <row r="423" spans="2:4" ht="15.75" customHeight="1" x14ac:dyDescent="0.3">
      <c r="B423" s="2"/>
      <c r="D423" s="2"/>
    </row>
    <row r="424" spans="2:4" ht="15.75" customHeight="1" x14ac:dyDescent="0.3">
      <c r="B424" s="2"/>
      <c r="D424" s="2"/>
    </row>
    <row r="425" spans="2:4" ht="15.75" customHeight="1" x14ac:dyDescent="0.3">
      <c r="B425" s="2"/>
      <c r="D425" s="2"/>
    </row>
    <row r="426" spans="2:4" ht="15.75" customHeight="1" x14ac:dyDescent="0.3">
      <c r="B426" s="2"/>
      <c r="D426" s="2"/>
    </row>
    <row r="427" spans="2:4" ht="15.75" customHeight="1" x14ac:dyDescent="0.3">
      <c r="B427" s="2"/>
      <c r="D427" s="2"/>
    </row>
    <row r="428" spans="2:4" ht="15.75" customHeight="1" x14ac:dyDescent="0.3">
      <c r="B428" s="2"/>
      <c r="D428" s="2"/>
    </row>
    <row r="429" spans="2:4" ht="15.75" customHeight="1" x14ac:dyDescent="0.3">
      <c r="B429" s="2"/>
      <c r="D429" s="2"/>
    </row>
    <row r="430" spans="2:4" ht="15.75" customHeight="1" x14ac:dyDescent="0.3">
      <c r="B430" s="2"/>
      <c r="D430" s="2"/>
    </row>
    <row r="431" spans="2:4" ht="15.75" customHeight="1" x14ac:dyDescent="0.3">
      <c r="B431" s="2"/>
      <c r="D431" s="2"/>
    </row>
    <row r="432" spans="2:4" ht="15.75" customHeight="1" x14ac:dyDescent="0.3">
      <c r="B432" s="2"/>
      <c r="D432" s="2"/>
    </row>
    <row r="433" spans="2:4" ht="15.75" customHeight="1" x14ac:dyDescent="0.3">
      <c r="B433" s="2"/>
      <c r="D433" s="2"/>
    </row>
    <row r="434" spans="2:4" ht="15.75" customHeight="1" x14ac:dyDescent="0.3">
      <c r="B434" s="2"/>
      <c r="D434" s="2"/>
    </row>
    <row r="435" spans="2:4" ht="15.75" customHeight="1" x14ac:dyDescent="0.3">
      <c r="B435" s="2"/>
      <c r="D435" s="2"/>
    </row>
    <row r="436" spans="2:4" ht="15.75" customHeight="1" x14ac:dyDescent="0.3">
      <c r="B436" s="2"/>
      <c r="D436" s="2"/>
    </row>
    <row r="437" spans="2:4" ht="15.75" customHeight="1" x14ac:dyDescent="0.3">
      <c r="B437" s="2"/>
      <c r="D437" s="2"/>
    </row>
    <row r="438" spans="2:4" ht="15.75" customHeight="1" x14ac:dyDescent="0.3">
      <c r="B438" s="2"/>
      <c r="D438" s="2"/>
    </row>
    <row r="439" spans="2:4" ht="15.75" customHeight="1" x14ac:dyDescent="0.3">
      <c r="B439" s="2"/>
      <c r="D439" s="2"/>
    </row>
    <row r="440" spans="2:4" ht="15.75" customHeight="1" x14ac:dyDescent="0.3">
      <c r="B440" s="2"/>
      <c r="D440" s="2"/>
    </row>
    <row r="441" spans="2:4" ht="15.75" customHeight="1" x14ac:dyDescent="0.3">
      <c r="B441" s="2"/>
      <c r="D441" s="2"/>
    </row>
    <row r="442" spans="2:4" ht="15.75" customHeight="1" x14ac:dyDescent="0.3">
      <c r="B442" s="2"/>
      <c r="D442" s="2"/>
    </row>
    <row r="443" spans="2:4" ht="15.75" customHeight="1" x14ac:dyDescent="0.3">
      <c r="B443" s="2"/>
      <c r="D443" s="2"/>
    </row>
    <row r="444" spans="2:4" ht="15.75" customHeight="1" x14ac:dyDescent="0.3">
      <c r="B444" s="2"/>
      <c r="D444" s="2"/>
    </row>
    <row r="445" spans="2:4" ht="15.75" customHeight="1" x14ac:dyDescent="0.3">
      <c r="B445" s="2"/>
      <c r="D445" s="2"/>
    </row>
    <row r="446" spans="2:4" ht="15.75" customHeight="1" x14ac:dyDescent="0.3">
      <c r="B446" s="2"/>
      <c r="D446" s="2"/>
    </row>
    <row r="447" spans="2:4" ht="15.75" customHeight="1" x14ac:dyDescent="0.3">
      <c r="B447" s="2"/>
      <c r="D447" s="2"/>
    </row>
    <row r="448" spans="2:4" ht="15.75" customHeight="1" x14ac:dyDescent="0.3">
      <c r="B448" s="2"/>
      <c r="D448" s="2"/>
    </row>
    <row r="449" spans="2:4" ht="15.75" customHeight="1" x14ac:dyDescent="0.3">
      <c r="B449" s="2"/>
      <c r="D449" s="2"/>
    </row>
    <row r="450" spans="2:4" ht="15.75" customHeight="1" x14ac:dyDescent="0.3">
      <c r="B450" s="2"/>
      <c r="D450" s="2"/>
    </row>
    <row r="451" spans="2:4" ht="15.75" customHeight="1" x14ac:dyDescent="0.3">
      <c r="B451" s="2"/>
      <c r="D451" s="2"/>
    </row>
    <row r="452" spans="2:4" ht="15.75" customHeight="1" x14ac:dyDescent="0.3">
      <c r="B452" s="2"/>
      <c r="D452" s="2"/>
    </row>
    <row r="453" spans="2:4" ht="15.75" customHeight="1" x14ac:dyDescent="0.3">
      <c r="B453" s="2"/>
      <c r="D453" s="2"/>
    </row>
    <row r="454" spans="2:4" ht="15.75" customHeight="1" x14ac:dyDescent="0.3">
      <c r="B454" s="2"/>
      <c r="D454" s="2"/>
    </row>
    <row r="455" spans="2:4" ht="15.75" customHeight="1" x14ac:dyDescent="0.3">
      <c r="B455" s="2"/>
      <c r="D455" s="2"/>
    </row>
    <row r="456" spans="2:4" ht="15.75" customHeight="1" x14ac:dyDescent="0.3">
      <c r="B456" s="2"/>
      <c r="D456" s="2"/>
    </row>
    <row r="457" spans="2:4" ht="15.75" customHeight="1" x14ac:dyDescent="0.3">
      <c r="B457" s="2"/>
      <c r="D457" s="2"/>
    </row>
    <row r="458" spans="2:4" ht="15.75" customHeight="1" x14ac:dyDescent="0.3">
      <c r="B458" s="2"/>
      <c r="D458" s="2"/>
    </row>
    <row r="459" spans="2:4" ht="15.75" customHeight="1" x14ac:dyDescent="0.3">
      <c r="B459" s="2"/>
      <c r="D459" s="2"/>
    </row>
    <row r="460" spans="2:4" ht="15.75" customHeight="1" x14ac:dyDescent="0.3">
      <c r="B460" s="2"/>
      <c r="D460" s="2"/>
    </row>
    <row r="461" spans="2:4" ht="15.75" customHeight="1" x14ac:dyDescent="0.3">
      <c r="B461" s="2"/>
      <c r="D461" s="2"/>
    </row>
    <row r="462" spans="2:4" ht="15.75" customHeight="1" x14ac:dyDescent="0.3">
      <c r="B462" s="2"/>
      <c r="D462" s="2"/>
    </row>
    <row r="463" spans="2:4" ht="15.75" customHeight="1" x14ac:dyDescent="0.3">
      <c r="B463" s="2"/>
      <c r="D463" s="2"/>
    </row>
    <row r="464" spans="2:4" ht="15.75" customHeight="1" x14ac:dyDescent="0.3">
      <c r="B464" s="2"/>
      <c r="D464" s="2"/>
    </row>
    <row r="465" spans="2:4" ht="15.75" customHeight="1" x14ac:dyDescent="0.3">
      <c r="B465" s="2"/>
      <c r="D465" s="2"/>
    </row>
    <row r="466" spans="2:4" ht="15.75" customHeight="1" x14ac:dyDescent="0.3">
      <c r="B466" s="2"/>
      <c r="D466" s="2"/>
    </row>
    <row r="467" spans="2:4" ht="15.75" customHeight="1" x14ac:dyDescent="0.3">
      <c r="B467" s="2"/>
      <c r="D467" s="2"/>
    </row>
    <row r="468" spans="2:4" ht="15.75" customHeight="1" x14ac:dyDescent="0.3">
      <c r="B468" s="2"/>
      <c r="D468" s="2"/>
    </row>
    <row r="469" spans="2:4" ht="15.75" customHeight="1" x14ac:dyDescent="0.3">
      <c r="B469" s="2"/>
      <c r="D469" s="2"/>
    </row>
    <row r="470" spans="2:4" ht="15.75" customHeight="1" x14ac:dyDescent="0.3">
      <c r="B470" s="2"/>
      <c r="D470" s="2"/>
    </row>
    <row r="471" spans="2:4" ht="15.75" customHeight="1" x14ac:dyDescent="0.3">
      <c r="B471" s="2"/>
      <c r="D471" s="2"/>
    </row>
    <row r="472" spans="2:4" ht="15.75" customHeight="1" x14ac:dyDescent="0.3">
      <c r="B472" s="2"/>
      <c r="D472" s="2"/>
    </row>
    <row r="473" spans="2:4" ht="15.75" customHeight="1" x14ac:dyDescent="0.3">
      <c r="B473" s="2"/>
      <c r="D473" s="2"/>
    </row>
    <row r="474" spans="2:4" ht="15.75" customHeight="1" x14ac:dyDescent="0.3">
      <c r="B474" s="2"/>
      <c r="D474" s="2"/>
    </row>
    <row r="475" spans="2:4" ht="15.75" customHeight="1" x14ac:dyDescent="0.3">
      <c r="B475" s="2"/>
      <c r="D475" s="2"/>
    </row>
    <row r="476" spans="2:4" ht="15.75" customHeight="1" x14ac:dyDescent="0.3">
      <c r="B476" s="2"/>
      <c r="D476" s="2"/>
    </row>
    <row r="477" spans="2:4" ht="15.75" customHeight="1" x14ac:dyDescent="0.3">
      <c r="B477" s="2"/>
      <c r="D477" s="2"/>
    </row>
    <row r="478" spans="2:4" ht="15.75" customHeight="1" x14ac:dyDescent="0.3">
      <c r="B478" s="2"/>
      <c r="D478" s="2"/>
    </row>
    <row r="479" spans="2:4" ht="15.75" customHeight="1" x14ac:dyDescent="0.3">
      <c r="B479" s="2"/>
      <c r="D479" s="2"/>
    </row>
    <row r="480" spans="2:4" ht="15.75" customHeight="1" x14ac:dyDescent="0.3">
      <c r="B480" s="2"/>
      <c r="D480" s="2"/>
    </row>
    <row r="481" spans="2:4" ht="15.75" customHeight="1" x14ac:dyDescent="0.3">
      <c r="B481" s="2"/>
      <c r="D481" s="2"/>
    </row>
    <row r="482" spans="2:4" ht="15.75" customHeight="1" x14ac:dyDescent="0.3">
      <c r="B482" s="2"/>
      <c r="D482" s="2"/>
    </row>
    <row r="483" spans="2:4" ht="15.75" customHeight="1" x14ac:dyDescent="0.3">
      <c r="B483" s="2"/>
      <c r="D483" s="2"/>
    </row>
    <row r="484" spans="2:4" ht="15.75" customHeight="1" x14ac:dyDescent="0.3">
      <c r="B484" s="2"/>
      <c r="D484" s="2"/>
    </row>
    <row r="485" spans="2:4" ht="15.75" customHeight="1" x14ac:dyDescent="0.3">
      <c r="B485" s="2"/>
      <c r="D485" s="2"/>
    </row>
    <row r="486" spans="2:4" ht="15.75" customHeight="1" x14ac:dyDescent="0.3">
      <c r="B486" s="2"/>
      <c r="D486" s="2"/>
    </row>
    <row r="487" spans="2:4" ht="15.75" customHeight="1" x14ac:dyDescent="0.3">
      <c r="B487" s="2"/>
      <c r="D487" s="2"/>
    </row>
    <row r="488" spans="2:4" ht="15.75" customHeight="1" x14ac:dyDescent="0.3">
      <c r="B488" s="2"/>
      <c r="D488" s="2"/>
    </row>
    <row r="489" spans="2:4" ht="15.75" customHeight="1" x14ac:dyDescent="0.3">
      <c r="B489" s="2"/>
      <c r="D489" s="2"/>
    </row>
    <row r="490" spans="2:4" ht="15.75" customHeight="1" x14ac:dyDescent="0.3">
      <c r="B490" s="2"/>
      <c r="D490" s="2"/>
    </row>
    <row r="491" spans="2:4" ht="15.75" customHeight="1" x14ac:dyDescent="0.3">
      <c r="B491" s="2"/>
      <c r="D491" s="2"/>
    </row>
    <row r="492" spans="2:4" ht="15.75" customHeight="1" x14ac:dyDescent="0.3">
      <c r="B492" s="2"/>
      <c r="D492" s="2"/>
    </row>
    <row r="493" spans="2:4" ht="15.75" customHeight="1" x14ac:dyDescent="0.3">
      <c r="B493" s="2"/>
      <c r="D493" s="2"/>
    </row>
    <row r="494" spans="2:4" ht="15.75" customHeight="1" x14ac:dyDescent="0.3">
      <c r="B494" s="2"/>
      <c r="D494" s="2"/>
    </row>
    <row r="495" spans="2:4" ht="15.75" customHeight="1" x14ac:dyDescent="0.3">
      <c r="B495" s="2"/>
      <c r="D495" s="2"/>
    </row>
    <row r="496" spans="2:4" ht="15.75" customHeight="1" x14ac:dyDescent="0.3">
      <c r="B496" s="2"/>
      <c r="D496" s="2"/>
    </row>
    <row r="497" spans="2:4" ht="15.75" customHeight="1" x14ac:dyDescent="0.3">
      <c r="B497" s="2"/>
      <c r="D497" s="2"/>
    </row>
    <row r="498" spans="2:4" ht="15.75" customHeight="1" x14ac:dyDescent="0.3">
      <c r="B498" s="2"/>
      <c r="D498" s="2"/>
    </row>
    <row r="499" spans="2:4" ht="15.75" customHeight="1" x14ac:dyDescent="0.3">
      <c r="B499" s="2"/>
      <c r="D499" s="2"/>
    </row>
    <row r="500" spans="2:4" ht="15.75" customHeight="1" x14ac:dyDescent="0.3">
      <c r="B500" s="2"/>
      <c r="D500" s="2"/>
    </row>
    <row r="501" spans="2:4" ht="15.75" customHeight="1" x14ac:dyDescent="0.3">
      <c r="B501" s="2"/>
      <c r="D501" s="2"/>
    </row>
    <row r="502" spans="2:4" ht="15.75" customHeight="1" x14ac:dyDescent="0.3">
      <c r="B502" s="2"/>
      <c r="D502" s="2"/>
    </row>
    <row r="503" spans="2:4" ht="15.75" customHeight="1" x14ac:dyDescent="0.3">
      <c r="B503" s="2"/>
      <c r="D503" s="2"/>
    </row>
    <row r="504" spans="2:4" ht="15.75" customHeight="1" x14ac:dyDescent="0.3">
      <c r="B504" s="2"/>
      <c r="D504" s="2"/>
    </row>
    <row r="505" spans="2:4" ht="15.75" customHeight="1" x14ac:dyDescent="0.3">
      <c r="B505" s="2"/>
      <c r="D505" s="2"/>
    </row>
    <row r="506" spans="2:4" ht="15.75" customHeight="1" x14ac:dyDescent="0.3">
      <c r="B506" s="2"/>
      <c r="D506" s="2"/>
    </row>
    <row r="507" spans="2:4" ht="15.75" customHeight="1" x14ac:dyDescent="0.3">
      <c r="B507" s="2"/>
      <c r="D507" s="2"/>
    </row>
    <row r="508" spans="2:4" ht="15.75" customHeight="1" x14ac:dyDescent="0.3">
      <c r="B508" s="2"/>
      <c r="D508" s="2"/>
    </row>
    <row r="509" spans="2:4" ht="15.75" customHeight="1" x14ac:dyDescent="0.3">
      <c r="B509" s="2"/>
      <c r="D509" s="2"/>
    </row>
    <row r="510" spans="2:4" ht="15.75" customHeight="1" x14ac:dyDescent="0.3">
      <c r="B510" s="2"/>
      <c r="D510" s="2"/>
    </row>
    <row r="511" spans="2:4" ht="15.75" customHeight="1" x14ac:dyDescent="0.3">
      <c r="B511" s="2"/>
      <c r="D511" s="2"/>
    </row>
    <row r="512" spans="2:4" ht="15.75" customHeight="1" x14ac:dyDescent="0.3">
      <c r="B512" s="2"/>
      <c r="D512" s="2"/>
    </row>
    <row r="513" spans="2:4" ht="15.75" customHeight="1" x14ac:dyDescent="0.3">
      <c r="B513" s="2"/>
      <c r="D513" s="2"/>
    </row>
    <row r="514" spans="2:4" ht="15.75" customHeight="1" x14ac:dyDescent="0.3">
      <c r="B514" s="2"/>
      <c r="D514" s="2"/>
    </row>
    <row r="515" spans="2:4" ht="15.75" customHeight="1" x14ac:dyDescent="0.3">
      <c r="B515" s="2"/>
      <c r="D515" s="2"/>
    </row>
    <row r="516" spans="2:4" ht="15.75" customHeight="1" x14ac:dyDescent="0.3">
      <c r="B516" s="2"/>
      <c r="D516" s="2"/>
    </row>
    <row r="517" spans="2:4" ht="15.75" customHeight="1" x14ac:dyDescent="0.3">
      <c r="B517" s="2"/>
      <c r="D517" s="2"/>
    </row>
    <row r="518" spans="2:4" ht="15.75" customHeight="1" x14ac:dyDescent="0.3">
      <c r="B518" s="2"/>
      <c r="D518" s="2"/>
    </row>
    <row r="519" spans="2:4" ht="15.75" customHeight="1" x14ac:dyDescent="0.3">
      <c r="B519" s="2"/>
      <c r="D519" s="2"/>
    </row>
    <row r="520" spans="2:4" ht="15.75" customHeight="1" x14ac:dyDescent="0.3">
      <c r="B520" s="2"/>
      <c r="D520" s="2"/>
    </row>
    <row r="521" spans="2:4" ht="15.75" customHeight="1" x14ac:dyDescent="0.3">
      <c r="B521" s="2"/>
      <c r="D521" s="2"/>
    </row>
    <row r="522" spans="2:4" ht="15.75" customHeight="1" x14ac:dyDescent="0.3">
      <c r="B522" s="2"/>
      <c r="D522" s="2"/>
    </row>
    <row r="523" spans="2:4" ht="15.75" customHeight="1" x14ac:dyDescent="0.3">
      <c r="B523" s="2"/>
      <c r="D523" s="2"/>
    </row>
    <row r="524" spans="2:4" ht="15.75" customHeight="1" x14ac:dyDescent="0.3">
      <c r="B524" s="2"/>
      <c r="D524" s="2"/>
    </row>
    <row r="525" spans="2:4" ht="15.75" customHeight="1" x14ac:dyDescent="0.3">
      <c r="B525" s="2"/>
      <c r="D525" s="2"/>
    </row>
    <row r="526" spans="2:4" ht="15.75" customHeight="1" x14ac:dyDescent="0.3">
      <c r="B526" s="2"/>
      <c r="D526" s="2"/>
    </row>
    <row r="527" spans="2:4" ht="15.75" customHeight="1" x14ac:dyDescent="0.3">
      <c r="B527" s="2"/>
      <c r="D527" s="2"/>
    </row>
    <row r="528" spans="2:4" ht="15.75" customHeight="1" x14ac:dyDescent="0.3">
      <c r="B528" s="2"/>
      <c r="D528" s="2"/>
    </row>
    <row r="529" spans="2:4" ht="15.75" customHeight="1" x14ac:dyDescent="0.3">
      <c r="B529" s="2"/>
      <c r="D529" s="2"/>
    </row>
    <row r="530" spans="2:4" ht="15.75" customHeight="1" x14ac:dyDescent="0.3">
      <c r="B530" s="2"/>
      <c r="D530" s="2"/>
    </row>
    <row r="531" spans="2:4" ht="15.75" customHeight="1" x14ac:dyDescent="0.3">
      <c r="B531" s="2"/>
      <c r="D531" s="2"/>
    </row>
    <row r="532" spans="2:4" ht="15.75" customHeight="1" x14ac:dyDescent="0.3">
      <c r="B532" s="2"/>
      <c r="D532" s="2"/>
    </row>
    <row r="533" spans="2:4" ht="15.75" customHeight="1" x14ac:dyDescent="0.3">
      <c r="B533" s="2"/>
      <c r="D533" s="2"/>
    </row>
    <row r="534" spans="2:4" ht="15.75" customHeight="1" x14ac:dyDescent="0.3">
      <c r="B534" s="2"/>
      <c r="D534" s="2"/>
    </row>
    <row r="535" spans="2:4" ht="15.75" customHeight="1" x14ac:dyDescent="0.3">
      <c r="B535" s="2"/>
      <c r="D535" s="2"/>
    </row>
    <row r="536" spans="2:4" ht="15.75" customHeight="1" x14ac:dyDescent="0.3">
      <c r="B536" s="2"/>
      <c r="D536" s="2"/>
    </row>
    <row r="537" spans="2:4" ht="15.75" customHeight="1" x14ac:dyDescent="0.3">
      <c r="B537" s="2"/>
      <c r="D537" s="2"/>
    </row>
    <row r="538" spans="2:4" ht="15.75" customHeight="1" x14ac:dyDescent="0.3">
      <c r="B538" s="2"/>
      <c r="D538" s="2"/>
    </row>
    <row r="539" spans="2:4" ht="15.75" customHeight="1" x14ac:dyDescent="0.3">
      <c r="B539" s="2"/>
      <c r="D539" s="2"/>
    </row>
    <row r="540" spans="2:4" ht="15.75" customHeight="1" x14ac:dyDescent="0.3">
      <c r="B540" s="2"/>
      <c r="D540" s="2"/>
    </row>
    <row r="541" spans="2:4" ht="15.75" customHeight="1" x14ac:dyDescent="0.3">
      <c r="B541" s="2"/>
      <c r="D541" s="2"/>
    </row>
    <row r="542" spans="2:4" ht="15.75" customHeight="1" x14ac:dyDescent="0.3">
      <c r="B542" s="2"/>
      <c r="D542" s="2"/>
    </row>
    <row r="543" spans="2:4" ht="15.75" customHeight="1" x14ac:dyDescent="0.3">
      <c r="B543" s="2"/>
      <c r="D543" s="2"/>
    </row>
    <row r="544" spans="2:4" ht="15.75" customHeight="1" x14ac:dyDescent="0.3">
      <c r="B544" s="2"/>
      <c r="D544" s="2"/>
    </row>
    <row r="545" spans="2:4" ht="15.75" customHeight="1" x14ac:dyDescent="0.3">
      <c r="B545" s="2"/>
      <c r="D545" s="2"/>
    </row>
    <row r="546" spans="2:4" ht="15.75" customHeight="1" x14ac:dyDescent="0.3">
      <c r="B546" s="2"/>
      <c r="D546" s="2"/>
    </row>
    <row r="547" spans="2:4" ht="15.75" customHeight="1" x14ac:dyDescent="0.3">
      <c r="B547" s="2"/>
      <c r="D547" s="2"/>
    </row>
    <row r="548" spans="2:4" ht="15.75" customHeight="1" x14ac:dyDescent="0.3">
      <c r="B548" s="2"/>
      <c r="D548" s="2"/>
    </row>
    <row r="549" spans="2:4" ht="15.75" customHeight="1" x14ac:dyDescent="0.3">
      <c r="B549" s="2"/>
      <c r="D549" s="2"/>
    </row>
    <row r="550" spans="2:4" ht="15.75" customHeight="1" x14ac:dyDescent="0.3">
      <c r="B550" s="2"/>
      <c r="D550" s="2"/>
    </row>
    <row r="551" spans="2:4" ht="15.75" customHeight="1" x14ac:dyDescent="0.3">
      <c r="B551" s="2"/>
      <c r="D551" s="2"/>
    </row>
    <row r="552" spans="2:4" ht="15.75" customHeight="1" x14ac:dyDescent="0.3">
      <c r="B552" s="2"/>
      <c r="D552" s="2"/>
    </row>
    <row r="553" spans="2:4" ht="15.75" customHeight="1" x14ac:dyDescent="0.3">
      <c r="B553" s="2"/>
      <c r="D553" s="2"/>
    </row>
    <row r="554" spans="2:4" ht="15.75" customHeight="1" x14ac:dyDescent="0.3">
      <c r="B554" s="2"/>
      <c r="D554" s="2"/>
    </row>
    <row r="555" spans="2:4" ht="15.75" customHeight="1" x14ac:dyDescent="0.3">
      <c r="B555" s="2"/>
      <c r="D555" s="2"/>
    </row>
    <row r="556" spans="2:4" ht="15.75" customHeight="1" x14ac:dyDescent="0.3">
      <c r="B556" s="2"/>
      <c r="D556" s="2"/>
    </row>
    <row r="557" spans="2:4" ht="15.75" customHeight="1" x14ac:dyDescent="0.3">
      <c r="B557" s="2"/>
      <c r="D557" s="2"/>
    </row>
    <row r="558" spans="2:4" ht="15.75" customHeight="1" x14ac:dyDescent="0.3">
      <c r="B558" s="2"/>
      <c r="D558" s="2"/>
    </row>
    <row r="559" spans="2:4" ht="15.75" customHeight="1" x14ac:dyDescent="0.3">
      <c r="B559" s="2"/>
      <c r="D559" s="2"/>
    </row>
    <row r="560" spans="2:4" ht="15.75" customHeight="1" x14ac:dyDescent="0.3">
      <c r="B560" s="2"/>
      <c r="D560" s="2"/>
    </row>
    <row r="561" spans="2:4" ht="15.75" customHeight="1" x14ac:dyDescent="0.3">
      <c r="B561" s="2"/>
      <c r="D561" s="2"/>
    </row>
    <row r="562" spans="2:4" ht="15.75" customHeight="1" x14ac:dyDescent="0.3">
      <c r="B562" s="2"/>
      <c r="D562" s="2"/>
    </row>
    <row r="563" spans="2:4" ht="15.75" customHeight="1" x14ac:dyDescent="0.3">
      <c r="B563" s="2"/>
      <c r="D563" s="2"/>
    </row>
    <row r="564" spans="2:4" ht="15.75" customHeight="1" x14ac:dyDescent="0.3">
      <c r="B564" s="2"/>
      <c r="D564" s="2"/>
    </row>
    <row r="565" spans="2:4" ht="15.75" customHeight="1" x14ac:dyDescent="0.3">
      <c r="B565" s="2"/>
      <c r="D565" s="2"/>
    </row>
    <row r="566" spans="2:4" ht="15.75" customHeight="1" x14ac:dyDescent="0.3">
      <c r="B566" s="2"/>
      <c r="D566" s="2"/>
    </row>
    <row r="567" spans="2:4" ht="15.75" customHeight="1" x14ac:dyDescent="0.3">
      <c r="B567" s="2"/>
      <c r="D567" s="2"/>
    </row>
    <row r="568" spans="2:4" ht="15.75" customHeight="1" x14ac:dyDescent="0.3">
      <c r="B568" s="2"/>
      <c r="D568" s="2"/>
    </row>
    <row r="569" spans="2:4" ht="15.75" customHeight="1" x14ac:dyDescent="0.3">
      <c r="B569" s="2"/>
      <c r="D569" s="2"/>
    </row>
    <row r="570" spans="2:4" ht="15.75" customHeight="1" x14ac:dyDescent="0.3">
      <c r="B570" s="2"/>
      <c r="D570" s="2"/>
    </row>
    <row r="571" spans="2:4" ht="15.75" customHeight="1" x14ac:dyDescent="0.3">
      <c r="B571" s="2"/>
      <c r="D571" s="2"/>
    </row>
    <row r="572" spans="2:4" ht="15.75" customHeight="1" x14ac:dyDescent="0.3">
      <c r="B572" s="2"/>
      <c r="D572" s="2"/>
    </row>
    <row r="573" spans="2:4" ht="15.75" customHeight="1" x14ac:dyDescent="0.3">
      <c r="B573" s="2"/>
      <c r="D573" s="2"/>
    </row>
    <row r="574" spans="2:4" ht="15.75" customHeight="1" x14ac:dyDescent="0.3">
      <c r="B574" s="2"/>
      <c r="D574" s="2"/>
    </row>
    <row r="575" spans="2:4" ht="15.75" customHeight="1" x14ac:dyDescent="0.3">
      <c r="B575" s="2"/>
      <c r="D575" s="2"/>
    </row>
    <row r="576" spans="2:4" ht="15.75" customHeight="1" x14ac:dyDescent="0.3">
      <c r="B576" s="2"/>
      <c r="D576" s="2"/>
    </row>
    <row r="577" spans="2:4" ht="15.75" customHeight="1" x14ac:dyDescent="0.3">
      <c r="B577" s="2"/>
      <c r="D577" s="2"/>
    </row>
    <row r="578" spans="2:4" ht="15.75" customHeight="1" x14ac:dyDescent="0.3">
      <c r="B578" s="2"/>
      <c r="D578" s="2"/>
    </row>
    <row r="579" spans="2:4" ht="15.75" customHeight="1" x14ac:dyDescent="0.3">
      <c r="B579" s="2"/>
      <c r="D579" s="2"/>
    </row>
    <row r="580" spans="2:4" ht="15.75" customHeight="1" x14ac:dyDescent="0.3">
      <c r="B580" s="2"/>
      <c r="D580" s="2"/>
    </row>
    <row r="581" spans="2:4" ht="15.75" customHeight="1" x14ac:dyDescent="0.3">
      <c r="B581" s="2"/>
      <c r="D581" s="2"/>
    </row>
    <row r="582" spans="2:4" ht="15.75" customHeight="1" x14ac:dyDescent="0.3">
      <c r="B582" s="2"/>
      <c r="D582" s="2"/>
    </row>
    <row r="583" spans="2:4" ht="15.75" customHeight="1" x14ac:dyDescent="0.3">
      <c r="B583" s="2"/>
      <c r="D583" s="2"/>
    </row>
    <row r="584" spans="2:4" ht="15.75" customHeight="1" x14ac:dyDescent="0.3">
      <c r="B584" s="2"/>
      <c r="D584" s="2"/>
    </row>
    <row r="585" spans="2:4" ht="15.75" customHeight="1" x14ac:dyDescent="0.3">
      <c r="B585" s="2"/>
      <c r="D585" s="2"/>
    </row>
    <row r="586" spans="2:4" ht="15.75" customHeight="1" x14ac:dyDescent="0.3">
      <c r="B586" s="2"/>
      <c r="D586" s="2"/>
    </row>
    <row r="587" spans="2:4" ht="15.75" customHeight="1" x14ac:dyDescent="0.3">
      <c r="B587" s="2"/>
      <c r="D587" s="2"/>
    </row>
    <row r="588" spans="2:4" ht="15.75" customHeight="1" x14ac:dyDescent="0.3">
      <c r="B588" s="2"/>
      <c r="D588" s="2"/>
    </row>
    <row r="589" spans="2:4" ht="15.75" customHeight="1" x14ac:dyDescent="0.3">
      <c r="B589" s="2"/>
      <c r="D589" s="2"/>
    </row>
    <row r="590" spans="2:4" ht="15.75" customHeight="1" x14ac:dyDescent="0.3">
      <c r="B590" s="2"/>
      <c r="D590" s="2"/>
    </row>
    <row r="591" spans="2:4" ht="15.75" customHeight="1" x14ac:dyDescent="0.3">
      <c r="B591" s="2"/>
      <c r="D591" s="2"/>
    </row>
    <row r="592" spans="2:4" ht="15.75" customHeight="1" x14ac:dyDescent="0.3">
      <c r="B592" s="2"/>
      <c r="D592" s="2"/>
    </row>
    <row r="593" spans="2:4" ht="15.75" customHeight="1" x14ac:dyDescent="0.3">
      <c r="B593" s="2"/>
      <c r="D593" s="2"/>
    </row>
    <row r="594" spans="2:4" ht="15.75" customHeight="1" x14ac:dyDescent="0.3">
      <c r="B594" s="2"/>
      <c r="D594" s="2"/>
    </row>
    <row r="595" spans="2:4" ht="15.75" customHeight="1" x14ac:dyDescent="0.3">
      <c r="B595" s="2"/>
      <c r="D595" s="2"/>
    </row>
    <row r="596" spans="2:4" ht="15.75" customHeight="1" x14ac:dyDescent="0.3">
      <c r="B596" s="2"/>
      <c r="D596" s="2"/>
    </row>
    <row r="597" spans="2:4" ht="15.75" customHeight="1" x14ac:dyDescent="0.3">
      <c r="B597" s="2"/>
      <c r="D597" s="2"/>
    </row>
    <row r="598" spans="2:4" ht="15.75" customHeight="1" x14ac:dyDescent="0.3">
      <c r="B598" s="2"/>
      <c r="D598" s="2"/>
    </row>
    <row r="599" spans="2:4" ht="15.75" customHeight="1" x14ac:dyDescent="0.3">
      <c r="B599" s="2"/>
      <c r="D599" s="2"/>
    </row>
    <row r="600" spans="2:4" ht="15.75" customHeight="1" x14ac:dyDescent="0.3">
      <c r="B600" s="2"/>
      <c r="D600" s="2"/>
    </row>
    <row r="601" spans="2:4" ht="15.75" customHeight="1" x14ac:dyDescent="0.3">
      <c r="B601" s="2"/>
      <c r="D601" s="2"/>
    </row>
    <row r="602" spans="2:4" ht="15.75" customHeight="1" x14ac:dyDescent="0.3">
      <c r="B602" s="2"/>
      <c r="D602" s="2"/>
    </row>
    <row r="603" spans="2:4" ht="15.75" customHeight="1" x14ac:dyDescent="0.3">
      <c r="B603" s="2"/>
      <c r="D603" s="2"/>
    </row>
    <row r="604" spans="2:4" ht="15.75" customHeight="1" x14ac:dyDescent="0.3">
      <c r="B604" s="2"/>
      <c r="D604" s="2"/>
    </row>
    <row r="605" spans="2:4" ht="15.75" customHeight="1" x14ac:dyDescent="0.3">
      <c r="B605" s="2"/>
      <c r="D605" s="2"/>
    </row>
    <row r="606" spans="2:4" ht="15.75" customHeight="1" x14ac:dyDescent="0.3">
      <c r="B606" s="2"/>
      <c r="D606" s="2"/>
    </row>
    <row r="607" spans="2:4" ht="15.75" customHeight="1" x14ac:dyDescent="0.3">
      <c r="B607" s="2"/>
      <c r="D607" s="2"/>
    </row>
    <row r="608" spans="2:4" ht="15.75" customHeight="1" x14ac:dyDescent="0.3">
      <c r="B608" s="2"/>
      <c r="D608" s="2"/>
    </row>
    <row r="609" spans="2:4" ht="15.75" customHeight="1" x14ac:dyDescent="0.3">
      <c r="B609" s="2"/>
      <c r="D609" s="2"/>
    </row>
    <row r="610" spans="2:4" ht="15.75" customHeight="1" x14ac:dyDescent="0.3">
      <c r="B610" s="2"/>
      <c r="D610" s="2"/>
    </row>
    <row r="611" spans="2:4" ht="15.75" customHeight="1" x14ac:dyDescent="0.3">
      <c r="B611" s="2"/>
      <c r="D611" s="2"/>
    </row>
    <row r="612" spans="2:4" ht="15.75" customHeight="1" x14ac:dyDescent="0.3">
      <c r="B612" s="2"/>
      <c r="D612" s="2"/>
    </row>
    <row r="613" spans="2:4" ht="15.75" customHeight="1" x14ac:dyDescent="0.3">
      <c r="B613" s="2"/>
      <c r="D613" s="2"/>
    </row>
    <row r="614" spans="2:4" ht="15.75" customHeight="1" x14ac:dyDescent="0.3">
      <c r="B614" s="2"/>
      <c r="D614" s="2"/>
    </row>
    <row r="615" spans="2:4" ht="15.75" customHeight="1" x14ac:dyDescent="0.3">
      <c r="B615" s="2"/>
      <c r="D615" s="2"/>
    </row>
    <row r="616" spans="2:4" ht="15.75" customHeight="1" x14ac:dyDescent="0.3">
      <c r="B616" s="2"/>
      <c r="D616" s="2"/>
    </row>
    <row r="617" spans="2:4" ht="15.75" customHeight="1" x14ac:dyDescent="0.3">
      <c r="B617" s="2"/>
      <c r="D617" s="2"/>
    </row>
    <row r="618" spans="2:4" ht="15.75" customHeight="1" x14ac:dyDescent="0.3">
      <c r="B618" s="2"/>
      <c r="D618" s="2"/>
    </row>
    <row r="619" spans="2:4" ht="15.75" customHeight="1" x14ac:dyDescent="0.3">
      <c r="B619" s="2"/>
      <c r="D619" s="2"/>
    </row>
    <row r="620" spans="2:4" ht="15.75" customHeight="1" x14ac:dyDescent="0.3">
      <c r="B620" s="2"/>
      <c r="D620" s="2"/>
    </row>
    <row r="621" spans="2:4" ht="15.75" customHeight="1" x14ac:dyDescent="0.3">
      <c r="B621" s="2"/>
      <c r="D621" s="2"/>
    </row>
    <row r="622" spans="2:4" ht="15.75" customHeight="1" x14ac:dyDescent="0.3">
      <c r="B622" s="2"/>
      <c r="D622" s="2"/>
    </row>
    <row r="623" spans="2:4" ht="15.75" customHeight="1" x14ac:dyDescent="0.3">
      <c r="B623" s="2"/>
      <c r="D623" s="2"/>
    </row>
    <row r="624" spans="2:4" ht="15.75" customHeight="1" x14ac:dyDescent="0.3">
      <c r="B624" s="2"/>
      <c r="D624" s="2"/>
    </row>
    <row r="625" spans="2:4" ht="15.75" customHeight="1" x14ac:dyDescent="0.3">
      <c r="B625" s="2"/>
      <c r="D625" s="2"/>
    </row>
    <row r="626" spans="2:4" ht="15.75" customHeight="1" x14ac:dyDescent="0.3">
      <c r="B626" s="2"/>
      <c r="D626" s="2"/>
    </row>
    <row r="627" spans="2:4" ht="15.75" customHeight="1" x14ac:dyDescent="0.3">
      <c r="B627" s="2"/>
      <c r="D627" s="2"/>
    </row>
    <row r="628" spans="2:4" ht="15.75" customHeight="1" x14ac:dyDescent="0.3">
      <c r="B628" s="2"/>
      <c r="D628" s="2"/>
    </row>
    <row r="629" spans="2:4" ht="15.75" customHeight="1" x14ac:dyDescent="0.3">
      <c r="B629" s="2"/>
      <c r="D629" s="2"/>
    </row>
    <row r="630" spans="2:4" ht="15.75" customHeight="1" x14ac:dyDescent="0.3">
      <c r="B630" s="2"/>
      <c r="D630" s="2"/>
    </row>
    <row r="631" spans="2:4" ht="15.75" customHeight="1" x14ac:dyDescent="0.3">
      <c r="B631" s="2"/>
      <c r="D631" s="2"/>
    </row>
    <row r="632" spans="2:4" ht="15.75" customHeight="1" x14ac:dyDescent="0.3">
      <c r="B632" s="2"/>
      <c r="D632" s="2"/>
    </row>
    <row r="633" spans="2:4" ht="15.75" customHeight="1" x14ac:dyDescent="0.3">
      <c r="B633" s="2"/>
      <c r="D633" s="2"/>
    </row>
    <row r="634" spans="2:4" ht="15.75" customHeight="1" x14ac:dyDescent="0.3">
      <c r="B634" s="2"/>
      <c r="D634" s="2"/>
    </row>
    <row r="635" spans="2:4" ht="15.75" customHeight="1" x14ac:dyDescent="0.3">
      <c r="B635" s="2"/>
      <c r="D635" s="2"/>
    </row>
    <row r="636" spans="2:4" ht="15.75" customHeight="1" x14ac:dyDescent="0.3">
      <c r="B636" s="2"/>
      <c r="D636" s="2"/>
    </row>
    <row r="637" spans="2:4" ht="15.75" customHeight="1" x14ac:dyDescent="0.3">
      <c r="B637" s="2"/>
      <c r="D637" s="2"/>
    </row>
    <row r="638" spans="2:4" ht="15.75" customHeight="1" x14ac:dyDescent="0.3">
      <c r="B638" s="2"/>
      <c r="D638" s="2"/>
    </row>
    <row r="639" spans="2:4" ht="15.75" customHeight="1" x14ac:dyDescent="0.3">
      <c r="B639" s="2"/>
      <c r="D639" s="2"/>
    </row>
    <row r="640" spans="2:4" ht="15.75" customHeight="1" x14ac:dyDescent="0.3">
      <c r="B640" s="2"/>
      <c r="D640" s="2"/>
    </row>
    <row r="641" spans="2:4" ht="15.75" customHeight="1" x14ac:dyDescent="0.3">
      <c r="B641" s="2"/>
      <c r="D641" s="2"/>
    </row>
    <row r="642" spans="2:4" ht="15.75" customHeight="1" x14ac:dyDescent="0.3">
      <c r="B642" s="2"/>
      <c r="D642" s="2"/>
    </row>
    <row r="643" spans="2:4" ht="15.75" customHeight="1" x14ac:dyDescent="0.3">
      <c r="B643" s="2"/>
      <c r="D643" s="2"/>
    </row>
    <row r="644" spans="2:4" ht="15.75" customHeight="1" x14ac:dyDescent="0.3">
      <c r="B644" s="2"/>
      <c r="D644" s="2"/>
    </row>
    <row r="645" spans="2:4" ht="15.75" customHeight="1" x14ac:dyDescent="0.3">
      <c r="B645" s="2"/>
      <c r="D645" s="2"/>
    </row>
    <row r="646" spans="2:4" ht="15.75" customHeight="1" x14ac:dyDescent="0.3">
      <c r="B646" s="2"/>
      <c r="D646" s="2"/>
    </row>
    <row r="647" spans="2:4" ht="15.75" customHeight="1" x14ac:dyDescent="0.3">
      <c r="B647" s="2"/>
      <c r="D647" s="2"/>
    </row>
    <row r="648" spans="2:4" ht="15.75" customHeight="1" x14ac:dyDescent="0.3">
      <c r="B648" s="2"/>
      <c r="D648" s="2"/>
    </row>
    <row r="649" spans="2:4" ht="15.75" customHeight="1" x14ac:dyDescent="0.3">
      <c r="B649" s="2"/>
      <c r="D649" s="2"/>
    </row>
    <row r="650" spans="2:4" ht="15.75" customHeight="1" x14ac:dyDescent="0.3">
      <c r="B650" s="2"/>
      <c r="D650" s="2"/>
    </row>
    <row r="651" spans="2:4" ht="15.75" customHeight="1" x14ac:dyDescent="0.3">
      <c r="B651" s="2"/>
      <c r="D651" s="2"/>
    </row>
    <row r="652" spans="2:4" ht="15.75" customHeight="1" x14ac:dyDescent="0.3">
      <c r="B652" s="2"/>
      <c r="D652" s="2"/>
    </row>
    <row r="653" spans="2:4" ht="15.75" customHeight="1" x14ac:dyDescent="0.3">
      <c r="B653" s="2"/>
      <c r="D653" s="2"/>
    </row>
    <row r="654" spans="2:4" ht="15.75" customHeight="1" x14ac:dyDescent="0.3">
      <c r="B654" s="2"/>
      <c r="D654" s="2"/>
    </row>
    <row r="655" spans="2:4" ht="15.75" customHeight="1" x14ac:dyDescent="0.3">
      <c r="B655" s="2"/>
      <c r="D655" s="2"/>
    </row>
    <row r="656" spans="2:4" ht="15.75" customHeight="1" x14ac:dyDescent="0.3">
      <c r="B656" s="2"/>
      <c r="D656" s="2"/>
    </row>
    <row r="657" spans="2:4" ht="15.75" customHeight="1" x14ac:dyDescent="0.3">
      <c r="B657" s="2"/>
      <c r="D657" s="2"/>
    </row>
    <row r="658" spans="2:4" ht="15.75" customHeight="1" x14ac:dyDescent="0.3">
      <c r="B658" s="2"/>
      <c r="D658" s="2"/>
    </row>
    <row r="659" spans="2:4" ht="15.75" customHeight="1" x14ac:dyDescent="0.3">
      <c r="B659" s="2"/>
      <c r="D659" s="2"/>
    </row>
    <row r="660" spans="2:4" ht="15.75" customHeight="1" x14ac:dyDescent="0.3">
      <c r="B660" s="2"/>
      <c r="D660" s="2"/>
    </row>
    <row r="661" spans="2:4" ht="15.75" customHeight="1" x14ac:dyDescent="0.3">
      <c r="B661" s="2"/>
      <c r="D661" s="2"/>
    </row>
    <row r="662" spans="2:4" ht="15.75" customHeight="1" x14ac:dyDescent="0.3">
      <c r="B662" s="2"/>
      <c r="D662" s="2"/>
    </row>
    <row r="663" spans="2:4" ht="15.75" customHeight="1" x14ac:dyDescent="0.3">
      <c r="B663" s="2"/>
      <c r="D663" s="2"/>
    </row>
    <row r="664" spans="2:4" ht="15.75" customHeight="1" x14ac:dyDescent="0.3">
      <c r="B664" s="2"/>
      <c r="D664" s="2"/>
    </row>
    <row r="665" spans="2:4" ht="15.75" customHeight="1" x14ac:dyDescent="0.3">
      <c r="B665" s="2"/>
      <c r="D665" s="2"/>
    </row>
    <row r="666" spans="2:4" ht="15.75" customHeight="1" x14ac:dyDescent="0.3">
      <c r="B666" s="2"/>
      <c r="D666" s="2"/>
    </row>
    <row r="667" spans="2:4" ht="15.75" customHeight="1" x14ac:dyDescent="0.3">
      <c r="B667" s="2"/>
      <c r="D667" s="2"/>
    </row>
    <row r="668" spans="2:4" ht="15.75" customHeight="1" x14ac:dyDescent="0.3">
      <c r="B668" s="2"/>
      <c r="D668" s="2"/>
    </row>
    <row r="669" spans="2:4" ht="15.75" customHeight="1" x14ac:dyDescent="0.3">
      <c r="B669" s="2"/>
      <c r="D669" s="2"/>
    </row>
    <row r="670" spans="2:4" ht="15.75" customHeight="1" x14ac:dyDescent="0.3">
      <c r="B670" s="2"/>
      <c r="D670" s="2"/>
    </row>
    <row r="671" spans="2:4" ht="15.75" customHeight="1" x14ac:dyDescent="0.3">
      <c r="B671" s="2"/>
      <c r="D671" s="2"/>
    </row>
    <row r="672" spans="2:4" ht="15.75" customHeight="1" x14ac:dyDescent="0.3">
      <c r="B672" s="2"/>
      <c r="D672" s="2"/>
    </row>
    <row r="673" spans="2:4" ht="15.75" customHeight="1" x14ac:dyDescent="0.3">
      <c r="B673" s="2"/>
      <c r="D673" s="2"/>
    </row>
    <row r="674" spans="2:4" ht="15.75" customHeight="1" x14ac:dyDescent="0.3">
      <c r="B674" s="2"/>
      <c r="D674" s="2"/>
    </row>
    <row r="675" spans="2:4" ht="15.75" customHeight="1" x14ac:dyDescent="0.3">
      <c r="B675" s="2"/>
      <c r="D675" s="2"/>
    </row>
    <row r="676" spans="2:4" ht="15.75" customHeight="1" x14ac:dyDescent="0.3">
      <c r="B676" s="2"/>
      <c r="D676" s="2"/>
    </row>
    <row r="677" spans="2:4" ht="15.75" customHeight="1" x14ac:dyDescent="0.3">
      <c r="B677" s="2"/>
      <c r="D677" s="2"/>
    </row>
    <row r="678" spans="2:4" ht="15.75" customHeight="1" x14ac:dyDescent="0.3">
      <c r="B678" s="2"/>
      <c r="D678" s="2"/>
    </row>
    <row r="679" spans="2:4" ht="15.75" customHeight="1" x14ac:dyDescent="0.3">
      <c r="B679" s="2"/>
      <c r="D679" s="2"/>
    </row>
    <row r="680" spans="2:4" ht="15.75" customHeight="1" x14ac:dyDescent="0.3">
      <c r="B680" s="2"/>
      <c r="D680" s="2"/>
    </row>
    <row r="681" spans="2:4" ht="15.75" customHeight="1" x14ac:dyDescent="0.3">
      <c r="B681" s="2"/>
      <c r="D681" s="2"/>
    </row>
    <row r="682" spans="2:4" ht="15.75" customHeight="1" x14ac:dyDescent="0.3">
      <c r="B682" s="2"/>
      <c r="D682" s="2"/>
    </row>
    <row r="683" spans="2:4" ht="15.75" customHeight="1" x14ac:dyDescent="0.3">
      <c r="B683" s="2"/>
      <c r="D683" s="2"/>
    </row>
    <row r="684" spans="2:4" ht="15.75" customHeight="1" x14ac:dyDescent="0.3">
      <c r="B684" s="2"/>
      <c r="D684" s="2"/>
    </row>
    <row r="685" spans="2:4" ht="15.75" customHeight="1" x14ac:dyDescent="0.3">
      <c r="B685" s="2"/>
      <c r="D685" s="2"/>
    </row>
    <row r="686" spans="2:4" ht="15.75" customHeight="1" x14ac:dyDescent="0.3">
      <c r="B686" s="2"/>
      <c r="D686" s="2"/>
    </row>
    <row r="687" spans="2:4" ht="15.75" customHeight="1" x14ac:dyDescent="0.3">
      <c r="B687" s="2"/>
      <c r="D687" s="2"/>
    </row>
    <row r="688" spans="2:4" ht="15.75" customHeight="1" x14ac:dyDescent="0.3">
      <c r="B688" s="2"/>
      <c r="D688" s="2"/>
    </row>
    <row r="689" spans="2:4" ht="15.75" customHeight="1" x14ac:dyDescent="0.3">
      <c r="B689" s="2"/>
      <c r="D689" s="2"/>
    </row>
    <row r="690" spans="2:4" ht="15.75" customHeight="1" x14ac:dyDescent="0.3">
      <c r="B690" s="2"/>
      <c r="D690" s="2"/>
    </row>
    <row r="691" spans="2:4" ht="15.75" customHeight="1" x14ac:dyDescent="0.3">
      <c r="B691" s="2"/>
      <c r="D691" s="2"/>
    </row>
    <row r="692" spans="2:4" ht="15.75" customHeight="1" x14ac:dyDescent="0.3">
      <c r="B692" s="2"/>
      <c r="D692" s="2"/>
    </row>
    <row r="693" spans="2:4" ht="15.75" customHeight="1" x14ac:dyDescent="0.3">
      <c r="B693" s="2"/>
      <c r="D693" s="2"/>
    </row>
    <row r="694" spans="2:4" ht="15.75" customHeight="1" x14ac:dyDescent="0.3">
      <c r="B694" s="2"/>
      <c r="D694" s="2"/>
    </row>
    <row r="695" spans="2:4" ht="15.75" customHeight="1" x14ac:dyDescent="0.3">
      <c r="B695" s="2"/>
      <c r="D695" s="2"/>
    </row>
    <row r="696" spans="2:4" ht="15.75" customHeight="1" x14ac:dyDescent="0.3">
      <c r="B696" s="2"/>
      <c r="D696" s="2"/>
    </row>
    <row r="697" spans="2:4" ht="15.75" customHeight="1" x14ac:dyDescent="0.3">
      <c r="B697" s="2"/>
      <c r="D697" s="2"/>
    </row>
    <row r="698" spans="2:4" ht="15.75" customHeight="1" x14ac:dyDescent="0.3">
      <c r="B698" s="2"/>
      <c r="D698" s="2"/>
    </row>
    <row r="699" spans="2:4" ht="15.75" customHeight="1" x14ac:dyDescent="0.3">
      <c r="B699" s="2"/>
      <c r="D699" s="2"/>
    </row>
    <row r="700" spans="2:4" ht="15.75" customHeight="1" x14ac:dyDescent="0.3">
      <c r="B700" s="2"/>
      <c r="D700" s="2"/>
    </row>
    <row r="701" spans="2:4" ht="15.75" customHeight="1" x14ac:dyDescent="0.3">
      <c r="B701" s="2"/>
      <c r="D701" s="2"/>
    </row>
    <row r="702" spans="2:4" ht="15.75" customHeight="1" x14ac:dyDescent="0.3">
      <c r="B702" s="2"/>
      <c r="D702" s="2"/>
    </row>
    <row r="703" spans="2:4" ht="15.75" customHeight="1" x14ac:dyDescent="0.3">
      <c r="B703" s="2"/>
      <c r="D703" s="2"/>
    </row>
    <row r="704" spans="2:4" ht="15.75" customHeight="1" x14ac:dyDescent="0.3">
      <c r="B704" s="2"/>
      <c r="D704" s="2"/>
    </row>
    <row r="705" spans="2:4" ht="15.75" customHeight="1" x14ac:dyDescent="0.3">
      <c r="B705" s="2"/>
      <c r="D705" s="2"/>
    </row>
    <row r="706" spans="2:4" ht="15.75" customHeight="1" x14ac:dyDescent="0.3">
      <c r="B706" s="2"/>
      <c r="D706" s="2"/>
    </row>
    <row r="707" spans="2:4" ht="15.75" customHeight="1" x14ac:dyDescent="0.3">
      <c r="B707" s="2"/>
      <c r="D707" s="2"/>
    </row>
    <row r="708" spans="2:4" ht="15.75" customHeight="1" x14ac:dyDescent="0.3">
      <c r="B708" s="2"/>
      <c r="D708" s="2"/>
    </row>
    <row r="709" spans="2:4" ht="15.75" customHeight="1" x14ac:dyDescent="0.3">
      <c r="B709" s="2"/>
      <c r="D709" s="2"/>
    </row>
    <row r="710" spans="2:4" ht="15.75" customHeight="1" x14ac:dyDescent="0.3">
      <c r="B710" s="2"/>
      <c r="D710" s="2"/>
    </row>
    <row r="711" spans="2:4" ht="15.75" customHeight="1" x14ac:dyDescent="0.3">
      <c r="B711" s="2"/>
      <c r="D711" s="2"/>
    </row>
    <row r="712" spans="2:4" ht="15.75" customHeight="1" x14ac:dyDescent="0.3">
      <c r="B712" s="2"/>
      <c r="D712" s="2"/>
    </row>
    <row r="713" spans="2:4" ht="15.75" customHeight="1" x14ac:dyDescent="0.3">
      <c r="B713" s="2"/>
      <c r="D713" s="2"/>
    </row>
    <row r="714" spans="2:4" ht="15.75" customHeight="1" x14ac:dyDescent="0.3">
      <c r="B714" s="2"/>
      <c r="D714" s="2"/>
    </row>
    <row r="715" spans="2:4" ht="15.75" customHeight="1" x14ac:dyDescent="0.3">
      <c r="B715" s="2"/>
      <c r="D715" s="2"/>
    </row>
    <row r="716" spans="2:4" ht="15.75" customHeight="1" x14ac:dyDescent="0.3">
      <c r="B716" s="2"/>
      <c r="D716" s="2"/>
    </row>
    <row r="717" spans="2:4" ht="15.75" customHeight="1" x14ac:dyDescent="0.3">
      <c r="B717" s="2"/>
      <c r="D717" s="2"/>
    </row>
    <row r="718" spans="2:4" ht="15.75" customHeight="1" x14ac:dyDescent="0.3">
      <c r="B718" s="2"/>
      <c r="D718" s="2"/>
    </row>
    <row r="719" spans="2:4" ht="15.75" customHeight="1" x14ac:dyDescent="0.3">
      <c r="B719" s="2"/>
      <c r="D719" s="2"/>
    </row>
    <row r="720" spans="2:4" ht="15.75" customHeight="1" x14ac:dyDescent="0.3">
      <c r="B720" s="2"/>
      <c r="D720" s="2"/>
    </row>
    <row r="721" spans="2:4" ht="15.75" customHeight="1" x14ac:dyDescent="0.3">
      <c r="B721" s="2"/>
      <c r="D721" s="2"/>
    </row>
    <row r="722" spans="2:4" ht="15.75" customHeight="1" x14ac:dyDescent="0.3">
      <c r="B722" s="2"/>
      <c r="D722" s="2"/>
    </row>
    <row r="723" spans="2:4" ht="15.75" customHeight="1" x14ac:dyDescent="0.3">
      <c r="B723" s="2"/>
      <c r="D723" s="2"/>
    </row>
    <row r="724" spans="2:4" ht="15.75" customHeight="1" x14ac:dyDescent="0.3">
      <c r="B724" s="2"/>
      <c r="D724" s="2"/>
    </row>
    <row r="725" spans="2:4" ht="15.75" customHeight="1" x14ac:dyDescent="0.3">
      <c r="B725" s="2"/>
      <c r="D725" s="2"/>
    </row>
    <row r="726" spans="2:4" ht="15.75" customHeight="1" x14ac:dyDescent="0.3">
      <c r="B726" s="2"/>
      <c r="D726" s="2"/>
    </row>
    <row r="727" spans="2:4" ht="15.75" customHeight="1" x14ac:dyDescent="0.3">
      <c r="B727" s="2"/>
      <c r="D727" s="2"/>
    </row>
    <row r="728" spans="2:4" ht="15.75" customHeight="1" x14ac:dyDescent="0.3">
      <c r="B728" s="2"/>
      <c r="D728" s="2"/>
    </row>
    <row r="729" spans="2:4" ht="15.75" customHeight="1" x14ac:dyDescent="0.3">
      <c r="B729" s="2"/>
      <c r="D729" s="2"/>
    </row>
    <row r="730" spans="2:4" ht="15.75" customHeight="1" x14ac:dyDescent="0.3">
      <c r="B730" s="2"/>
      <c r="D730" s="2"/>
    </row>
    <row r="731" spans="2:4" ht="15.75" customHeight="1" x14ac:dyDescent="0.3">
      <c r="B731" s="2"/>
      <c r="D731" s="2"/>
    </row>
    <row r="732" spans="2:4" ht="15.75" customHeight="1" x14ac:dyDescent="0.3">
      <c r="B732" s="2"/>
      <c r="D732" s="2"/>
    </row>
    <row r="733" spans="2:4" ht="15.75" customHeight="1" x14ac:dyDescent="0.3">
      <c r="B733" s="2"/>
      <c r="D733" s="2"/>
    </row>
    <row r="734" spans="2:4" ht="15.75" customHeight="1" x14ac:dyDescent="0.3">
      <c r="B734" s="2"/>
      <c r="D734" s="2"/>
    </row>
    <row r="735" spans="2:4" ht="15.75" customHeight="1" x14ac:dyDescent="0.3">
      <c r="B735" s="2"/>
      <c r="D735" s="2"/>
    </row>
    <row r="736" spans="2:4" ht="15.75" customHeight="1" x14ac:dyDescent="0.3">
      <c r="B736" s="2"/>
      <c r="D736" s="2"/>
    </row>
    <row r="737" spans="2:4" ht="15.75" customHeight="1" x14ac:dyDescent="0.3">
      <c r="B737" s="2"/>
      <c r="D737" s="2"/>
    </row>
    <row r="738" spans="2:4" ht="15.75" customHeight="1" x14ac:dyDescent="0.3">
      <c r="B738" s="2"/>
      <c r="D738" s="2"/>
    </row>
    <row r="739" spans="2:4" ht="15.75" customHeight="1" x14ac:dyDescent="0.3">
      <c r="B739" s="2"/>
      <c r="D739" s="2"/>
    </row>
    <row r="740" spans="2:4" ht="15.75" customHeight="1" x14ac:dyDescent="0.3">
      <c r="B740" s="2"/>
      <c r="D740" s="2"/>
    </row>
    <row r="741" spans="2:4" ht="15.75" customHeight="1" x14ac:dyDescent="0.3">
      <c r="B741" s="2"/>
      <c r="D741" s="2"/>
    </row>
    <row r="742" spans="2:4" ht="15.75" customHeight="1" x14ac:dyDescent="0.3">
      <c r="B742" s="2"/>
      <c r="D742" s="2"/>
    </row>
    <row r="743" spans="2:4" ht="15.75" customHeight="1" x14ac:dyDescent="0.3">
      <c r="B743" s="2"/>
      <c r="D743" s="2"/>
    </row>
    <row r="744" spans="2:4" ht="15.75" customHeight="1" x14ac:dyDescent="0.3">
      <c r="B744" s="2"/>
      <c r="D744" s="2"/>
    </row>
    <row r="745" spans="2:4" ht="15.75" customHeight="1" x14ac:dyDescent="0.3">
      <c r="B745" s="2"/>
      <c r="D745" s="2"/>
    </row>
    <row r="746" spans="2:4" ht="15.75" customHeight="1" x14ac:dyDescent="0.3">
      <c r="B746" s="2"/>
      <c r="D746" s="2"/>
    </row>
    <row r="747" spans="2:4" ht="15.75" customHeight="1" x14ac:dyDescent="0.3">
      <c r="B747" s="2"/>
      <c r="D747" s="2"/>
    </row>
    <row r="748" spans="2:4" ht="15.75" customHeight="1" x14ac:dyDescent="0.3">
      <c r="B748" s="2"/>
      <c r="D748" s="2"/>
    </row>
    <row r="749" spans="2:4" ht="15.75" customHeight="1" x14ac:dyDescent="0.3">
      <c r="B749" s="2"/>
      <c r="D749" s="2"/>
    </row>
    <row r="750" spans="2:4" ht="15.75" customHeight="1" x14ac:dyDescent="0.3">
      <c r="B750" s="2"/>
      <c r="D750" s="2"/>
    </row>
    <row r="751" spans="2:4" ht="15.75" customHeight="1" x14ac:dyDescent="0.3">
      <c r="B751" s="2"/>
      <c r="D751" s="2"/>
    </row>
    <row r="752" spans="2:4" ht="15.75" customHeight="1" x14ac:dyDescent="0.3">
      <c r="B752" s="2"/>
      <c r="D752" s="2"/>
    </row>
    <row r="753" spans="2:4" ht="15.75" customHeight="1" x14ac:dyDescent="0.3">
      <c r="B753" s="2"/>
      <c r="D753" s="2"/>
    </row>
    <row r="754" spans="2:4" ht="15.75" customHeight="1" x14ac:dyDescent="0.3">
      <c r="B754" s="2"/>
      <c r="D754" s="2"/>
    </row>
    <row r="755" spans="2:4" ht="15.75" customHeight="1" x14ac:dyDescent="0.3">
      <c r="B755" s="2"/>
      <c r="D755" s="2"/>
    </row>
    <row r="756" spans="2:4" ht="15.75" customHeight="1" x14ac:dyDescent="0.3">
      <c r="B756" s="2"/>
      <c r="D756" s="2"/>
    </row>
    <row r="757" spans="2:4" ht="15.75" customHeight="1" x14ac:dyDescent="0.3">
      <c r="B757" s="2"/>
      <c r="D757" s="2"/>
    </row>
    <row r="758" spans="2:4" ht="15.75" customHeight="1" x14ac:dyDescent="0.3">
      <c r="B758" s="2"/>
      <c r="D758" s="2"/>
    </row>
    <row r="759" spans="2:4" ht="15.75" customHeight="1" x14ac:dyDescent="0.3">
      <c r="B759" s="2"/>
      <c r="D759" s="2"/>
    </row>
    <row r="760" spans="2:4" ht="15.75" customHeight="1" x14ac:dyDescent="0.3">
      <c r="B760" s="2"/>
      <c r="D760" s="2"/>
    </row>
    <row r="761" spans="2:4" ht="15.75" customHeight="1" x14ac:dyDescent="0.3">
      <c r="B761" s="2"/>
      <c r="D761" s="2"/>
    </row>
    <row r="762" spans="2:4" ht="15.75" customHeight="1" x14ac:dyDescent="0.3">
      <c r="B762" s="2"/>
      <c r="D762" s="2"/>
    </row>
    <row r="763" spans="2:4" ht="15.75" customHeight="1" x14ac:dyDescent="0.3">
      <c r="B763" s="2"/>
      <c r="D763" s="2"/>
    </row>
    <row r="764" spans="2:4" ht="15.75" customHeight="1" x14ac:dyDescent="0.3">
      <c r="B764" s="2"/>
      <c r="D764" s="2"/>
    </row>
    <row r="765" spans="2:4" ht="15.75" customHeight="1" x14ac:dyDescent="0.3">
      <c r="B765" s="2"/>
      <c r="D765" s="2"/>
    </row>
    <row r="766" spans="2:4" ht="15.75" customHeight="1" x14ac:dyDescent="0.3">
      <c r="B766" s="2"/>
      <c r="D766" s="2"/>
    </row>
    <row r="767" spans="2:4" ht="15.75" customHeight="1" x14ac:dyDescent="0.3">
      <c r="B767" s="2"/>
      <c r="D767" s="2"/>
    </row>
    <row r="768" spans="2:4" ht="15.75" customHeight="1" x14ac:dyDescent="0.3">
      <c r="B768" s="2"/>
      <c r="D768" s="2"/>
    </row>
    <row r="769" spans="2:4" ht="15.75" customHeight="1" x14ac:dyDescent="0.3">
      <c r="B769" s="2"/>
      <c r="D769" s="2"/>
    </row>
    <row r="770" spans="2:4" ht="15.75" customHeight="1" x14ac:dyDescent="0.3">
      <c r="B770" s="2"/>
      <c r="D770" s="2"/>
    </row>
    <row r="771" spans="2:4" ht="15.75" customHeight="1" x14ac:dyDescent="0.3">
      <c r="B771" s="2"/>
      <c r="D771" s="2"/>
    </row>
    <row r="772" spans="2:4" ht="15.75" customHeight="1" x14ac:dyDescent="0.3">
      <c r="B772" s="2"/>
      <c r="D772" s="2"/>
    </row>
    <row r="773" spans="2:4" ht="15.75" customHeight="1" x14ac:dyDescent="0.3">
      <c r="B773" s="2"/>
      <c r="D773" s="2"/>
    </row>
    <row r="774" spans="2:4" ht="15.75" customHeight="1" x14ac:dyDescent="0.3">
      <c r="B774" s="2"/>
      <c r="D774" s="2"/>
    </row>
    <row r="775" spans="2:4" ht="15.75" customHeight="1" x14ac:dyDescent="0.3">
      <c r="B775" s="2"/>
      <c r="D775" s="2"/>
    </row>
    <row r="776" spans="2:4" ht="15.75" customHeight="1" x14ac:dyDescent="0.3">
      <c r="B776" s="2"/>
      <c r="D776" s="2"/>
    </row>
    <row r="777" spans="2:4" ht="15.75" customHeight="1" x14ac:dyDescent="0.3">
      <c r="B777" s="2"/>
      <c r="D777" s="2"/>
    </row>
    <row r="778" spans="2:4" ht="15.75" customHeight="1" x14ac:dyDescent="0.3">
      <c r="B778" s="2"/>
      <c r="D778" s="2"/>
    </row>
    <row r="779" spans="2:4" ht="15.75" customHeight="1" x14ac:dyDescent="0.3">
      <c r="B779" s="2"/>
      <c r="D779" s="2"/>
    </row>
    <row r="780" spans="2:4" ht="15.75" customHeight="1" x14ac:dyDescent="0.3">
      <c r="B780" s="2"/>
      <c r="D780" s="2"/>
    </row>
    <row r="781" spans="2:4" ht="15.75" customHeight="1" x14ac:dyDescent="0.3">
      <c r="B781" s="2"/>
      <c r="D781" s="2"/>
    </row>
    <row r="782" spans="2:4" ht="15.75" customHeight="1" x14ac:dyDescent="0.3">
      <c r="B782" s="2"/>
      <c r="D782" s="2"/>
    </row>
    <row r="783" spans="2:4" ht="15.75" customHeight="1" x14ac:dyDescent="0.3">
      <c r="B783" s="2"/>
      <c r="D783" s="2"/>
    </row>
    <row r="784" spans="2:4" ht="15.75" customHeight="1" x14ac:dyDescent="0.3">
      <c r="B784" s="2"/>
      <c r="D784" s="2"/>
    </row>
    <row r="785" spans="2:4" ht="15.75" customHeight="1" x14ac:dyDescent="0.3">
      <c r="B785" s="2"/>
      <c r="D785" s="2"/>
    </row>
    <row r="786" spans="2:4" ht="15.75" customHeight="1" x14ac:dyDescent="0.3">
      <c r="B786" s="2"/>
      <c r="D786" s="2"/>
    </row>
    <row r="787" spans="2:4" ht="15.75" customHeight="1" x14ac:dyDescent="0.3">
      <c r="B787" s="2"/>
      <c r="D787" s="2"/>
    </row>
    <row r="788" spans="2:4" ht="15.75" customHeight="1" x14ac:dyDescent="0.3">
      <c r="B788" s="2"/>
      <c r="D788" s="2"/>
    </row>
    <row r="789" spans="2:4" ht="15.75" customHeight="1" x14ac:dyDescent="0.3">
      <c r="B789" s="2"/>
      <c r="D789" s="2"/>
    </row>
    <row r="790" spans="2:4" ht="15.75" customHeight="1" x14ac:dyDescent="0.3">
      <c r="B790" s="2"/>
      <c r="D790" s="2"/>
    </row>
    <row r="791" spans="2:4" ht="15.75" customHeight="1" x14ac:dyDescent="0.3">
      <c r="B791" s="2"/>
      <c r="D791" s="2"/>
    </row>
    <row r="792" spans="2:4" ht="15.75" customHeight="1" x14ac:dyDescent="0.3">
      <c r="B792" s="2"/>
      <c r="D792" s="2"/>
    </row>
    <row r="793" spans="2:4" ht="15.75" customHeight="1" x14ac:dyDescent="0.3">
      <c r="B793" s="2"/>
      <c r="D793" s="2"/>
    </row>
    <row r="794" spans="2:4" ht="15.75" customHeight="1" x14ac:dyDescent="0.3">
      <c r="B794" s="2"/>
      <c r="D794" s="2"/>
    </row>
    <row r="795" spans="2:4" ht="15.75" customHeight="1" x14ac:dyDescent="0.3">
      <c r="B795" s="2"/>
      <c r="D795" s="2"/>
    </row>
    <row r="796" spans="2:4" ht="15.75" customHeight="1" x14ac:dyDescent="0.3">
      <c r="B796" s="2"/>
      <c r="D796" s="2"/>
    </row>
    <row r="797" spans="2:4" ht="15.75" customHeight="1" x14ac:dyDescent="0.3">
      <c r="B797" s="2"/>
      <c r="D797" s="2"/>
    </row>
    <row r="798" spans="2:4" ht="15.75" customHeight="1" x14ac:dyDescent="0.3">
      <c r="B798" s="2"/>
      <c r="D798" s="2"/>
    </row>
    <row r="799" spans="2:4" ht="15.75" customHeight="1" x14ac:dyDescent="0.3">
      <c r="B799" s="2"/>
      <c r="D799" s="2"/>
    </row>
    <row r="800" spans="2:4" ht="15.75" customHeight="1" x14ac:dyDescent="0.3">
      <c r="B800" s="2"/>
      <c r="D800" s="2"/>
    </row>
    <row r="801" spans="2:4" ht="15.75" customHeight="1" x14ac:dyDescent="0.3">
      <c r="B801" s="2"/>
      <c r="D801" s="2"/>
    </row>
    <row r="802" spans="2:4" ht="15.75" customHeight="1" x14ac:dyDescent="0.3">
      <c r="B802" s="2"/>
      <c r="D802" s="2"/>
    </row>
    <row r="803" spans="2:4" ht="15.75" customHeight="1" x14ac:dyDescent="0.3">
      <c r="B803" s="2"/>
      <c r="D803" s="2"/>
    </row>
    <row r="804" spans="2:4" ht="15.75" customHeight="1" x14ac:dyDescent="0.3">
      <c r="B804" s="2"/>
      <c r="D804" s="2"/>
    </row>
    <row r="805" spans="2:4" ht="15.75" customHeight="1" x14ac:dyDescent="0.3">
      <c r="B805" s="2"/>
      <c r="D805" s="2"/>
    </row>
    <row r="806" spans="2:4" ht="15.75" customHeight="1" x14ac:dyDescent="0.3">
      <c r="B806" s="2"/>
      <c r="D806" s="2"/>
    </row>
    <row r="807" spans="2:4" ht="15.75" customHeight="1" x14ac:dyDescent="0.3">
      <c r="B807" s="2"/>
      <c r="D807" s="2"/>
    </row>
    <row r="808" spans="2:4" ht="15.75" customHeight="1" x14ac:dyDescent="0.3">
      <c r="B808" s="2"/>
      <c r="D808" s="2"/>
    </row>
    <row r="809" spans="2:4" ht="15.75" customHeight="1" x14ac:dyDescent="0.3">
      <c r="B809" s="2"/>
      <c r="D809" s="2"/>
    </row>
    <row r="810" spans="2:4" ht="15.75" customHeight="1" x14ac:dyDescent="0.3">
      <c r="B810" s="2"/>
      <c r="D810" s="2"/>
    </row>
    <row r="811" spans="2:4" ht="15.75" customHeight="1" x14ac:dyDescent="0.3">
      <c r="B811" s="2"/>
      <c r="D811" s="2"/>
    </row>
    <row r="812" spans="2:4" ht="15.75" customHeight="1" x14ac:dyDescent="0.3">
      <c r="B812" s="2"/>
      <c r="D812" s="2"/>
    </row>
    <row r="813" spans="2:4" ht="15.75" customHeight="1" x14ac:dyDescent="0.3">
      <c r="B813" s="2"/>
      <c r="D813" s="2"/>
    </row>
    <row r="814" spans="2:4" ht="15.75" customHeight="1" x14ac:dyDescent="0.3">
      <c r="B814" s="2"/>
      <c r="D814" s="2"/>
    </row>
    <row r="815" spans="2:4" ht="15.75" customHeight="1" x14ac:dyDescent="0.3">
      <c r="B815" s="2"/>
      <c r="D815" s="2"/>
    </row>
    <row r="816" spans="2:4" ht="15.75" customHeight="1" x14ac:dyDescent="0.3">
      <c r="B816" s="2"/>
      <c r="D816" s="2"/>
    </row>
    <row r="817" spans="2:4" ht="15.75" customHeight="1" x14ac:dyDescent="0.3">
      <c r="B817" s="2"/>
      <c r="D817" s="2"/>
    </row>
    <row r="818" spans="2:4" ht="15.75" customHeight="1" x14ac:dyDescent="0.3">
      <c r="B818" s="2"/>
      <c r="D818" s="2"/>
    </row>
    <row r="819" spans="2:4" ht="15.75" customHeight="1" x14ac:dyDescent="0.3">
      <c r="B819" s="2"/>
      <c r="D819" s="2"/>
    </row>
    <row r="820" spans="2:4" ht="15.75" customHeight="1" x14ac:dyDescent="0.3">
      <c r="B820" s="2"/>
      <c r="D820" s="2"/>
    </row>
    <row r="821" spans="2:4" ht="15.75" customHeight="1" x14ac:dyDescent="0.3">
      <c r="B821" s="2"/>
      <c r="D821" s="2"/>
    </row>
    <row r="822" spans="2:4" ht="15.75" customHeight="1" x14ac:dyDescent="0.3">
      <c r="B822" s="2"/>
      <c r="D822" s="2"/>
    </row>
    <row r="823" spans="2:4" ht="15.75" customHeight="1" x14ac:dyDescent="0.3">
      <c r="B823" s="2"/>
      <c r="D823" s="2"/>
    </row>
    <row r="824" spans="2:4" ht="15.75" customHeight="1" x14ac:dyDescent="0.3">
      <c r="B824" s="2"/>
      <c r="D824" s="2"/>
    </row>
    <row r="825" spans="2:4" ht="15.75" customHeight="1" x14ac:dyDescent="0.3">
      <c r="B825" s="2"/>
      <c r="D825" s="2"/>
    </row>
    <row r="826" spans="2:4" ht="15.75" customHeight="1" x14ac:dyDescent="0.3">
      <c r="B826" s="2"/>
      <c r="D826" s="2"/>
    </row>
    <row r="827" spans="2:4" ht="15.75" customHeight="1" x14ac:dyDescent="0.3">
      <c r="B827" s="2"/>
      <c r="D827" s="2"/>
    </row>
    <row r="828" spans="2:4" ht="15.75" customHeight="1" x14ac:dyDescent="0.3">
      <c r="B828" s="2"/>
      <c r="D828" s="2"/>
    </row>
    <row r="829" spans="2:4" ht="15.75" customHeight="1" x14ac:dyDescent="0.3">
      <c r="B829" s="2"/>
      <c r="D829" s="2"/>
    </row>
    <row r="830" spans="2:4" ht="15.75" customHeight="1" x14ac:dyDescent="0.3">
      <c r="B830" s="2"/>
      <c r="D830" s="2"/>
    </row>
    <row r="831" spans="2:4" ht="15.75" customHeight="1" x14ac:dyDescent="0.3">
      <c r="B831" s="2"/>
      <c r="D831" s="2"/>
    </row>
    <row r="832" spans="2:4" ht="15.75" customHeight="1" x14ac:dyDescent="0.3">
      <c r="B832" s="2"/>
      <c r="D832" s="2"/>
    </row>
    <row r="833" spans="2:4" ht="15.75" customHeight="1" x14ac:dyDescent="0.3">
      <c r="B833" s="2"/>
      <c r="D833" s="2"/>
    </row>
    <row r="834" spans="2:4" ht="15.75" customHeight="1" x14ac:dyDescent="0.3">
      <c r="B834" s="2"/>
      <c r="D834" s="2"/>
    </row>
    <row r="835" spans="2:4" ht="15.75" customHeight="1" x14ac:dyDescent="0.3">
      <c r="B835" s="2"/>
      <c r="D835" s="2"/>
    </row>
    <row r="836" spans="2:4" ht="15.75" customHeight="1" x14ac:dyDescent="0.3">
      <c r="B836" s="2"/>
      <c r="D836" s="2"/>
    </row>
    <row r="837" spans="2:4" ht="15.75" customHeight="1" x14ac:dyDescent="0.3">
      <c r="B837" s="2"/>
      <c r="D837" s="2"/>
    </row>
    <row r="838" spans="2:4" ht="15.75" customHeight="1" x14ac:dyDescent="0.3">
      <c r="B838" s="2"/>
      <c r="D838" s="2"/>
    </row>
    <row r="839" spans="2:4" ht="15.75" customHeight="1" x14ac:dyDescent="0.3">
      <c r="B839" s="2"/>
      <c r="D839" s="2"/>
    </row>
    <row r="840" spans="2:4" ht="15.75" customHeight="1" x14ac:dyDescent="0.3">
      <c r="B840" s="2"/>
      <c r="D840" s="2"/>
    </row>
    <row r="841" spans="2:4" ht="15.75" customHeight="1" x14ac:dyDescent="0.3">
      <c r="B841" s="2"/>
      <c r="D841" s="2"/>
    </row>
    <row r="842" spans="2:4" ht="15.75" customHeight="1" x14ac:dyDescent="0.3">
      <c r="B842" s="2"/>
      <c r="D842" s="2"/>
    </row>
    <row r="843" spans="2:4" ht="15.75" customHeight="1" x14ac:dyDescent="0.3">
      <c r="B843" s="2"/>
      <c r="D843" s="2"/>
    </row>
    <row r="844" spans="2:4" ht="15.75" customHeight="1" x14ac:dyDescent="0.3">
      <c r="B844" s="2"/>
      <c r="D844" s="2"/>
    </row>
    <row r="845" spans="2:4" ht="15.75" customHeight="1" x14ac:dyDescent="0.3">
      <c r="B845" s="2"/>
      <c r="D845" s="2"/>
    </row>
    <row r="846" spans="2:4" ht="15.75" customHeight="1" x14ac:dyDescent="0.3">
      <c r="B846" s="2"/>
      <c r="D846" s="2"/>
    </row>
    <row r="847" spans="2:4" ht="15.75" customHeight="1" x14ac:dyDescent="0.3">
      <c r="B847" s="2"/>
      <c r="D847" s="2"/>
    </row>
    <row r="848" spans="2:4" ht="15.75" customHeight="1" x14ac:dyDescent="0.3">
      <c r="B848" s="2"/>
      <c r="D848" s="2"/>
    </row>
    <row r="849" spans="2:4" ht="15.75" customHeight="1" x14ac:dyDescent="0.3">
      <c r="B849" s="2"/>
      <c r="D849" s="2"/>
    </row>
    <row r="850" spans="2:4" ht="15.75" customHeight="1" x14ac:dyDescent="0.3">
      <c r="B850" s="2"/>
      <c r="D850" s="2"/>
    </row>
    <row r="851" spans="2:4" ht="15.75" customHeight="1" x14ac:dyDescent="0.3">
      <c r="B851" s="2"/>
      <c r="D851" s="2"/>
    </row>
    <row r="852" spans="2:4" ht="15.75" customHeight="1" x14ac:dyDescent="0.3">
      <c r="B852" s="2"/>
      <c r="D852" s="2"/>
    </row>
    <row r="853" spans="2:4" ht="15.75" customHeight="1" x14ac:dyDescent="0.3">
      <c r="B853" s="2"/>
      <c r="D853" s="2"/>
    </row>
    <row r="854" spans="2:4" ht="15.75" customHeight="1" x14ac:dyDescent="0.3">
      <c r="B854" s="2"/>
      <c r="D854" s="2"/>
    </row>
    <row r="855" spans="2:4" ht="15.75" customHeight="1" x14ac:dyDescent="0.3">
      <c r="B855" s="2"/>
      <c r="D855" s="2"/>
    </row>
    <row r="856" spans="2:4" ht="15.75" customHeight="1" x14ac:dyDescent="0.3">
      <c r="B856" s="2"/>
      <c r="D856" s="2"/>
    </row>
    <row r="857" spans="2:4" ht="15.75" customHeight="1" x14ac:dyDescent="0.3">
      <c r="B857" s="2"/>
      <c r="D857" s="2"/>
    </row>
    <row r="858" spans="2:4" ht="15.75" customHeight="1" x14ac:dyDescent="0.3">
      <c r="B858" s="2"/>
      <c r="D858" s="2"/>
    </row>
    <row r="859" spans="2:4" ht="15.75" customHeight="1" x14ac:dyDescent="0.3">
      <c r="B859" s="2"/>
      <c r="D859" s="2"/>
    </row>
    <row r="860" spans="2:4" ht="15.75" customHeight="1" x14ac:dyDescent="0.3">
      <c r="B860" s="2"/>
      <c r="D860" s="2"/>
    </row>
    <row r="861" spans="2:4" ht="15.75" customHeight="1" x14ac:dyDescent="0.3">
      <c r="B861" s="2"/>
      <c r="D861" s="2"/>
    </row>
    <row r="862" spans="2:4" ht="15.75" customHeight="1" x14ac:dyDescent="0.3">
      <c r="B862" s="2"/>
      <c r="D862" s="2"/>
    </row>
    <row r="863" spans="2:4" ht="15.75" customHeight="1" x14ac:dyDescent="0.3">
      <c r="B863" s="2"/>
      <c r="D863" s="2"/>
    </row>
    <row r="864" spans="2:4" ht="15.75" customHeight="1" x14ac:dyDescent="0.3">
      <c r="B864" s="2"/>
      <c r="D864" s="2"/>
    </row>
    <row r="865" spans="2:4" ht="15.75" customHeight="1" x14ac:dyDescent="0.3">
      <c r="B865" s="2"/>
      <c r="D865" s="2"/>
    </row>
    <row r="866" spans="2:4" ht="15.75" customHeight="1" x14ac:dyDescent="0.3">
      <c r="B866" s="2"/>
      <c r="D866" s="2"/>
    </row>
    <row r="867" spans="2:4" ht="15.75" customHeight="1" x14ac:dyDescent="0.3">
      <c r="B867" s="2"/>
      <c r="D867" s="2"/>
    </row>
    <row r="868" spans="2:4" ht="15.75" customHeight="1" x14ac:dyDescent="0.3">
      <c r="B868" s="2"/>
      <c r="D868" s="2"/>
    </row>
    <row r="869" spans="2:4" ht="15.75" customHeight="1" x14ac:dyDescent="0.3">
      <c r="B869" s="2"/>
      <c r="D869" s="2"/>
    </row>
    <row r="870" spans="2:4" ht="15.75" customHeight="1" x14ac:dyDescent="0.3">
      <c r="B870" s="2"/>
      <c r="D870" s="2"/>
    </row>
    <row r="871" spans="2:4" ht="15.75" customHeight="1" x14ac:dyDescent="0.3">
      <c r="B871" s="2"/>
      <c r="D871" s="2"/>
    </row>
    <row r="872" spans="2:4" ht="15.75" customHeight="1" x14ac:dyDescent="0.3">
      <c r="B872" s="2"/>
      <c r="D872" s="2"/>
    </row>
    <row r="873" spans="2:4" ht="15.75" customHeight="1" x14ac:dyDescent="0.3">
      <c r="B873" s="2"/>
      <c r="D873" s="2"/>
    </row>
    <row r="874" spans="2:4" ht="15.75" customHeight="1" x14ac:dyDescent="0.3">
      <c r="B874" s="2"/>
      <c r="D874" s="2"/>
    </row>
    <row r="875" spans="2:4" ht="15.75" customHeight="1" x14ac:dyDescent="0.3">
      <c r="B875" s="2"/>
      <c r="D875" s="2"/>
    </row>
    <row r="876" spans="2:4" ht="15.75" customHeight="1" x14ac:dyDescent="0.3">
      <c r="B876" s="2"/>
      <c r="D876" s="2"/>
    </row>
    <row r="877" spans="2:4" ht="15.75" customHeight="1" x14ac:dyDescent="0.3">
      <c r="B877" s="2"/>
      <c r="D877" s="2"/>
    </row>
    <row r="878" spans="2:4" ht="15.75" customHeight="1" x14ac:dyDescent="0.3">
      <c r="B878" s="2"/>
      <c r="D878" s="2"/>
    </row>
    <row r="879" spans="2:4" ht="15.75" customHeight="1" x14ac:dyDescent="0.3">
      <c r="B879" s="2"/>
      <c r="D879" s="2"/>
    </row>
    <row r="880" spans="2:4" ht="15.75" customHeight="1" x14ac:dyDescent="0.3">
      <c r="B880" s="2"/>
      <c r="D880" s="2"/>
    </row>
    <row r="881" spans="2:4" ht="15.75" customHeight="1" x14ac:dyDescent="0.3">
      <c r="B881" s="2"/>
      <c r="D881" s="2"/>
    </row>
    <row r="882" spans="2:4" ht="15.75" customHeight="1" x14ac:dyDescent="0.3">
      <c r="B882" s="2"/>
      <c r="D882" s="2"/>
    </row>
    <row r="883" spans="2:4" ht="15.75" customHeight="1" x14ac:dyDescent="0.3">
      <c r="B883" s="2"/>
      <c r="D883" s="2"/>
    </row>
    <row r="884" spans="2:4" ht="15.75" customHeight="1" x14ac:dyDescent="0.3">
      <c r="B884" s="2"/>
      <c r="D884" s="2"/>
    </row>
    <row r="885" spans="2:4" ht="15.75" customHeight="1" x14ac:dyDescent="0.3">
      <c r="B885" s="2"/>
      <c r="D885" s="2"/>
    </row>
    <row r="886" spans="2:4" ht="15.75" customHeight="1" x14ac:dyDescent="0.3">
      <c r="B886" s="2"/>
      <c r="D886" s="2"/>
    </row>
    <row r="887" spans="2:4" ht="15.75" customHeight="1" x14ac:dyDescent="0.3">
      <c r="B887" s="2"/>
      <c r="D887" s="2"/>
    </row>
    <row r="888" spans="2:4" ht="15.75" customHeight="1" x14ac:dyDescent="0.3">
      <c r="B888" s="2"/>
      <c r="D888" s="2"/>
    </row>
    <row r="889" spans="2:4" ht="15.75" customHeight="1" x14ac:dyDescent="0.3">
      <c r="B889" s="2"/>
      <c r="D889" s="2"/>
    </row>
    <row r="890" spans="2:4" ht="15.75" customHeight="1" x14ac:dyDescent="0.3">
      <c r="B890" s="2"/>
      <c r="D890" s="2"/>
    </row>
    <row r="891" spans="2:4" ht="15.75" customHeight="1" x14ac:dyDescent="0.3">
      <c r="B891" s="2"/>
      <c r="D891" s="2"/>
    </row>
    <row r="892" spans="2:4" ht="15.75" customHeight="1" x14ac:dyDescent="0.3">
      <c r="B892" s="2"/>
      <c r="D892" s="2"/>
    </row>
    <row r="893" spans="2:4" ht="15.75" customHeight="1" x14ac:dyDescent="0.3">
      <c r="B893" s="2"/>
      <c r="D893" s="2"/>
    </row>
    <row r="894" spans="2:4" ht="15.75" customHeight="1" x14ac:dyDescent="0.3">
      <c r="B894" s="2"/>
      <c r="D894" s="2"/>
    </row>
    <row r="895" spans="2:4" ht="15.75" customHeight="1" x14ac:dyDescent="0.3">
      <c r="B895" s="2"/>
      <c r="D895" s="2"/>
    </row>
    <row r="896" spans="2:4" ht="15.75" customHeight="1" x14ac:dyDescent="0.3">
      <c r="B896" s="2"/>
      <c r="D896" s="2"/>
    </row>
    <row r="897" spans="2:4" ht="15.75" customHeight="1" x14ac:dyDescent="0.3">
      <c r="B897" s="2"/>
      <c r="D897" s="2"/>
    </row>
    <row r="898" spans="2:4" ht="15.75" customHeight="1" x14ac:dyDescent="0.3">
      <c r="B898" s="2"/>
      <c r="D898" s="2"/>
    </row>
    <row r="899" spans="2:4" ht="15.75" customHeight="1" x14ac:dyDescent="0.3">
      <c r="B899" s="2"/>
      <c r="D899" s="2"/>
    </row>
    <row r="900" spans="2:4" ht="15.75" customHeight="1" x14ac:dyDescent="0.3">
      <c r="B900" s="2"/>
      <c r="D900" s="2"/>
    </row>
    <row r="901" spans="2:4" ht="15.75" customHeight="1" x14ac:dyDescent="0.3">
      <c r="B901" s="2"/>
      <c r="D901" s="2"/>
    </row>
    <row r="902" spans="2:4" ht="15.75" customHeight="1" x14ac:dyDescent="0.3">
      <c r="B902" s="2"/>
      <c r="D902" s="2"/>
    </row>
    <row r="903" spans="2:4" ht="15.75" customHeight="1" x14ac:dyDescent="0.3">
      <c r="B903" s="2"/>
      <c r="D903" s="2"/>
    </row>
    <row r="904" spans="2:4" ht="15.75" customHeight="1" x14ac:dyDescent="0.3">
      <c r="B904" s="2"/>
      <c r="D904" s="2"/>
    </row>
    <row r="905" spans="2:4" ht="15.75" customHeight="1" x14ac:dyDescent="0.3">
      <c r="B905" s="2"/>
      <c r="D905" s="2"/>
    </row>
    <row r="906" spans="2:4" ht="15.75" customHeight="1" x14ac:dyDescent="0.3">
      <c r="B906" s="2"/>
      <c r="D906" s="2"/>
    </row>
    <row r="907" spans="2:4" ht="15.75" customHeight="1" x14ac:dyDescent="0.3">
      <c r="B907" s="2"/>
      <c r="D907" s="2"/>
    </row>
    <row r="908" spans="2:4" ht="15.75" customHeight="1" x14ac:dyDescent="0.3">
      <c r="B908" s="2"/>
      <c r="D908" s="2"/>
    </row>
    <row r="909" spans="2:4" ht="15.75" customHeight="1" x14ac:dyDescent="0.3">
      <c r="B909" s="2"/>
      <c r="D909" s="2"/>
    </row>
    <row r="910" spans="2:4" ht="15.75" customHeight="1" x14ac:dyDescent="0.3">
      <c r="B910" s="2"/>
      <c r="D910" s="2"/>
    </row>
    <row r="911" spans="2:4" ht="15.75" customHeight="1" x14ac:dyDescent="0.3">
      <c r="B911" s="2"/>
      <c r="D911" s="2"/>
    </row>
    <row r="912" spans="2:4" ht="15.75" customHeight="1" x14ac:dyDescent="0.3">
      <c r="B912" s="2"/>
      <c r="D912" s="2"/>
    </row>
    <row r="913" spans="2:4" ht="15.75" customHeight="1" x14ac:dyDescent="0.3">
      <c r="B913" s="2"/>
      <c r="D913" s="2"/>
    </row>
    <row r="914" spans="2:4" ht="15.75" customHeight="1" x14ac:dyDescent="0.3">
      <c r="B914" s="2"/>
      <c r="D914" s="2"/>
    </row>
    <row r="915" spans="2:4" ht="15.75" customHeight="1" x14ac:dyDescent="0.3">
      <c r="B915" s="2"/>
      <c r="D915" s="2"/>
    </row>
    <row r="916" spans="2:4" ht="15.75" customHeight="1" x14ac:dyDescent="0.3">
      <c r="B916" s="2"/>
      <c r="D916" s="2"/>
    </row>
    <row r="917" spans="2:4" ht="15.75" customHeight="1" x14ac:dyDescent="0.3">
      <c r="B917" s="2"/>
      <c r="D917" s="2"/>
    </row>
    <row r="918" spans="2:4" ht="15.75" customHeight="1" x14ac:dyDescent="0.3">
      <c r="B918" s="2"/>
      <c r="D918" s="2"/>
    </row>
    <row r="919" spans="2:4" ht="15.75" customHeight="1" x14ac:dyDescent="0.3">
      <c r="B919" s="2"/>
      <c r="D919" s="2"/>
    </row>
    <row r="920" spans="2:4" ht="15.75" customHeight="1" x14ac:dyDescent="0.3">
      <c r="B920" s="2"/>
      <c r="D920" s="2"/>
    </row>
    <row r="921" spans="2:4" ht="15.75" customHeight="1" x14ac:dyDescent="0.3">
      <c r="B921" s="2"/>
      <c r="D921" s="2"/>
    </row>
    <row r="922" spans="2:4" ht="15.75" customHeight="1" x14ac:dyDescent="0.3">
      <c r="B922" s="2"/>
      <c r="D922" s="2"/>
    </row>
    <row r="923" spans="2:4" ht="15.75" customHeight="1" x14ac:dyDescent="0.3">
      <c r="B923" s="2"/>
      <c r="D923" s="2"/>
    </row>
    <row r="924" spans="2:4" ht="15.75" customHeight="1" x14ac:dyDescent="0.3">
      <c r="B924" s="2"/>
      <c r="D924" s="2"/>
    </row>
    <row r="925" spans="2:4" ht="15.75" customHeight="1" x14ac:dyDescent="0.3">
      <c r="B925" s="2"/>
      <c r="D925" s="2"/>
    </row>
    <row r="926" spans="2:4" ht="15.75" customHeight="1" x14ac:dyDescent="0.3">
      <c r="B926" s="2"/>
      <c r="D926" s="2"/>
    </row>
    <row r="927" spans="2:4" ht="15.75" customHeight="1" x14ac:dyDescent="0.3">
      <c r="B927" s="2"/>
      <c r="D927" s="2"/>
    </row>
    <row r="928" spans="2:4" ht="15.75" customHeight="1" x14ac:dyDescent="0.3">
      <c r="B928" s="2"/>
      <c r="D928" s="2"/>
    </row>
    <row r="929" spans="2:4" ht="15.75" customHeight="1" x14ac:dyDescent="0.3">
      <c r="B929" s="2"/>
      <c r="D929" s="2"/>
    </row>
    <row r="930" spans="2:4" ht="15.75" customHeight="1" x14ac:dyDescent="0.3">
      <c r="B930" s="2"/>
      <c r="D930" s="2"/>
    </row>
    <row r="931" spans="2:4" ht="15.75" customHeight="1" x14ac:dyDescent="0.3">
      <c r="B931" s="2"/>
      <c r="D931" s="2"/>
    </row>
    <row r="932" spans="2:4" ht="15.75" customHeight="1" x14ac:dyDescent="0.3">
      <c r="B932" s="2"/>
      <c r="D932" s="2"/>
    </row>
    <row r="933" spans="2:4" ht="15.75" customHeight="1" x14ac:dyDescent="0.3">
      <c r="B933" s="2"/>
      <c r="D933" s="2"/>
    </row>
    <row r="934" spans="2:4" ht="15.75" customHeight="1" x14ac:dyDescent="0.3">
      <c r="B934" s="2"/>
      <c r="D934" s="2"/>
    </row>
    <row r="935" spans="2:4" ht="15.75" customHeight="1" x14ac:dyDescent="0.3">
      <c r="B935" s="2"/>
      <c r="D935" s="2"/>
    </row>
    <row r="936" spans="2:4" ht="15.75" customHeight="1" x14ac:dyDescent="0.3">
      <c r="B936" s="2"/>
      <c r="D936" s="2"/>
    </row>
    <row r="937" spans="2:4" ht="15.75" customHeight="1" x14ac:dyDescent="0.3">
      <c r="B937" s="2"/>
      <c r="D937" s="2"/>
    </row>
    <row r="938" spans="2:4" ht="15.75" customHeight="1" x14ac:dyDescent="0.3">
      <c r="B938" s="2"/>
      <c r="D938" s="2"/>
    </row>
    <row r="939" spans="2:4" ht="15.75" customHeight="1" x14ac:dyDescent="0.3">
      <c r="B939" s="2"/>
      <c r="D939" s="2"/>
    </row>
    <row r="940" spans="2:4" ht="15.75" customHeight="1" x14ac:dyDescent="0.3">
      <c r="B940" s="2"/>
      <c r="D940" s="2"/>
    </row>
    <row r="941" spans="2:4" ht="15.75" customHeight="1" x14ac:dyDescent="0.3">
      <c r="B941" s="2"/>
      <c r="D941" s="2"/>
    </row>
    <row r="942" spans="2:4" ht="15.75" customHeight="1" x14ac:dyDescent="0.3">
      <c r="B942" s="2"/>
      <c r="D942" s="2"/>
    </row>
    <row r="943" spans="2:4" ht="15.75" customHeight="1" x14ac:dyDescent="0.3">
      <c r="B943" s="2"/>
      <c r="D943" s="2"/>
    </row>
    <row r="944" spans="2:4" ht="15.75" customHeight="1" x14ac:dyDescent="0.3">
      <c r="B944" s="2"/>
      <c r="D944" s="2"/>
    </row>
    <row r="945" spans="2:4" ht="15.75" customHeight="1" x14ac:dyDescent="0.3">
      <c r="B945" s="2"/>
      <c r="D945" s="2"/>
    </row>
    <row r="946" spans="2:4" ht="15.75" customHeight="1" x14ac:dyDescent="0.3">
      <c r="B946" s="2"/>
      <c r="D946" s="2"/>
    </row>
    <row r="947" spans="2:4" ht="15.75" customHeight="1" x14ac:dyDescent="0.3">
      <c r="B947" s="2"/>
      <c r="D947" s="2"/>
    </row>
    <row r="948" spans="2:4" ht="15.75" customHeight="1" x14ac:dyDescent="0.3">
      <c r="B948" s="2"/>
      <c r="D948" s="2"/>
    </row>
    <row r="949" spans="2:4" ht="15.75" customHeight="1" x14ac:dyDescent="0.3">
      <c r="B949" s="2"/>
      <c r="D949" s="2"/>
    </row>
    <row r="950" spans="2:4" ht="15.75" customHeight="1" x14ac:dyDescent="0.3">
      <c r="B950" s="2"/>
      <c r="D950" s="2"/>
    </row>
    <row r="951" spans="2:4" ht="15.75" customHeight="1" x14ac:dyDescent="0.3">
      <c r="B951" s="2"/>
      <c r="D951" s="2"/>
    </row>
    <row r="952" spans="2:4" ht="15.75" customHeight="1" x14ac:dyDescent="0.3">
      <c r="B952" s="2"/>
      <c r="D952" s="2"/>
    </row>
    <row r="953" spans="2:4" ht="15.75" customHeight="1" x14ac:dyDescent="0.3">
      <c r="B953" s="2"/>
      <c r="D953" s="2"/>
    </row>
    <row r="954" spans="2:4" ht="15.75" customHeight="1" x14ac:dyDescent="0.3">
      <c r="B954" s="2"/>
      <c r="D954" s="2"/>
    </row>
    <row r="955" spans="2:4" ht="15.75" customHeight="1" x14ac:dyDescent="0.3">
      <c r="B955" s="2"/>
      <c r="D955" s="2"/>
    </row>
    <row r="956" spans="2:4" ht="15.75" customHeight="1" x14ac:dyDescent="0.3">
      <c r="B956" s="2"/>
      <c r="D956" s="2"/>
    </row>
    <row r="957" spans="2:4" ht="15.75" customHeight="1" x14ac:dyDescent="0.3">
      <c r="B957" s="2"/>
      <c r="D957" s="2"/>
    </row>
    <row r="958" spans="2:4" ht="15.75" customHeight="1" x14ac:dyDescent="0.3">
      <c r="B958" s="2"/>
      <c r="D958" s="2"/>
    </row>
    <row r="959" spans="2:4" ht="15.75" customHeight="1" x14ac:dyDescent="0.3">
      <c r="B959" s="2"/>
      <c r="D959" s="2"/>
    </row>
    <row r="960" spans="2:4" ht="15.75" customHeight="1" x14ac:dyDescent="0.3">
      <c r="B960" s="2"/>
      <c r="D960" s="2"/>
    </row>
    <row r="961" spans="2:4" ht="15.75" customHeight="1" x14ac:dyDescent="0.3">
      <c r="B961" s="2"/>
      <c r="D961" s="2"/>
    </row>
    <row r="962" spans="2:4" ht="15.75" customHeight="1" x14ac:dyDescent="0.3">
      <c r="B962" s="2"/>
      <c r="D962" s="2"/>
    </row>
    <row r="963" spans="2:4" ht="15.75" customHeight="1" x14ac:dyDescent="0.3">
      <c r="B963" s="2"/>
      <c r="D963" s="2"/>
    </row>
    <row r="964" spans="2:4" ht="15.75" customHeight="1" x14ac:dyDescent="0.3">
      <c r="B964" s="2"/>
      <c r="D964" s="2"/>
    </row>
    <row r="965" spans="2:4" ht="15.75" customHeight="1" x14ac:dyDescent="0.3">
      <c r="B965" s="2"/>
      <c r="D965" s="2"/>
    </row>
    <row r="966" spans="2:4" ht="15.75" customHeight="1" x14ac:dyDescent="0.3">
      <c r="B966" s="2"/>
      <c r="D966" s="2"/>
    </row>
    <row r="967" spans="2:4" ht="15.75" customHeight="1" x14ac:dyDescent="0.3">
      <c r="B967" s="2"/>
      <c r="D967" s="2"/>
    </row>
    <row r="968" spans="2:4" ht="15.75" customHeight="1" x14ac:dyDescent="0.3">
      <c r="B968" s="2"/>
      <c r="D968" s="2"/>
    </row>
    <row r="969" spans="2:4" ht="15.75" customHeight="1" x14ac:dyDescent="0.3">
      <c r="B969" s="2"/>
      <c r="D969" s="2"/>
    </row>
    <row r="970" spans="2:4" ht="15.75" customHeight="1" x14ac:dyDescent="0.3">
      <c r="B970" s="2"/>
      <c r="D970" s="2"/>
    </row>
    <row r="971" spans="2:4" ht="15.75" customHeight="1" x14ac:dyDescent="0.3">
      <c r="B971" s="2"/>
      <c r="D971" s="2"/>
    </row>
    <row r="972" spans="2:4" ht="15.75" customHeight="1" x14ac:dyDescent="0.3">
      <c r="B972" s="2"/>
      <c r="D972" s="2"/>
    </row>
    <row r="973" spans="2:4" ht="15.75" customHeight="1" x14ac:dyDescent="0.3">
      <c r="B973" s="2"/>
      <c r="D973" s="2"/>
    </row>
    <row r="974" spans="2:4" ht="15.75" customHeight="1" x14ac:dyDescent="0.3">
      <c r="B974" s="2"/>
      <c r="D974" s="2"/>
    </row>
    <row r="975" spans="2:4" ht="15.75" customHeight="1" x14ac:dyDescent="0.3">
      <c r="B975" s="2"/>
      <c r="D975" s="2"/>
    </row>
    <row r="976" spans="2:4" ht="15.75" customHeight="1" x14ac:dyDescent="0.3">
      <c r="B976" s="2"/>
      <c r="D976" s="2"/>
    </row>
    <row r="977" spans="2:4" ht="15.75" customHeight="1" x14ac:dyDescent="0.3">
      <c r="B977" s="2"/>
      <c r="D977" s="2"/>
    </row>
    <row r="978" spans="2:4" ht="15.75" customHeight="1" x14ac:dyDescent="0.3">
      <c r="B978" s="2"/>
      <c r="D978" s="2"/>
    </row>
    <row r="979" spans="2:4" ht="15.75" customHeight="1" x14ac:dyDescent="0.3">
      <c r="B979" s="2"/>
      <c r="D979" s="2"/>
    </row>
    <row r="980" spans="2:4" ht="15.75" customHeight="1" x14ac:dyDescent="0.3">
      <c r="B980" s="2"/>
      <c r="D980" s="2"/>
    </row>
    <row r="981" spans="2:4" ht="15.75" customHeight="1" x14ac:dyDescent="0.3">
      <c r="B981" s="2"/>
      <c r="D981" s="2"/>
    </row>
    <row r="982" spans="2:4" ht="15.75" customHeight="1" x14ac:dyDescent="0.3">
      <c r="B982" s="2"/>
      <c r="D982" s="2"/>
    </row>
    <row r="983" spans="2:4" ht="15.75" customHeight="1" x14ac:dyDescent="0.3">
      <c r="B983" s="2"/>
      <c r="D983" s="2"/>
    </row>
    <row r="984" spans="2:4" ht="15.75" customHeight="1" x14ac:dyDescent="0.3">
      <c r="B984" s="2"/>
      <c r="D984" s="2"/>
    </row>
    <row r="985" spans="2:4" ht="15.75" customHeight="1" x14ac:dyDescent="0.3">
      <c r="B985" s="2"/>
      <c r="D985" s="2"/>
    </row>
    <row r="986" spans="2:4" ht="15.75" customHeight="1" x14ac:dyDescent="0.3">
      <c r="B986" s="2"/>
      <c r="D986" s="2"/>
    </row>
    <row r="987" spans="2:4" ht="15.75" customHeight="1" x14ac:dyDescent="0.3">
      <c r="B987" s="2"/>
      <c r="D987" s="2"/>
    </row>
    <row r="988" spans="2:4" ht="15.75" customHeight="1" x14ac:dyDescent="0.3">
      <c r="B988" s="2"/>
      <c r="D988" s="2"/>
    </row>
    <row r="989" spans="2:4" ht="15.75" customHeight="1" x14ac:dyDescent="0.3">
      <c r="B989" s="2"/>
      <c r="D989" s="2"/>
    </row>
    <row r="990" spans="2:4" ht="15.75" customHeight="1" x14ac:dyDescent="0.3">
      <c r="B990" s="2"/>
      <c r="D990" s="2"/>
    </row>
    <row r="991" spans="2:4" ht="15.75" customHeight="1" x14ac:dyDescent="0.3">
      <c r="B991" s="2"/>
      <c r="D991" s="2"/>
    </row>
    <row r="992" spans="2:4" ht="15.75" customHeight="1" x14ac:dyDescent="0.3">
      <c r="B992" s="2"/>
      <c r="D992" s="2"/>
    </row>
    <row r="993" spans="2:4" ht="15.75" customHeight="1" x14ac:dyDescent="0.3">
      <c r="B993" s="2"/>
      <c r="D993" s="2"/>
    </row>
    <row r="994" spans="2:4" ht="15.75" customHeight="1" x14ac:dyDescent="0.3">
      <c r="B994" s="2"/>
      <c r="D994" s="2"/>
    </row>
    <row r="995" spans="2:4" ht="15.75" customHeight="1" x14ac:dyDescent="0.3">
      <c r="B995" s="2"/>
      <c r="D995" s="2"/>
    </row>
    <row r="996" spans="2:4" ht="15.75" customHeight="1" x14ac:dyDescent="0.3">
      <c r="B996" s="2"/>
      <c r="D996" s="2"/>
    </row>
    <row r="997" spans="2:4" ht="15.75" customHeight="1" x14ac:dyDescent="0.3">
      <c r="B997" s="2"/>
      <c r="D997" s="2"/>
    </row>
    <row r="998" spans="2:4" ht="15.75" customHeight="1" x14ac:dyDescent="0.3">
      <c r="B998" s="2"/>
      <c r="D998" s="2"/>
    </row>
    <row r="999" spans="2:4" ht="15.75" customHeight="1" x14ac:dyDescent="0.3">
      <c r="B999" s="2"/>
      <c r="D999" s="2"/>
    </row>
    <row r="1000" spans="2:4" ht="15.75" customHeight="1" x14ac:dyDescent="0.3">
      <c r="B1000" s="2"/>
      <c r="D1000" s="2"/>
    </row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6A5EC-2E51-43DB-BFD6-77EAD663B769}">
  <dimension ref="A1:Z1000"/>
  <sheetViews>
    <sheetView workbookViewId="0">
      <selection activeCell="U5" sqref="U5"/>
    </sheetView>
  </sheetViews>
  <sheetFormatPr defaultColWidth="14.44140625" defaultRowHeight="14.4" x14ac:dyDescent="0.3"/>
  <cols>
    <col min="1" max="1" width="8.88671875" style="1" customWidth="1"/>
    <col min="2" max="2" width="10.6640625" style="1" customWidth="1"/>
    <col min="3" max="3" width="45.33203125" style="1" customWidth="1"/>
    <col min="4" max="4" width="9.44140625" style="3" customWidth="1"/>
    <col min="5" max="5" width="13.109375" style="1" customWidth="1"/>
    <col min="6" max="6" width="4" style="1" customWidth="1"/>
    <col min="7" max="7" width="3.88671875" style="1" customWidth="1"/>
    <col min="8" max="8" width="4.33203125" style="1" customWidth="1"/>
    <col min="9" max="9" width="3.6640625" style="1" customWidth="1"/>
    <col min="10" max="10" width="4.44140625" style="1" customWidth="1"/>
    <col min="11" max="11" width="6.5546875" style="1" customWidth="1"/>
    <col min="12" max="13" width="4" style="1" customWidth="1"/>
    <col min="14" max="15" width="3.88671875" style="1" customWidth="1"/>
    <col min="16" max="16" width="4.33203125" style="1" customWidth="1"/>
    <col min="17" max="17" width="4.109375" style="1" customWidth="1"/>
    <col min="18" max="19" width="6.6640625" style="1" customWidth="1"/>
    <col min="20" max="22" width="8.88671875" style="1" customWidth="1"/>
    <col min="23" max="23" width="11.44140625" style="1" customWidth="1"/>
    <col min="24" max="26" width="8.88671875" style="1" customWidth="1"/>
    <col min="27" max="16384" width="14.44140625" style="1"/>
  </cols>
  <sheetData>
    <row r="1" spans="1:25" x14ac:dyDescent="0.3">
      <c r="B1" s="2"/>
      <c r="D1" s="42"/>
    </row>
    <row r="2" spans="1:25" ht="2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7"/>
    </row>
    <row r="3" spans="1:25" ht="21" x14ac:dyDescent="0.4">
      <c r="A3" s="4" t="s">
        <v>1</v>
      </c>
      <c r="B3" s="5"/>
      <c r="C3" s="6">
        <f>E143+R143</f>
        <v>7400</v>
      </c>
      <c r="D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V3" s="8" t="e">
        <f>#REF!</f>
        <v>#REF!</v>
      </c>
      <c r="W3" s="9" t="e">
        <f>V3-C3</f>
        <v>#REF!</v>
      </c>
      <c r="Y3" s="8">
        <v>4360</v>
      </c>
    </row>
    <row r="4" spans="1:25" x14ac:dyDescent="0.3">
      <c r="B4" s="2"/>
      <c r="D4" s="42"/>
      <c r="Y4" s="8">
        <v>408</v>
      </c>
    </row>
    <row r="5" spans="1:25" x14ac:dyDescent="0.3">
      <c r="A5" s="10" t="s">
        <v>2</v>
      </c>
      <c r="B5" s="11" t="s">
        <v>3</v>
      </c>
      <c r="C5" s="10" t="s">
        <v>4</v>
      </c>
      <c r="D5" s="11" t="s">
        <v>5</v>
      </c>
      <c r="E5" s="10" t="s">
        <v>6</v>
      </c>
      <c r="F5" s="12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43"/>
    </row>
    <row r="6" spans="1:25" x14ac:dyDescent="0.3">
      <c r="A6" s="15"/>
      <c r="B6" s="15"/>
      <c r="C6" s="15"/>
      <c r="D6" s="16"/>
      <c r="E6" s="15"/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  <c r="O6" s="17" t="s">
        <v>17</v>
      </c>
      <c r="P6" s="17" t="s">
        <v>18</v>
      </c>
      <c r="Q6" s="17" t="s">
        <v>19</v>
      </c>
      <c r="R6" s="17" t="s">
        <v>20</v>
      </c>
      <c r="S6" s="44"/>
      <c r="Y6" s="8">
        <f>Y3+Y4+Y5</f>
        <v>4768</v>
      </c>
    </row>
    <row r="7" spans="1:25" x14ac:dyDescent="0.3">
      <c r="A7" s="18">
        <v>1</v>
      </c>
      <c r="B7" s="19" t="s">
        <v>21</v>
      </c>
      <c r="C7" s="30" t="s">
        <v>22</v>
      </c>
      <c r="D7" s="45" t="s">
        <v>23</v>
      </c>
      <c r="E7" s="18"/>
      <c r="F7" s="18">
        <v>10</v>
      </c>
      <c r="G7" s="18">
        <v>10</v>
      </c>
      <c r="H7" s="18">
        <v>10</v>
      </c>
      <c r="I7" s="18">
        <v>10</v>
      </c>
      <c r="J7" s="18">
        <v>10</v>
      </c>
      <c r="K7" s="18">
        <v>10</v>
      </c>
      <c r="L7" s="18">
        <v>10</v>
      </c>
      <c r="M7" s="18">
        <v>10</v>
      </c>
      <c r="N7" s="18">
        <v>10</v>
      </c>
      <c r="O7" s="18">
        <v>10</v>
      </c>
      <c r="P7" s="18">
        <v>10</v>
      </c>
      <c r="Q7" s="18">
        <v>10</v>
      </c>
      <c r="R7" s="18">
        <f t="shared" ref="R7:R68" si="0">SUM(E7:Q7)</f>
        <v>120</v>
      </c>
      <c r="S7" s="8">
        <f t="shared" ref="S7:S68" si="1">R7</f>
        <v>120</v>
      </c>
      <c r="U7" s="8">
        <f t="shared" ref="U7:U68" si="2">IF(R7=120,(R7+E7),0)</f>
        <v>120</v>
      </c>
      <c r="V7" s="8" t="s">
        <v>359</v>
      </c>
      <c r="Y7" s="8">
        <v>276.8</v>
      </c>
    </row>
    <row r="8" spans="1:25" x14ac:dyDescent="0.3">
      <c r="A8" s="18">
        <v>2</v>
      </c>
      <c r="B8" s="19" t="s">
        <v>25</v>
      </c>
      <c r="C8" s="18" t="s">
        <v>26</v>
      </c>
      <c r="D8" s="45" t="s">
        <v>27</v>
      </c>
      <c r="E8" s="18"/>
      <c r="F8" s="18">
        <v>10</v>
      </c>
      <c r="G8" s="18">
        <v>10</v>
      </c>
      <c r="H8" s="18">
        <v>10</v>
      </c>
      <c r="I8" s="18">
        <v>10</v>
      </c>
      <c r="J8" s="18">
        <v>10</v>
      </c>
      <c r="K8" s="18">
        <v>10</v>
      </c>
      <c r="L8" s="18">
        <v>10</v>
      </c>
      <c r="M8" s="18">
        <v>10</v>
      </c>
      <c r="N8" s="18">
        <v>10</v>
      </c>
      <c r="O8" s="18">
        <v>10</v>
      </c>
      <c r="P8" s="18">
        <v>10</v>
      </c>
      <c r="Q8" s="18">
        <v>10</v>
      </c>
      <c r="R8" s="46">
        <f t="shared" si="0"/>
        <v>120</v>
      </c>
      <c r="S8" s="8">
        <f t="shared" si="1"/>
        <v>120</v>
      </c>
      <c r="U8" s="8">
        <f t="shared" si="2"/>
        <v>120</v>
      </c>
      <c r="V8" s="8" t="s">
        <v>360</v>
      </c>
      <c r="Y8" s="8">
        <f>Y6-Y7</f>
        <v>4491.2</v>
      </c>
    </row>
    <row r="9" spans="1:25" x14ac:dyDescent="0.3">
      <c r="A9" s="18">
        <v>3</v>
      </c>
      <c r="B9" s="21" t="s">
        <v>29</v>
      </c>
      <c r="C9" s="46" t="s">
        <v>30</v>
      </c>
      <c r="D9" s="45" t="s">
        <v>31</v>
      </c>
      <c r="E9" s="18"/>
      <c r="F9" s="18">
        <v>10</v>
      </c>
      <c r="G9" s="18">
        <v>10</v>
      </c>
      <c r="H9" s="18">
        <v>10</v>
      </c>
      <c r="I9" s="18">
        <v>10</v>
      </c>
      <c r="J9" s="18">
        <v>10</v>
      </c>
      <c r="K9" s="18">
        <v>10</v>
      </c>
      <c r="L9" s="18">
        <v>10</v>
      </c>
      <c r="M9" s="18">
        <v>10</v>
      </c>
      <c r="N9" s="18">
        <v>10</v>
      </c>
      <c r="O9" s="18">
        <v>10</v>
      </c>
      <c r="P9" s="18">
        <v>10</v>
      </c>
      <c r="Q9" s="18">
        <v>10</v>
      </c>
      <c r="R9" s="18">
        <f t="shared" si="0"/>
        <v>120</v>
      </c>
      <c r="S9" s="8">
        <f t="shared" si="1"/>
        <v>120</v>
      </c>
      <c r="U9" s="8">
        <f t="shared" si="2"/>
        <v>120</v>
      </c>
      <c r="V9" s="8" t="s">
        <v>361</v>
      </c>
    </row>
    <row r="10" spans="1:25" x14ac:dyDescent="0.3">
      <c r="A10" s="18">
        <v>4</v>
      </c>
      <c r="B10" s="21" t="s">
        <v>32</v>
      </c>
      <c r="C10" s="18" t="s">
        <v>33</v>
      </c>
      <c r="D10" s="45" t="s">
        <v>34</v>
      </c>
      <c r="E10" s="18"/>
      <c r="F10" s="18">
        <v>10</v>
      </c>
      <c r="G10" s="18">
        <v>10</v>
      </c>
      <c r="H10" s="18">
        <v>10</v>
      </c>
      <c r="I10" s="18">
        <v>10</v>
      </c>
      <c r="J10" s="18">
        <v>10</v>
      </c>
      <c r="K10" s="18">
        <v>10</v>
      </c>
      <c r="L10" s="18">
        <v>10</v>
      </c>
      <c r="M10" s="18">
        <v>10</v>
      </c>
      <c r="N10" s="18">
        <v>10</v>
      </c>
      <c r="O10" s="18">
        <v>10</v>
      </c>
      <c r="P10" s="18">
        <v>10</v>
      </c>
      <c r="Q10" s="18">
        <v>10</v>
      </c>
      <c r="R10" s="18">
        <f t="shared" si="0"/>
        <v>120</v>
      </c>
      <c r="S10" s="8">
        <f t="shared" si="1"/>
        <v>120</v>
      </c>
      <c r="U10" s="8">
        <f t="shared" si="2"/>
        <v>120</v>
      </c>
      <c r="V10" s="8" t="s">
        <v>362</v>
      </c>
    </row>
    <row r="11" spans="1:25" x14ac:dyDescent="0.3">
      <c r="A11" s="18">
        <v>5</v>
      </c>
      <c r="B11" s="21" t="s">
        <v>36</v>
      </c>
      <c r="C11" s="30" t="s">
        <v>37</v>
      </c>
      <c r="D11" s="45" t="s">
        <v>38</v>
      </c>
      <c r="E11" s="18"/>
      <c r="F11" s="18">
        <v>10</v>
      </c>
      <c r="G11" s="18">
        <v>10</v>
      </c>
      <c r="H11" s="18">
        <v>10</v>
      </c>
      <c r="I11" s="18">
        <v>10</v>
      </c>
      <c r="J11" s="18">
        <v>10</v>
      </c>
      <c r="K11" s="18">
        <v>10</v>
      </c>
      <c r="L11" s="18">
        <v>10</v>
      </c>
      <c r="M11" s="18">
        <v>10</v>
      </c>
      <c r="N11" s="18">
        <v>10</v>
      </c>
      <c r="O11" s="18">
        <v>10</v>
      </c>
      <c r="P11" s="18">
        <v>10</v>
      </c>
      <c r="Q11" s="18">
        <v>10</v>
      </c>
      <c r="R11" s="46">
        <f t="shared" si="0"/>
        <v>120</v>
      </c>
      <c r="S11" s="8">
        <f t="shared" si="1"/>
        <v>120</v>
      </c>
      <c r="U11" s="8">
        <f t="shared" si="2"/>
        <v>120</v>
      </c>
      <c r="V11" s="8" t="s">
        <v>363</v>
      </c>
    </row>
    <row r="12" spans="1:25" x14ac:dyDescent="0.3">
      <c r="A12" s="18">
        <v>6</v>
      </c>
      <c r="B12" s="21" t="s">
        <v>39</v>
      </c>
      <c r="C12" s="18" t="s">
        <v>40</v>
      </c>
      <c r="D12" s="45" t="s">
        <v>41</v>
      </c>
      <c r="E12" s="18"/>
      <c r="F12" s="18">
        <v>10</v>
      </c>
      <c r="G12" s="18">
        <v>10</v>
      </c>
      <c r="H12" s="18">
        <v>10</v>
      </c>
      <c r="I12" s="18">
        <v>10</v>
      </c>
      <c r="J12" s="18">
        <v>10</v>
      </c>
      <c r="K12" s="18">
        <v>10</v>
      </c>
      <c r="L12" s="18">
        <v>10</v>
      </c>
      <c r="M12" s="18">
        <v>10</v>
      </c>
      <c r="N12" s="18">
        <v>10</v>
      </c>
      <c r="O12" s="18">
        <v>10</v>
      </c>
      <c r="P12" s="18">
        <v>10</v>
      </c>
      <c r="Q12" s="18">
        <v>10</v>
      </c>
      <c r="R12" s="18">
        <f t="shared" si="0"/>
        <v>120</v>
      </c>
      <c r="S12" s="8">
        <f t="shared" si="1"/>
        <v>120</v>
      </c>
      <c r="U12" s="8">
        <f t="shared" si="2"/>
        <v>120</v>
      </c>
      <c r="V12" s="8" t="s">
        <v>364</v>
      </c>
    </row>
    <row r="13" spans="1:25" x14ac:dyDescent="0.3">
      <c r="A13" s="18">
        <v>7</v>
      </c>
      <c r="B13" s="21" t="s">
        <v>43</v>
      </c>
      <c r="C13" s="18" t="s">
        <v>44</v>
      </c>
      <c r="D13" s="45" t="s">
        <v>45</v>
      </c>
      <c r="E13" s="18"/>
      <c r="F13" s="18">
        <v>10</v>
      </c>
      <c r="G13" s="18">
        <v>10</v>
      </c>
      <c r="H13" s="18">
        <v>10</v>
      </c>
      <c r="I13" s="18">
        <v>10</v>
      </c>
      <c r="J13" s="18">
        <v>10</v>
      </c>
      <c r="K13" s="18">
        <v>10</v>
      </c>
      <c r="L13" s="18">
        <v>10</v>
      </c>
      <c r="M13" s="18">
        <v>10</v>
      </c>
      <c r="N13" s="18">
        <v>10</v>
      </c>
      <c r="O13" s="18">
        <v>10</v>
      </c>
      <c r="P13" s="18">
        <v>10</v>
      </c>
      <c r="Q13" s="18">
        <v>10</v>
      </c>
      <c r="R13" s="18">
        <f t="shared" si="0"/>
        <v>120</v>
      </c>
      <c r="S13" s="8">
        <f t="shared" si="1"/>
        <v>120</v>
      </c>
      <c r="U13" s="8">
        <f t="shared" si="2"/>
        <v>120</v>
      </c>
    </row>
    <row r="14" spans="1:25" x14ac:dyDescent="0.3">
      <c r="A14" s="18">
        <v>8</v>
      </c>
      <c r="B14" s="21" t="s">
        <v>46</v>
      </c>
      <c r="C14" s="30" t="s">
        <v>47</v>
      </c>
      <c r="D14" s="45" t="s">
        <v>48</v>
      </c>
      <c r="E14" s="18"/>
      <c r="F14" s="18">
        <v>10</v>
      </c>
      <c r="G14" s="18">
        <v>10</v>
      </c>
      <c r="H14" s="18">
        <v>10</v>
      </c>
      <c r="I14" s="18">
        <v>10</v>
      </c>
      <c r="J14" s="18">
        <v>10</v>
      </c>
      <c r="K14" s="18">
        <v>10</v>
      </c>
      <c r="L14" s="18">
        <v>10</v>
      </c>
      <c r="M14" s="18">
        <v>10</v>
      </c>
      <c r="N14" s="18">
        <v>10</v>
      </c>
      <c r="O14" s="18">
        <v>10</v>
      </c>
      <c r="P14" s="18">
        <v>10</v>
      </c>
      <c r="Q14" s="18">
        <v>10</v>
      </c>
      <c r="R14" s="18">
        <f t="shared" si="0"/>
        <v>120</v>
      </c>
      <c r="S14" s="8">
        <f t="shared" si="1"/>
        <v>120</v>
      </c>
      <c r="U14" s="8">
        <f t="shared" si="2"/>
        <v>120</v>
      </c>
    </row>
    <row r="15" spans="1:25" x14ac:dyDescent="0.3">
      <c r="A15" s="18">
        <v>9</v>
      </c>
      <c r="B15" s="21" t="s">
        <v>49</v>
      </c>
      <c r="C15" s="18" t="s">
        <v>50</v>
      </c>
      <c r="D15" s="45" t="s">
        <v>51</v>
      </c>
      <c r="E15" s="18"/>
      <c r="F15" s="18">
        <v>10</v>
      </c>
      <c r="G15" s="18">
        <v>10</v>
      </c>
      <c r="H15" s="18">
        <v>10</v>
      </c>
      <c r="I15" s="18">
        <v>10</v>
      </c>
      <c r="J15" s="18">
        <v>10</v>
      </c>
      <c r="K15" s="18">
        <v>10</v>
      </c>
      <c r="L15" s="18">
        <v>10</v>
      </c>
      <c r="M15" s="18">
        <v>10</v>
      </c>
      <c r="N15" s="18">
        <v>10</v>
      </c>
      <c r="O15" s="18">
        <v>10</v>
      </c>
      <c r="P15" s="18">
        <v>10</v>
      </c>
      <c r="Q15" s="18">
        <v>10</v>
      </c>
      <c r="R15" s="46">
        <f t="shared" si="0"/>
        <v>120</v>
      </c>
      <c r="S15" s="8">
        <f t="shared" si="1"/>
        <v>120</v>
      </c>
      <c r="U15" s="8">
        <f t="shared" si="2"/>
        <v>120</v>
      </c>
      <c r="V15" s="8" t="s">
        <v>363</v>
      </c>
    </row>
    <row r="16" spans="1:25" x14ac:dyDescent="0.3">
      <c r="A16" s="18">
        <v>10</v>
      </c>
      <c r="B16" s="21" t="s">
        <v>52</v>
      </c>
      <c r="C16" s="30" t="s">
        <v>53</v>
      </c>
      <c r="D16" s="45" t="s">
        <v>54</v>
      </c>
      <c r="E16" s="18"/>
      <c r="F16" s="18">
        <v>10</v>
      </c>
      <c r="G16" s="18">
        <v>10</v>
      </c>
      <c r="H16" s="18">
        <v>10</v>
      </c>
      <c r="I16" s="18">
        <v>10</v>
      </c>
      <c r="J16" s="18">
        <v>10</v>
      </c>
      <c r="K16" s="18">
        <v>10</v>
      </c>
      <c r="L16" s="18">
        <v>10</v>
      </c>
      <c r="M16" s="18">
        <v>10</v>
      </c>
      <c r="N16" s="18">
        <v>10</v>
      </c>
      <c r="O16" s="18">
        <v>10</v>
      </c>
      <c r="P16" s="18">
        <v>10</v>
      </c>
      <c r="Q16" s="18">
        <v>10</v>
      </c>
      <c r="R16" s="18">
        <f t="shared" si="0"/>
        <v>120</v>
      </c>
      <c r="S16" s="8">
        <f t="shared" si="1"/>
        <v>120</v>
      </c>
      <c r="U16" s="8">
        <f t="shared" si="2"/>
        <v>120</v>
      </c>
      <c r="V16" s="8" t="s">
        <v>365</v>
      </c>
    </row>
    <row r="17" spans="1:22" x14ac:dyDescent="0.3">
      <c r="A17" s="18">
        <v>11</v>
      </c>
      <c r="B17" s="47" t="s">
        <v>55</v>
      </c>
      <c r="C17" s="48" t="s">
        <v>56</v>
      </c>
      <c r="D17" s="49" t="s">
        <v>57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>
        <f t="shared" si="0"/>
        <v>0</v>
      </c>
      <c r="S17" s="51">
        <f t="shared" si="1"/>
        <v>0</v>
      </c>
      <c r="U17" s="8">
        <f t="shared" si="2"/>
        <v>0</v>
      </c>
    </row>
    <row r="18" spans="1:22" x14ac:dyDescent="0.3">
      <c r="A18" s="18">
        <v>12</v>
      </c>
      <c r="B18" s="21" t="s">
        <v>58</v>
      </c>
      <c r="C18" s="30" t="s">
        <v>59</v>
      </c>
      <c r="D18" s="45" t="s">
        <v>60</v>
      </c>
      <c r="E18" s="18"/>
      <c r="F18" s="18">
        <v>10</v>
      </c>
      <c r="G18" s="18">
        <v>10</v>
      </c>
      <c r="H18" s="18">
        <v>10</v>
      </c>
      <c r="I18" s="18">
        <v>10</v>
      </c>
      <c r="J18" s="18">
        <v>10</v>
      </c>
      <c r="K18" s="18"/>
      <c r="L18" s="18"/>
      <c r="M18" s="18"/>
      <c r="N18" s="18"/>
      <c r="O18" s="18"/>
      <c r="P18" s="18"/>
      <c r="Q18" s="18"/>
      <c r="R18" s="46">
        <f t="shared" si="0"/>
        <v>50</v>
      </c>
      <c r="S18" s="8">
        <f t="shared" si="1"/>
        <v>50</v>
      </c>
      <c r="U18" s="8">
        <f t="shared" si="2"/>
        <v>0</v>
      </c>
      <c r="V18" s="8" t="s">
        <v>366</v>
      </c>
    </row>
    <row r="19" spans="1:22" x14ac:dyDescent="0.3">
      <c r="A19" s="18">
        <v>13</v>
      </c>
      <c r="B19" s="21" t="s">
        <v>61</v>
      </c>
      <c r="C19" s="18" t="s">
        <v>62</v>
      </c>
      <c r="D19" s="45" t="s">
        <v>63</v>
      </c>
      <c r="E19" s="18"/>
      <c r="F19" s="18">
        <v>10</v>
      </c>
      <c r="G19" s="18">
        <v>10</v>
      </c>
      <c r="H19" s="18">
        <v>10</v>
      </c>
      <c r="I19" s="18">
        <v>10</v>
      </c>
      <c r="J19" s="18">
        <v>10</v>
      </c>
      <c r="K19" s="18">
        <v>10</v>
      </c>
      <c r="L19" s="18">
        <v>10</v>
      </c>
      <c r="M19" s="18">
        <v>10</v>
      </c>
      <c r="N19" s="18">
        <v>10</v>
      </c>
      <c r="O19" s="18">
        <v>10</v>
      </c>
      <c r="P19" s="18">
        <v>10</v>
      </c>
      <c r="Q19" s="18">
        <v>10</v>
      </c>
      <c r="R19" s="18">
        <f t="shared" si="0"/>
        <v>120</v>
      </c>
      <c r="S19" s="8">
        <f t="shared" si="1"/>
        <v>120</v>
      </c>
      <c r="U19" s="8">
        <f t="shared" si="2"/>
        <v>120</v>
      </c>
    </row>
    <row r="20" spans="1:22" x14ac:dyDescent="0.3">
      <c r="A20" s="18">
        <v>14</v>
      </c>
      <c r="B20" s="21" t="s">
        <v>65</v>
      </c>
      <c r="C20" s="30" t="s">
        <v>66</v>
      </c>
      <c r="D20" s="45" t="s">
        <v>67</v>
      </c>
      <c r="E20" s="18"/>
      <c r="F20" s="18">
        <v>10</v>
      </c>
      <c r="G20" s="18">
        <v>10</v>
      </c>
      <c r="H20" s="18">
        <v>10</v>
      </c>
      <c r="I20" s="18">
        <v>10</v>
      </c>
      <c r="J20" s="18">
        <v>10</v>
      </c>
      <c r="K20" s="18">
        <v>10</v>
      </c>
      <c r="L20" s="18">
        <v>10</v>
      </c>
      <c r="M20" s="18">
        <v>10</v>
      </c>
      <c r="N20" s="18">
        <v>10</v>
      </c>
      <c r="O20" s="18">
        <v>10</v>
      </c>
      <c r="P20" s="18">
        <v>10</v>
      </c>
      <c r="Q20" s="18">
        <v>10</v>
      </c>
      <c r="R20" s="18">
        <f t="shared" si="0"/>
        <v>120</v>
      </c>
      <c r="S20" s="8">
        <f t="shared" si="1"/>
        <v>120</v>
      </c>
      <c r="U20" s="8">
        <f t="shared" si="2"/>
        <v>120</v>
      </c>
      <c r="V20" s="8" t="s">
        <v>367</v>
      </c>
    </row>
    <row r="21" spans="1:22" ht="15.75" customHeight="1" x14ac:dyDescent="0.3">
      <c r="A21" s="18">
        <v>15</v>
      </c>
      <c r="B21" s="21" t="s">
        <v>68</v>
      </c>
      <c r="C21" s="18" t="s">
        <v>69</v>
      </c>
      <c r="D21" s="45" t="s">
        <v>70</v>
      </c>
      <c r="E21" s="18"/>
      <c r="F21" s="18">
        <v>10</v>
      </c>
      <c r="G21" s="18">
        <v>10</v>
      </c>
      <c r="H21" s="18">
        <v>10</v>
      </c>
      <c r="I21" s="18">
        <v>10</v>
      </c>
      <c r="J21" s="18">
        <v>10</v>
      </c>
      <c r="K21" s="18">
        <v>10</v>
      </c>
      <c r="L21" s="18">
        <v>10</v>
      </c>
      <c r="M21" s="18">
        <v>10</v>
      </c>
      <c r="N21" s="18">
        <v>10</v>
      </c>
      <c r="O21" s="18">
        <v>10</v>
      </c>
      <c r="P21" s="18">
        <v>10</v>
      </c>
      <c r="Q21" s="18">
        <v>10</v>
      </c>
      <c r="R21" s="18">
        <f t="shared" si="0"/>
        <v>120</v>
      </c>
      <c r="S21" s="8">
        <f t="shared" si="1"/>
        <v>120</v>
      </c>
      <c r="U21" s="8">
        <f t="shared" si="2"/>
        <v>120</v>
      </c>
      <c r="V21" s="8" t="s">
        <v>368</v>
      </c>
    </row>
    <row r="22" spans="1:22" ht="15.75" customHeight="1" x14ac:dyDescent="0.3">
      <c r="A22" s="18">
        <v>16</v>
      </c>
      <c r="B22" s="47" t="s">
        <v>71</v>
      </c>
      <c r="C22" s="48" t="s">
        <v>72</v>
      </c>
      <c r="D22" s="49" t="s">
        <v>73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>
        <f t="shared" si="0"/>
        <v>0</v>
      </c>
      <c r="S22" s="51">
        <f t="shared" si="1"/>
        <v>0</v>
      </c>
      <c r="U22" s="8">
        <f t="shared" si="2"/>
        <v>0</v>
      </c>
    </row>
    <row r="23" spans="1:22" ht="15.75" customHeight="1" x14ac:dyDescent="0.3">
      <c r="A23" s="18">
        <v>17</v>
      </c>
      <c r="B23" s="47" t="s">
        <v>74</v>
      </c>
      <c r="C23" s="48" t="s">
        <v>75</v>
      </c>
      <c r="D23" s="49" t="s">
        <v>76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>
        <f t="shared" si="0"/>
        <v>0</v>
      </c>
      <c r="S23" s="51">
        <f t="shared" si="1"/>
        <v>0</v>
      </c>
      <c r="U23" s="8">
        <f t="shared" si="2"/>
        <v>0</v>
      </c>
    </row>
    <row r="24" spans="1:22" ht="15.75" customHeight="1" x14ac:dyDescent="0.3">
      <c r="A24" s="18">
        <v>18</v>
      </c>
      <c r="B24" s="21" t="s">
        <v>77</v>
      </c>
      <c r="C24" s="18" t="s">
        <v>78</v>
      </c>
      <c r="D24" s="45" t="s">
        <v>79</v>
      </c>
      <c r="E24" s="18"/>
      <c r="F24" s="18">
        <v>10</v>
      </c>
      <c r="G24" s="18">
        <v>10</v>
      </c>
      <c r="H24" s="18">
        <v>10</v>
      </c>
      <c r="I24" s="18">
        <v>10</v>
      </c>
      <c r="J24" s="18">
        <v>10</v>
      </c>
      <c r="K24" s="18">
        <v>10</v>
      </c>
      <c r="L24" s="18">
        <v>10</v>
      </c>
      <c r="M24" s="18">
        <v>10</v>
      </c>
      <c r="N24" s="18">
        <v>10</v>
      </c>
      <c r="O24" s="18">
        <v>10</v>
      </c>
      <c r="P24" s="18">
        <v>10</v>
      </c>
      <c r="Q24" s="18">
        <v>10</v>
      </c>
      <c r="R24" s="18">
        <f t="shared" si="0"/>
        <v>120</v>
      </c>
      <c r="S24" s="8">
        <f t="shared" si="1"/>
        <v>120</v>
      </c>
      <c r="U24" s="8">
        <f t="shared" si="2"/>
        <v>120</v>
      </c>
    </row>
    <row r="25" spans="1:22" ht="15.75" customHeight="1" x14ac:dyDescent="0.3">
      <c r="A25" s="18">
        <v>19</v>
      </c>
      <c r="B25" s="21" t="s">
        <v>80</v>
      </c>
      <c r="C25" s="18" t="s">
        <v>81</v>
      </c>
      <c r="D25" s="45" t="s">
        <v>82</v>
      </c>
      <c r="E25" s="18"/>
      <c r="F25" s="18">
        <v>10</v>
      </c>
      <c r="G25" s="18">
        <v>10</v>
      </c>
      <c r="H25" s="18">
        <v>10</v>
      </c>
      <c r="I25" s="18">
        <v>10</v>
      </c>
      <c r="J25" s="18">
        <v>10</v>
      </c>
      <c r="K25" s="18">
        <v>10</v>
      </c>
      <c r="L25" s="18">
        <v>10</v>
      </c>
      <c r="M25" s="18">
        <v>10</v>
      </c>
      <c r="N25" s="18">
        <v>10</v>
      </c>
      <c r="O25" s="18">
        <v>10</v>
      </c>
      <c r="P25" s="18">
        <v>10</v>
      </c>
      <c r="Q25" s="18">
        <v>10</v>
      </c>
      <c r="R25" s="18">
        <f t="shared" si="0"/>
        <v>120</v>
      </c>
      <c r="S25" s="37">
        <f t="shared" si="1"/>
        <v>120</v>
      </c>
      <c r="U25" s="8">
        <f t="shared" si="2"/>
        <v>120</v>
      </c>
      <c r="V25" s="52">
        <v>43305</v>
      </c>
    </row>
    <row r="26" spans="1:22" ht="15.75" customHeight="1" x14ac:dyDescent="0.3">
      <c r="A26" s="18">
        <v>20</v>
      </c>
      <c r="B26" s="21" t="s">
        <v>83</v>
      </c>
      <c r="C26" s="30" t="s">
        <v>84</v>
      </c>
      <c r="D26" s="45" t="s">
        <v>85</v>
      </c>
      <c r="E26" s="18"/>
      <c r="F26" s="18">
        <v>10</v>
      </c>
      <c r="G26" s="18">
        <v>10</v>
      </c>
      <c r="H26" s="18">
        <v>10</v>
      </c>
      <c r="I26" s="18">
        <v>10</v>
      </c>
      <c r="J26" s="18">
        <v>10</v>
      </c>
      <c r="K26" s="18">
        <v>10</v>
      </c>
      <c r="L26" s="18">
        <v>10</v>
      </c>
      <c r="M26" s="18">
        <v>10</v>
      </c>
      <c r="N26" s="18">
        <v>10</v>
      </c>
      <c r="O26" s="18">
        <v>10</v>
      </c>
      <c r="P26" s="18">
        <v>10</v>
      </c>
      <c r="Q26" s="18">
        <v>10</v>
      </c>
      <c r="R26" s="18">
        <f t="shared" si="0"/>
        <v>120</v>
      </c>
      <c r="S26" s="37">
        <f t="shared" si="1"/>
        <v>120</v>
      </c>
      <c r="U26" s="8">
        <f t="shared" si="2"/>
        <v>120</v>
      </c>
      <c r="V26" s="37" t="s">
        <v>369</v>
      </c>
    </row>
    <row r="27" spans="1:22" ht="15.75" customHeight="1" x14ac:dyDescent="0.3">
      <c r="A27" s="18">
        <v>21</v>
      </c>
      <c r="B27" s="21" t="s">
        <v>86</v>
      </c>
      <c r="C27" s="30" t="s">
        <v>87</v>
      </c>
      <c r="D27" s="45" t="s">
        <v>88</v>
      </c>
      <c r="E27" s="18"/>
      <c r="F27" s="18">
        <v>10</v>
      </c>
      <c r="G27" s="18">
        <v>10</v>
      </c>
      <c r="H27" s="18">
        <v>10</v>
      </c>
      <c r="I27" s="18">
        <v>10</v>
      </c>
      <c r="J27" s="18">
        <v>10</v>
      </c>
      <c r="K27" s="18">
        <v>10</v>
      </c>
      <c r="L27" s="18">
        <v>10</v>
      </c>
      <c r="M27" s="18">
        <v>10</v>
      </c>
      <c r="N27" s="18">
        <v>10</v>
      </c>
      <c r="O27" s="18">
        <v>10</v>
      </c>
      <c r="P27" s="18">
        <v>10</v>
      </c>
      <c r="Q27" s="18">
        <v>10</v>
      </c>
      <c r="R27" s="46">
        <f t="shared" si="0"/>
        <v>120</v>
      </c>
      <c r="S27" s="8">
        <f t="shared" si="1"/>
        <v>120</v>
      </c>
      <c r="U27" s="8">
        <f t="shared" si="2"/>
        <v>120</v>
      </c>
      <c r="V27" s="8" t="s">
        <v>363</v>
      </c>
    </row>
    <row r="28" spans="1:22" ht="15.75" customHeight="1" x14ac:dyDescent="0.3">
      <c r="A28" s="18">
        <v>22</v>
      </c>
      <c r="B28" s="21" t="s">
        <v>89</v>
      </c>
      <c r="C28" s="30" t="s">
        <v>90</v>
      </c>
      <c r="D28" s="45" t="s">
        <v>91</v>
      </c>
      <c r="E28" s="18"/>
      <c r="F28" s="18">
        <v>10</v>
      </c>
      <c r="G28" s="18">
        <v>10</v>
      </c>
      <c r="H28" s="18">
        <v>10</v>
      </c>
      <c r="I28" s="18">
        <v>10</v>
      </c>
      <c r="J28" s="18">
        <v>10</v>
      </c>
      <c r="K28" s="18">
        <v>10</v>
      </c>
      <c r="L28" s="18">
        <v>10</v>
      </c>
      <c r="M28" s="18">
        <v>10</v>
      </c>
      <c r="N28" s="18">
        <v>10</v>
      </c>
      <c r="O28" s="18">
        <v>10</v>
      </c>
      <c r="P28" s="18">
        <v>10</v>
      </c>
      <c r="Q28" s="18">
        <v>10</v>
      </c>
      <c r="R28" s="18">
        <f t="shared" si="0"/>
        <v>120</v>
      </c>
      <c r="S28" s="8">
        <f t="shared" si="1"/>
        <v>120</v>
      </c>
      <c r="U28" s="8">
        <f t="shared" si="2"/>
        <v>120</v>
      </c>
    </row>
    <row r="29" spans="1:22" ht="15.75" customHeight="1" x14ac:dyDescent="0.3">
      <c r="A29" s="18">
        <v>23</v>
      </c>
      <c r="B29" s="21" t="s">
        <v>92</v>
      </c>
      <c r="C29" s="30" t="s">
        <v>93</v>
      </c>
      <c r="D29" s="45" t="s">
        <v>94</v>
      </c>
      <c r="E29" s="18"/>
      <c r="F29" s="18">
        <v>10</v>
      </c>
      <c r="G29" s="18">
        <v>10</v>
      </c>
      <c r="H29" s="18">
        <v>10</v>
      </c>
      <c r="I29" s="18">
        <v>10</v>
      </c>
      <c r="J29" s="18">
        <v>10</v>
      </c>
      <c r="K29" s="18">
        <v>10</v>
      </c>
      <c r="L29" s="18">
        <v>10</v>
      </c>
      <c r="M29" s="18">
        <v>10</v>
      </c>
      <c r="N29" s="18">
        <v>10</v>
      </c>
      <c r="O29" s="18">
        <v>10</v>
      </c>
      <c r="P29" s="18">
        <v>10</v>
      </c>
      <c r="Q29" s="18">
        <v>10</v>
      </c>
      <c r="R29" s="46">
        <f t="shared" si="0"/>
        <v>120</v>
      </c>
      <c r="S29" s="8">
        <f t="shared" si="1"/>
        <v>120</v>
      </c>
      <c r="U29" s="8">
        <f t="shared" si="2"/>
        <v>120</v>
      </c>
      <c r="V29" s="8" t="s">
        <v>363</v>
      </c>
    </row>
    <row r="30" spans="1:22" ht="15.75" customHeight="1" x14ac:dyDescent="0.3">
      <c r="A30" s="18">
        <v>24</v>
      </c>
      <c r="B30" s="47" t="s">
        <v>95</v>
      </c>
      <c r="C30" s="50" t="s">
        <v>96</v>
      </c>
      <c r="D30" s="49" t="s">
        <v>97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>
        <f t="shared" si="0"/>
        <v>0</v>
      </c>
      <c r="S30" s="8">
        <f t="shared" si="1"/>
        <v>0</v>
      </c>
      <c r="U30" s="8">
        <f t="shared" si="2"/>
        <v>0</v>
      </c>
    </row>
    <row r="31" spans="1:22" ht="15.75" customHeight="1" x14ac:dyDescent="0.3">
      <c r="A31" s="18">
        <v>25</v>
      </c>
      <c r="B31" s="21" t="s">
        <v>98</v>
      </c>
      <c r="C31" s="18" t="s">
        <v>99</v>
      </c>
      <c r="D31" s="45" t="s">
        <v>100</v>
      </c>
      <c r="E31" s="18"/>
      <c r="F31" s="18">
        <v>10</v>
      </c>
      <c r="G31" s="18">
        <v>10</v>
      </c>
      <c r="H31" s="18">
        <v>10</v>
      </c>
      <c r="I31" s="18">
        <v>10</v>
      </c>
      <c r="J31" s="18">
        <v>10</v>
      </c>
      <c r="K31" s="18">
        <v>10</v>
      </c>
      <c r="L31" s="18">
        <v>10</v>
      </c>
      <c r="M31" s="18">
        <v>10</v>
      </c>
      <c r="N31" s="18">
        <v>10</v>
      </c>
      <c r="O31" s="18">
        <v>10</v>
      </c>
      <c r="P31" s="18">
        <v>10</v>
      </c>
      <c r="Q31" s="18">
        <v>10</v>
      </c>
      <c r="R31" s="18">
        <f t="shared" si="0"/>
        <v>120</v>
      </c>
      <c r="S31" s="8">
        <f t="shared" si="1"/>
        <v>120</v>
      </c>
      <c r="U31" s="8">
        <f t="shared" si="2"/>
        <v>120</v>
      </c>
      <c r="V31" s="8" t="s">
        <v>370</v>
      </c>
    </row>
    <row r="32" spans="1:22" ht="15.75" customHeight="1" x14ac:dyDescent="0.3">
      <c r="A32" s="18">
        <v>26</v>
      </c>
      <c r="B32" s="47" t="s">
        <v>101</v>
      </c>
      <c r="C32" s="50" t="s">
        <v>102</v>
      </c>
      <c r="D32" s="49" t="s">
        <v>103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>
        <f t="shared" si="0"/>
        <v>0</v>
      </c>
      <c r="S32" s="8">
        <f t="shared" si="1"/>
        <v>0</v>
      </c>
      <c r="U32" s="8">
        <f t="shared" si="2"/>
        <v>0</v>
      </c>
    </row>
    <row r="33" spans="1:26" ht="15.75" customHeight="1" x14ac:dyDescent="0.3">
      <c r="A33" s="18">
        <v>27</v>
      </c>
      <c r="B33" s="21" t="s">
        <v>104</v>
      </c>
      <c r="C33" s="18" t="s">
        <v>105</v>
      </c>
      <c r="D33" s="45" t="s">
        <v>106</v>
      </c>
      <c r="E33" s="18"/>
      <c r="F33" s="18">
        <v>10</v>
      </c>
      <c r="G33" s="18">
        <v>10</v>
      </c>
      <c r="H33" s="18">
        <v>10</v>
      </c>
      <c r="I33" s="18">
        <v>10</v>
      </c>
      <c r="J33" s="18">
        <v>10</v>
      </c>
      <c r="K33" s="18">
        <v>10</v>
      </c>
      <c r="L33" s="18">
        <v>10</v>
      </c>
      <c r="M33" s="18">
        <v>10</v>
      </c>
      <c r="N33" s="18">
        <v>10</v>
      </c>
      <c r="O33" s="18">
        <v>10</v>
      </c>
      <c r="P33" s="18">
        <v>10</v>
      </c>
      <c r="Q33" s="18">
        <v>10</v>
      </c>
      <c r="R33" s="18">
        <f t="shared" si="0"/>
        <v>120</v>
      </c>
      <c r="S33" s="8">
        <f t="shared" si="1"/>
        <v>120</v>
      </c>
      <c r="U33" s="8">
        <f t="shared" si="2"/>
        <v>120</v>
      </c>
    </row>
    <row r="34" spans="1:26" ht="15.75" customHeight="1" x14ac:dyDescent="0.3">
      <c r="A34" s="18">
        <v>28</v>
      </c>
      <c r="B34" s="21" t="s">
        <v>107</v>
      </c>
      <c r="C34" s="18" t="s">
        <v>108</v>
      </c>
      <c r="D34" s="45" t="s">
        <v>109</v>
      </c>
      <c r="E34" s="18"/>
      <c r="F34" s="18">
        <v>10</v>
      </c>
      <c r="G34" s="18">
        <v>10</v>
      </c>
      <c r="H34" s="18">
        <v>10</v>
      </c>
      <c r="I34" s="18">
        <v>10</v>
      </c>
      <c r="J34" s="18">
        <v>10</v>
      </c>
      <c r="K34" s="18">
        <v>10</v>
      </c>
      <c r="L34" s="18">
        <v>10</v>
      </c>
      <c r="M34" s="18">
        <v>10</v>
      </c>
      <c r="N34" s="18">
        <v>10</v>
      </c>
      <c r="O34" s="18">
        <v>10</v>
      </c>
      <c r="P34" s="18">
        <v>10</v>
      </c>
      <c r="Q34" s="18">
        <v>10</v>
      </c>
      <c r="R34" s="18">
        <f t="shared" si="0"/>
        <v>120</v>
      </c>
      <c r="S34" s="8">
        <f t="shared" si="1"/>
        <v>120</v>
      </c>
      <c r="U34" s="8">
        <f t="shared" si="2"/>
        <v>120</v>
      </c>
      <c r="V34" s="8" t="s">
        <v>370</v>
      </c>
    </row>
    <row r="35" spans="1:26" ht="15.75" customHeight="1" x14ac:dyDescent="0.3">
      <c r="A35" s="18">
        <v>29</v>
      </c>
      <c r="B35" s="21" t="s">
        <v>110</v>
      </c>
      <c r="C35" s="30" t="s">
        <v>111</v>
      </c>
      <c r="D35" s="45" t="s">
        <v>112</v>
      </c>
      <c r="E35" s="18"/>
      <c r="F35" s="18">
        <v>10</v>
      </c>
      <c r="G35" s="18">
        <v>10</v>
      </c>
      <c r="H35" s="18">
        <v>10</v>
      </c>
      <c r="I35" s="18">
        <v>10</v>
      </c>
      <c r="J35" s="18">
        <v>10</v>
      </c>
      <c r="K35" s="18">
        <v>10</v>
      </c>
      <c r="L35" s="18">
        <v>10</v>
      </c>
      <c r="M35" s="18">
        <v>10</v>
      </c>
      <c r="N35" s="18">
        <v>10</v>
      </c>
      <c r="O35" s="18">
        <v>10</v>
      </c>
      <c r="P35" s="18">
        <v>10</v>
      </c>
      <c r="Q35" s="18">
        <v>10</v>
      </c>
      <c r="R35" s="18">
        <f t="shared" si="0"/>
        <v>120</v>
      </c>
      <c r="S35" s="8">
        <f t="shared" si="1"/>
        <v>120</v>
      </c>
      <c r="U35" s="8">
        <f t="shared" si="2"/>
        <v>120</v>
      </c>
    </row>
    <row r="36" spans="1:26" ht="15.75" customHeight="1" x14ac:dyDescent="0.3">
      <c r="A36" s="18">
        <v>30</v>
      </c>
      <c r="B36" s="21" t="s">
        <v>113</v>
      </c>
      <c r="C36" s="18" t="s">
        <v>114</v>
      </c>
      <c r="D36" s="45" t="s">
        <v>115</v>
      </c>
      <c r="E36" s="18"/>
      <c r="F36" s="18">
        <v>10</v>
      </c>
      <c r="G36" s="18">
        <v>10</v>
      </c>
      <c r="H36" s="18">
        <v>10</v>
      </c>
      <c r="I36" s="18">
        <v>10</v>
      </c>
      <c r="J36" s="18">
        <v>10</v>
      </c>
      <c r="K36" s="18">
        <v>10</v>
      </c>
      <c r="L36" s="18">
        <v>10</v>
      </c>
      <c r="M36" s="18">
        <v>10</v>
      </c>
      <c r="N36" s="18">
        <v>10</v>
      </c>
      <c r="O36" s="18">
        <v>10</v>
      </c>
      <c r="P36" s="18">
        <v>10</v>
      </c>
      <c r="Q36" s="18">
        <v>10</v>
      </c>
      <c r="R36" s="18">
        <f t="shared" si="0"/>
        <v>120</v>
      </c>
      <c r="S36" s="8">
        <f t="shared" si="1"/>
        <v>120</v>
      </c>
      <c r="U36" s="8">
        <f t="shared" si="2"/>
        <v>120</v>
      </c>
      <c r="V36" s="8" t="s">
        <v>371</v>
      </c>
    </row>
    <row r="37" spans="1:26" ht="15.75" customHeight="1" x14ac:dyDescent="0.3">
      <c r="A37" s="18">
        <v>31</v>
      </c>
      <c r="B37" s="21" t="s">
        <v>116</v>
      </c>
      <c r="C37" s="30" t="s">
        <v>117</v>
      </c>
      <c r="D37" s="45" t="s">
        <v>118</v>
      </c>
      <c r="E37" s="18"/>
      <c r="F37" s="18">
        <v>10</v>
      </c>
      <c r="G37" s="18">
        <v>10</v>
      </c>
      <c r="H37" s="18">
        <v>10</v>
      </c>
      <c r="I37" s="18">
        <v>10</v>
      </c>
      <c r="J37" s="18">
        <v>10</v>
      </c>
      <c r="K37" s="18">
        <v>10</v>
      </c>
      <c r="L37" s="18">
        <v>10</v>
      </c>
      <c r="M37" s="18">
        <v>10</v>
      </c>
      <c r="N37" s="18">
        <v>10</v>
      </c>
      <c r="O37" s="18">
        <v>10</v>
      </c>
      <c r="P37" s="18">
        <v>10</v>
      </c>
      <c r="Q37" s="18">
        <v>10</v>
      </c>
      <c r="R37" s="18">
        <f t="shared" si="0"/>
        <v>120</v>
      </c>
      <c r="S37" s="8">
        <f t="shared" si="1"/>
        <v>120</v>
      </c>
      <c r="U37" s="8">
        <f t="shared" si="2"/>
        <v>120</v>
      </c>
    </row>
    <row r="38" spans="1:26" ht="15.75" customHeight="1" x14ac:dyDescent="0.3">
      <c r="A38" s="18">
        <v>32</v>
      </c>
      <c r="B38" s="21" t="s">
        <v>119</v>
      </c>
      <c r="C38" s="40" t="s">
        <v>120</v>
      </c>
      <c r="D38" s="45" t="s">
        <v>121</v>
      </c>
      <c r="E38" s="18"/>
      <c r="F38" s="18">
        <v>10</v>
      </c>
      <c r="G38" s="18">
        <v>10</v>
      </c>
      <c r="H38" s="18">
        <v>10</v>
      </c>
      <c r="I38" s="18">
        <v>10</v>
      </c>
      <c r="J38" s="18">
        <v>10</v>
      </c>
      <c r="K38" s="18">
        <v>10</v>
      </c>
      <c r="L38" s="18">
        <v>10</v>
      </c>
      <c r="M38" s="18">
        <v>10</v>
      </c>
      <c r="N38" s="18">
        <v>10</v>
      </c>
      <c r="O38" s="18">
        <v>10</v>
      </c>
      <c r="P38" s="18">
        <v>10</v>
      </c>
      <c r="Q38" s="18">
        <v>10</v>
      </c>
      <c r="R38" s="18">
        <f t="shared" si="0"/>
        <v>120</v>
      </c>
      <c r="S38" s="8">
        <f t="shared" si="1"/>
        <v>120</v>
      </c>
      <c r="U38" s="8">
        <f t="shared" si="2"/>
        <v>120</v>
      </c>
    </row>
    <row r="39" spans="1:26" ht="15.75" customHeight="1" x14ac:dyDescent="0.3">
      <c r="A39" s="18">
        <v>33</v>
      </c>
      <c r="B39" s="47" t="s">
        <v>122</v>
      </c>
      <c r="C39" s="50" t="s">
        <v>123</v>
      </c>
      <c r="D39" s="49" t="s">
        <v>124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>
        <f t="shared" si="0"/>
        <v>0</v>
      </c>
      <c r="S39" s="8">
        <f t="shared" si="1"/>
        <v>0</v>
      </c>
      <c r="U39" s="8">
        <f t="shared" si="2"/>
        <v>0</v>
      </c>
    </row>
    <row r="40" spans="1:26" ht="15.75" customHeight="1" x14ac:dyDescent="0.3">
      <c r="A40" s="18">
        <v>34</v>
      </c>
      <c r="B40" s="21" t="s">
        <v>125</v>
      </c>
      <c r="C40" s="18" t="s">
        <v>126</v>
      </c>
      <c r="D40" s="45" t="s">
        <v>127</v>
      </c>
      <c r="E40" s="18"/>
      <c r="F40" s="18">
        <v>10</v>
      </c>
      <c r="G40" s="18">
        <v>10</v>
      </c>
      <c r="H40" s="18">
        <v>10</v>
      </c>
      <c r="I40" s="18">
        <v>10</v>
      </c>
      <c r="J40" s="18">
        <v>10</v>
      </c>
      <c r="K40" s="18">
        <v>10</v>
      </c>
      <c r="L40" s="18">
        <v>10</v>
      </c>
      <c r="M40" s="18">
        <v>10</v>
      </c>
      <c r="N40" s="18">
        <v>10</v>
      </c>
      <c r="O40" s="18">
        <v>10</v>
      </c>
      <c r="P40" s="18">
        <v>10</v>
      </c>
      <c r="Q40" s="18">
        <v>10</v>
      </c>
      <c r="R40" s="18">
        <f t="shared" si="0"/>
        <v>120</v>
      </c>
      <c r="S40" s="8">
        <f t="shared" si="1"/>
        <v>120</v>
      </c>
      <c r="U40" s="8">
        <f t="shared" si="2"/>
        <v>120</v>
      </c>
    </row>
    <row r="41" spans="1:26" ht="15.75" customHeight="1" x14ac:dyDescent="0.3">
      <c r="A41" s="18">
        <v>35</v>
      </c>
      <c r="B41" s="47" t="s">
        <v>128</v>
      </c>
      <c r="C41" s="48" t="s">
        <v>129</v>
      </c>
      <c r="D41" s="49" t="s">
        <v>130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>
        <f t="shared" si="0"/>
        <v>0</v>
      </c>
      <c r="S41" s="8">
        <f t="shared" si="1"/>
        <v>0</v>
      </c>
      <c r="U41" s="8">
        <f t="shared" si="2"/>
        <v>0</v>
      </c>
    </row>
    <row r="42" spans="1:26" ht="15.75" customHeight="1" x14ac:dyDescent="0.3">
      <c r="A42" s="18">
        <v>36</v>
      </c>
      <c r="B42" s="47" t="s">
        <v>131</v>
      </c>
      <c r="C42" s="48" t="s">
        <v>132</v>
      </c>
      <c r="D42" s="49" t="s">
        <v>133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>
        <f t="shared" si="0"/>
        <v>0</v>
      </c>
      <c r="S42" s="8">
        <f t="shared" si="1"/>
        <v>0</v>
      </c>
      <c r="U42" s="8">
        <f t="shared" si="2"/>
        <v>0</v>
      </c>
    </row>
    <row r="43" spans="1:26" ht="15.75" customHeight="1" x14ac:dyDescent="0.3">
      <c r="A43" s="18">
        <v>37</v>
      </c>
      <c r="B43" s="47" t="s">
        <v>135</v>
      </c>
      <c r="C43" s="48" t="s">
        <v>136</v>
      </c>
      <c r="D43" s="49" t="s">
        <v>137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>
        <f t="shared" si="0"/>
        <v>0</v>
      </c>
      <c r="S43" s="8">
        <f t="shared" si="1"/>
        <v>0</v>
      </c>
      <c r="U43" s="8">
        <f t="shared" si="2"/>
        <v>0</v>
      </c>
    </row>
    <row r="44" spans="1:26" ht="15.75" customHeight="1" x14ac:dyDescent="0.3">
      <c r="A44" s="18">
        <v>38</v>
      </c>
      <c r="B44" s="21" t="s">
        <v>138</v>
      </c>
      <c r="C44" s="30" t="s">
        <v>139</v>
      </c>
      <c r="D44" s="45" t="s">
        <v>140</v>
      </c>
      <c r="E44" s="18"/>
      <c r="F44" s="18">
        <v>10</v>
      </c>
      <c r="G44" s="18">
        <v>10</v>
      </c>
      <c r="H44" s="18">
        <v>10</v>
      </c>
      <c r="I44" s="18">
        <v>10</v>
      </c>
      <c r="J44" s="18">
        <v>10</v>
      </c>
      <c r="K44" s="18">
        <v>10</v>
      </c>
      <c r="L44" s="18">
        <v>10</v>
      </c>
      <c r="M44" s="18">
        <v>10</v>
      </c>
      <c r="N44" s="18">
        <v>10</v>
      </c>
      <c r="O44" s="18">
        <v>10</v>
      </c>
      <c r="P44" s="18">
        <v>10</v>
      </c>
      <c r="Q44" s="18">
        <v>10</v>
      </c>
      <c r="R44" s="18">
        <f t="shared" si="0"/>
        <v>120</v>
      </c>
      <c r="S44" s="37">
        <f t="shared" si="1"/>
        <v>120</v>
      </c>
      <c r="U44" s="37">
        <f t="shared" si="2"/>
        <v>120</v>
      </c>
      <c r="V44" s="8" t="s">
        <v>372</v>
      </c>
    </row>
    <row r="45" spans="1:26" ht="15.75" customHeight="1" x14ac:dyDescent="0.3">
      <c r="A45" s="18">
        <v>39</v>
      </c>
      <c r="B45" s="21" t="s">
        <v>141</v>
      </c>
      <c r="C45" s="30" t="s">
        <v>142</v>
      </c>
      <c r="D45" s="45" t="s">
        <v>143</v>
      </c>
      <c r="E45" s="18"/>
      <c r="F45" s="18">
        <v>10</v>
      </c>
      <c r="G45" s="18">
        <v>10</v>
      </c>
      <c r="H45" s="18">
        <v>10</v>
      </c>
      <c r="I45" s="18">
        <v>10</v>
      </c>
      <c r="J45" s="18">
        <v>10</v>
      </c>
      <c r="K45" s="18">
        <v>10</v>
      </c>
      <c r="L45" s="18">
        <v>10</v>
      </c>
      <c r="M45" s="18">
        <v>10</v>
      </c>
      <c r="N45" s="18">
        <v>10</v>
      </c>
      <c r="O45" s="18">
        <v>10</v>
      </c>
      <c r="P45" s="18">
        <v>10</v>
      </c>
      <c r="Q45" s="18">
        <v>10</v>
      </c>
      <c r="R45" s="18">
        <f t="shared" si="0"/>
        <v>120</v>
      </c>
      <c r="S45" s="8">
        <f t="shared" si="1"/>
        <v>120</v>
      </c>
      <c r="U45" s="8">
        <f t="shared" si="2"/>
        <v>120</v>
      </c>
      <c r="V45" s="8" t="s">
        <v>373</v>
      </c>
    </row>
    <row r="46" spans="1:26" ht="15.75" customHeight="1" x14ac:dyDescent="0.3">
      <c r="A46" s="18">
        <v>40</v>
      </c>
      <c r="B46" s="21" t="s">
        <v>144</v>
      </c>
      <c r="C46" s="30" t="s">
        <v>145</v>
      </c>
      <c r="D46" s="45" t="s">
        <v>146</v>
      </c>
      <c r="E46" s="18"/>
      <c r="F46" s="18">
        <v>10</v>
      </c>
      <c r="G46" s="18">
        <v>10</v>
      </c>
      <c r="H46" s="18">
        <v>10</v>
      </c>
      <c r="I46" s="18">
        <v>10</v>
      </c>
      <c r="J46" s="18">
        <v>10</v>
      </c>
      <c r="K46" s="18">
        <v>10</v>
      </c>
      <c r="L46" s="18">
        <v>10</v>
      </c>
      <c r="M46" s="18">
        <v>10</v>
      </c>
      <c r="N46" s="18">
        <v>10</v>
      </c>
      <c r="O46" s="18">
        <v>10</v>
      </c>
      <c r="P46" s="18">
        <v>10</v>
      </c>
      <c r="Q46" s="18">
        <v>10</v>
      </c>
      <c r="R46" s="18">
        <f t="shared" si="0"/>
        <v>120</v>
      </c>
      <c r="S46" s="8">
        <f t="shared" si="1"/>
        <v>120</v>
      </c>
      <c r="T46" s="8">
        <f>R46+E46</f>
        <v>120</v>
      </c>
      <c r="U46" s="8">
        <f t="shared" si="2"/>
        <v>120</v>
      </c>
      <c r="V46" s="8"/>
      <c r="W46" s="8"/>
      <c r="X46" s="8"/>
      <c r="Y46" s="8"/>
      <c r="Z46" s="8"/>
    </row>
    <row r="47" spans="1:26" ht="15.75" customHeight="1" x14ac:dyDescent="0.3">
      <c r="A47" s="18">
        <v>41</v>
      </c>
      <c r="B47" s="21" t="s">
        <v>147</v>
      </c>
      <c r="C47" s="18" t="s">
        <v>148</v>
      </c>
      <c r="D47" s="45" t="s">
        <v>149</v>
      </c>
      <c r="E47" s="18"/>
      <c r="F47" s="18">
        <v>10</v>
      </c>
      <c r="G47" s="18">
        <v>10</v>
      </c>
      <c r="H47" s="18">
        <v>10</v>
      </c>
      <c r="I47" s="18">
        <v>10</v>
      </c>
      <c r="J47" s="18">
        <v>10</v>
      </c>
      <c r="K47" s="18">
        <v>10</v>
      </c>
      <c r="L47" s="18">
        <v>10</v>
      </c>
      <c r="M47" s="18">
        <v>10</v>
      </c>
      <c r="N47" s="18">
        <v>10</v>
      </c>
      <c r="O47" s="18">
        <v>10</v>
      </c>
      <c r="P47" s="18">
        <v>10</v>
      </c>
      <c r="Q47" s="18">
        <v>10</v>
      </c>
      <c r="R47" s="18">
        <f t="shared" si="0"/>
        <v>120</v>
      </c>
      <c r="S47" s="8">
        <f t="shared" si="1"/>
        <v>120</v>
      </c>
      <c r="U47" s="8">
        <f t="shared" si="2"/>
        <v>120</v>
      </c>
      <c r="V47" s="8" t="s">
        <v>374</v>
      </c>
    </row>
    <row r="48" spans="1:26" ht="15.75" customHeight="1" x14ac:dyDescent="0.3">
      <c r="A48" s="18">
        <v>42</v>
      </c>
      <c r="B48" s="21" t="s">
        <v>150</v>
      </c>
      <c r="C48" s="18" t="s">
        <v>151</v>
      </c>
      <c r="D48" s="45" t="s">
        <v>152</v>
      </c>
      <c r="E48" s="18"/>
      <c r="F48" s="18">
        <v>10</v>
      </c>
      <c r="G48" s="18">
        <v>10</v>
      </c>
      <c r="H48" s="18">
        <v>10</v>
      </c>
      <c r="I48" s="18">
        <v>10</v>
      </c>
      <c r="J48" s="18">
        <v>10</v>
      </c>
      <c r="K48" s="18">
        <v>10</v>
      </c>
      <c r="L48" s="18">
        <v>10</v>
      </c>
      <c r="M48" s="18">
        <v>10</v>
      </c>
      <c r="N48" s="18">
        <v>10</v>
      </c>
      <c r="O48" s="18">
        <v>10</v>
      </c>
      <c r="P48" s="18">
        <v>10</v>
      </c>
      <c r="Q48" s="18">
        <v>10</v>
      </c>
      <c r="R48" s="18">
        <f t="shared" si="0"/>
        <v>120</v>
      </c>
      <c r="S48" s="8">
        <f t="shared" si="1"/>
        <v>120</v>
      </c>
      <c r="U48" s="8">
        <f t="shared" si="2"/>
        <v>120</v>
      </c>
    </row>
    <row r="49" spans="1:26" ht="15.75" customHeight="1" x14ac:dyDescent="0.3">
      <c r="A49" s="18">
        <v>43</v>
      </c>
      <c r="B49" s="47" t="s">
        <v>153</v>
      </c>
      <c r="C49" s="50" t="s">
        <v>154</v>
      </c>
      <c r="D49" s="49" t="s">
        <v>155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>
        <f t="shared" si="0"/>
        <v>0</v>
      </c>
      <c r="S49" s="8">
        <f t="shared" si="1"/>
        <v>0</v>
      </c>
      <c r="U49" s="8">
        <f t="shared" si="2"/>
        <v>0</v>
      </c>
    </row>
    <row r="50" spans="1:26" ht="15.75" customHeight="1" x14ac:dyDescent="0.3">
      <c r="A50" s="18">
        <v>44</v>
      </c>
      <c r="B50" s="47" t="s">
        <v>156</v>
      </c>
      <c r="C50" s="50" t="s">
        <v>157</v>
      </c>
      <c r="D50" s="49" t="s">
        <v>158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>
        <f t="shared" si="0"/>
        <v>0</v>
      </c>
      <c r="S50" s="8">
        <f t="shared" si="1"/>
        <v>0</v>
      </c>
      <c r="U50" s="8">
        <f t="shared" si="2"/>
        <v>0</v>
      </c>
    </row>
    <row r="51" spans="1:26" ht="15.75" customHeight="1" x14ac:dyDescent="0.3">
      <c r="A51" s="18">
        <v>45</v>
      </c>
      <c r="B51" s="47" t="s">
        <v>159</v>
      </c>
      <c r="C51" s="53" t="s">
        <v>160</v>
      </c>
      <c r="D51" s="49" t="s">
        <v>161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>
        <f t="shared" si="0"/>
        <v>0</v>
      </c>
      <c r="S51" s="8">
        <f t="shared" si="1"/>
        <v>0</v>
      </c>
      <c r="U51" s="8">
        <f t="shared" si="2"/>
        <v>0</v>
      </c>
    </row>
    <row r="52" spans="1:26" ht="15.75" customHeight="1" x14ac:dyDescent="0.3">
      <c r="A52" s="18">
        <v>46</v>
      </c>
      <c r="B52" s="21" t="s">
        <v>162</v>
      </c>
      <c r="C52" s="18" t="s">
        <v>163</v>
      </c>
      <c r="D52" s="45" t="s">
        <v>164</v>
      </c>
      <c r="E52" s="18"/>
      <c r="F52" s="18">
        <v>10</v>
      </c>
      <c r="G52" s="18">
        <v>10</v>
      </c>
      <c r="H52" s="18">
        <v>10</v>
      </c>
      <c r="I52" s="18">
        <v>10</v>
      </c>
      <c r="J52" s="18">
        <v>10</v>
      </c>
      <c r="K52" s="18">
        <v>10</v>
      </c>
      <c r="L52" s="18">
        <v>10</v>
      </c>
      <c r="M52" s="18">
        <v>10</v>
      </c>
      <c r="N52" s="18">
        <v>10</v>
      </c>
      <c r="O52" s="18">
        <v>10</v>
      </c>
      <c r="P52" s="18">
        <v>10</v>
      </c>
      <c r="Q52" s="18">
        <v>10</v>
      </c>
      <c r="R52" s="18">
        <f t="shared" si="0"/>
        <v>120</v>
      </c>
      <c r="S52" s="8">
        <f t="shared" si="1"/>
        <v>120</v>
      </c>
      <c r="U52" s="8">
        <f t="shared" si="2"/>
        <v>120</v>
      </c>
      <c r="V52" s="8" t="s">
        <v>375</v>
      </c>
    </row>
    <row r="53" spans="1:26" ht="15.75" customHeight="1" x14ac:dyDescent="0.3">
      <c r="A53" s="18">
        <v>47</v>
      </c>
      <c r="B53" s="21" t="s">
        <v>165</v>
      </c>
      <c r="C53" s="32" t="s">
        <v>166</v>
      </c>
      <c r="D53" s="45" t="s">
        <v>167</v>
      </c>
      <c r="E53" s="18"/>
      <c r="F53" s="18">
        <v>10</v>
      </c>
      <c r="G53" s="18">
        <v>10</v>
      </c>
      <c r="H53" s="18">
        <v>10</v>
      </c>
      <c r="I53" s="18">
        <v>10</v>
      </c>
      <c r="J53" s="18">
        <v>10</v>
      </c>
      <c r="K53" s="18">
        <v>10</v>
      </c>
      <c r="L53" s="18">
        <v>10</v>
      </c>
      <c r="M53" s="18">
        <v>10</v>
      </c>
      <c r="N53" s="18">
        <v>10</v>
      </c>
      <c r="O53" s="18">
        <v>10</v>
      </c>
      <c r="P53" s="18">
        <v>10</v>
      </c>
      <c r="Q53" s="18">
        <v>10</v>
      </c>
      <c r="R53" s="18">
        <f t="shared" si="0"/>
        <v>120</v>
      </c>
      <c r="S53" s="8">
        <f t="shared" si="1"/>
        <v>120</v>
      </c>
      <c r="U53" s="8">
        <f t="shared" si="2"/>
        <v>120</v>
      </c>
    </row>
    <row r="54" spans="1:26" ht="15.75" customHeight="1" x14ac:dyDescent="0.3">
      <c r="A54" s="18">
        <v>48</v>
      </c>
      <c r="B54" s="21" t="s">
        <v>168</v>
      </c>
      <c r="C54" s="30" t="s">
        <v>169</v>
      </c>
      <c r="D54" s="45" t="s">
        <v>170</v>
      </c>
      <c r="E54" s="18"/>
      <c r="F54" s="18">
        <v>10</v>
      </c>
      <c r="G54" s="18">
        <v>10</v>
      </c>
      <c r="H54" s="18">
        <v>10</v>
      </c>
      <c r="I54" s="18">
        <v>10</v>
      </c>
      <c r="J54" s="18">
        <v>10</v>
      </c>
      <c r="K54" s="18">
        <v>10</v>
      </c>
      <c r="L54" s="18">
        <v>10</v>
      </c>
      <c r="M54" s="18">
        <v>10</v>
      </c>
      <c r="N54" s="18">
        <v>10</v>
      </c>
      <c r="O54" s="18">
        <v>10</v>
      </c>
      <c r="P54" s="18">
        <v>10</v>
      </c>
      <c r="Q54" s="18">
        <v>10</v>
      </c>
      <c r="R54" s="18">
        <f t="shared" si="0"/>
        <v>120</v>
      </c>
      <c r="S54" s="8">
        <f t="shared" si="1"/>
        <v>120</v>
      </c>
      <c r="U54" s="8">
        <f t="shared" si="2"/>
        <v>120</v>
      </c>
    </row>
    <row r="55" spans="1:26" ht="15.75" customHeight="1" x14ac:dyDescent="0.3">
      <c r="A55" s="18">
        <v>49</v>
      </c>
      <c r="B55" s="21" t="s">
        <v>171</v>
      </c>
      <c r="C55" s="30" t="s">
        <v>172</v>
      </c>
      <c r="D55" s="45" t="s">
        <v>173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>
        <f t="shared" si="0"/>
        <v>0</v>
      </c>
      <c r="S55" s="8">
        <f t="shared" si="1"/>
        <v>0</v>
      </c>
      <c r="T55" s="8">
        <f>R55+E55</f>
        <v>0</v>
      </c>
      <c r="U55" s="8">
        <f t="shared" si="2"/>
        <v>0</v>
      </c>
      <c r="V55" s="8"/>
      <c r="W55" s="8"/>
      <c r="X55" s="8"/>
      <c r="Y55" s="8"/>
      <c r="Z55" s="8"/>
    </row>
    <row r="56" spans="1:26" ht="15.75" customHeight="1" x14ac:dyDescent="0.3">
      <c r="A56" s="18">
        <v>50</v>
      </c>
      <c r="B56" s="21" t="s">
        <v>174</v>
      </c>
      <c r="C56" s="32" t="s">
        <v>175</v>
      </c>
      <c r="D56" s="45" t="s">
        <v>176</v>
      </c>
      <c r="E56" s="18"/>
      <c r="F56" s="18">
        <v>10</v>
      </c>
      <c r="G56" s="18">
        <v>10</v>
      </c>
      <c r="H56" s="18">
        <v>10</v>
      </c>
      <c r="I56" s="18">
        <v>10</v>
      </c>
      <c r="J56" s="18">
        <v>10</v>
      </c>
      <c r="K56" s="18">
        <v>10</v>
      </c>
      <c r="L56" s="18">
        <v>10</v>
      </c>
      <c r="M56" s="18">
        <v>10</v>
      </c>
      <c r="N56" s="18">
        <v>10</v>
      </c>
      <c r="O56" s="18">
        <v>10</v>
      </c>
      <c r="P56" s="18">
        <v>10</v>
      </c>
      <c r="Q56" s="18">
        <v>10</v>
      </c>
      <c r="R56" s="18">
        <f t="shared" si="0"/>
        <v>120</v>
      </c>
      <c r="S56" s="8">
        <f t="shared" si="1"/>
        <v>120</v>
      </c>
      <c r="T56" s="8"/>
      <c r="U56" s="8">
        <f t="shared" si="2"/>
        <v>120</v>
      </c>
      <c r="V56" s="8"/>
      <c r="W56" s="8"/>
      <c r="X56" s="8"/>
      <c r="Y56" s="8"/>
      <c r="Z56" s="8"/>
    </row>
    <row r="57" spans="1:26" ht="15.75" customHeight="1" x14ac:dyDescent="0.3">
      <c r="A57" s="18">
        <v>51</v>
      </c>
      <c r="B57" s="21" t="s">
        <v>177</v>
      </c>
      <c r="C57" s="18" t="s">
        <v>178</v>
      </c>
      <c r="D57" s="45" t="s">
        <v>179</v>
      </c>
      <c r="E57" s="18"/>
      <c r="F57" s="18">
        <v>10</v>
      </c>
      <c r="G57" s="18">
        <v>10</v>
      </c>
      <c r="H57" s="18">
        <v>10</v>
      </c>
      <c r="I57" s="18">
        <v>10</v>
      </c>
      <c r="J57" s="18">
        <v>10</v>
      </c>
      <c r="K57" s="18">
        <v>10</v>
      </c>
      <c r="L57" s="18">
        <v>10</v>
      </c>
      <c r="M57" s="18">
        <v>10</v>
      </c>
      <c r="N57" s="18">
        <v>10</v>
      </c>
      <c r="O57" s="18">
        <v>10</v>
      </c>
      <c r="P57" s="18">
        <v>10</v>
      </c>
      <c r="Q57" s="18">
        <v>10</v>
      </c>
      <c r="R57" s="46">
        <f t="shared" si="0"/>
        <v>120</v>
      </c>
      <c r="S57" s="8">
        <f t="shared" si="1"/>
        <v>120</v>
      </c>
      <c r="T57" s="8"/>
      <c r="U57" s="8">
        <f t="shared" si="2"/>
        <v>120</v>
      </c>
      <c r="V57" s="8" t="s">
        <v>363</v>
      </c>
      <c r="W57" s="8"/>
      <c r="X57" s="8"/>
      <c r="Y57" s="8"/>
      <c r="Z57" s="8"/>
    </row>
    <row r="58" spans="1:26" ht="15.75" customHeight="1" x14ac:dyDescent="0.3">
      <c r="A58" s="18">
        <v>52</v>
      </c>
      <c r="B58" s="21" t="s">
        <v>180</v>
      </c>
      <c r="C58" s="30" t="s">
        <v>181</v>
      </c>
      <c r="D58" s="45" t="s">
        <v>182</v>
      </c>
      <c r="E58" s="18"/>
      <c r="F58" s="18">
        <v>10</v>
      </c>
      <c r="G58" s="18">
        <v>10</v>
      </c>
      <c r="H58" s="18">
        <v>10</v>
      </c>
      <c r="I58" s="18">
        <v>10</v>
      </c>
      <c r="J58" s="18">
        <v>10</v>
      </c>
      <c r="K58" s="18">
        <v>10</v>
      </c>
      <c r="L58" s="18">
        <v>10</v>
      </c>
      <c r="M58" s="18">
        <v>10</v>
      </c>
      <c r="N58" s="18">
        <v>10</v>
      </c>
      <c r="O58" s="18">
        <v>10</v>
      </c>
      <c r="P58" s="18">
        <v>10</v>
      </c>
      <c r="Q58" s="18">
        <v>10</v>
      </c>
      <c r="R58" s="18">
        <f t="shared" si="0"/>
        <v>120</v>
      </c>
      <c r="S58" s="8">
        <f t="shared" si="1"/>
        <v>120</v>
      </c>
      <c r="T58" s="8"/>
      <c r="U58" s="8">
        <f t="shared" si="2"/>
        <v>120</v>
      </c>
      <c r="V58" s="8" t="s">
        <v>362</v>
      </c>
      <c r="W58" s="8"/>
      <c r="X58" s="8"/>
      <c r="Y58" s="8"/>
      <c r="Z58" s="8"/>
    </row>
    <row r="59" spans="1:26" ht="15.75" customHeight="1" x14ac:dyDescent="0.3">
      <c r="A59" s="18">
        <v>53</v>
      </c>
      <c r="B59" s="21" t="s">
        <v>183</v>
      </c>
      <c r="C59" s="30" t="s">
        <v>184</v>
      </c>
      <c r="D59" s="45" t="s">
        <v>185</v>
      </c>
      <c r="E59" s="18"/>
      <c r="F59" s="18">
        <v>10</v>
      </c>
      <c r="G59" s="18">
        <v>10</v>
      </c>
      <c r="H59" s="18">
        <v>10</v>
      </c>
      <c r="I59" s="18">
        <v>10</v>
      </c>
      <c r="J59" s="18">
        <v>10</v>
      </c>
      <c r="K59" s="18">
        <v>10</v>
      </c>
      <c r="L59" s="18">
        <v>10</v>
      </c>
      <c r="M59" s="18">
        <v>10</v>
      </c>
      <c r="N59" s="18">
        <v>10</v>
      </c>
      <c r="O59" s="18">
        <v>10</v>
      </c>
      <c r="P59" s="18">
        <v>10</v>
      </c>
      <c r="Q59" s="18">
        <v>10</v>
      </c>
      <c r="R59" s="46">
        <f t="shared" si="0"/>
        <v>120</v>
      </c>
      <c r="S59" s="8">
        <f t="shared" si="1"/>
        <v>120</v>
      </c>
      <c r="T59" s="8"/>
      <c r="U59" s="8">
        <f t="shared" si="2"/>
        <v>120</v>
      </c>
      <c r="V59" s="8" t="s">
        <v>363</v>
      </c>
      <c r="W59" s="8"/>
      <c r="X59" s="8"/>
      <c r="Y59" s="8"/>
      <c r="Z59" s="8"/>
    </row>
    <row r="60" spans="1:26" ht="15.75" customHeight="1" x14ac:dyDescent="0.3">
      <c r="A60" s="18">
        <v>54</v>
      </c>
      <c r="B60" s="21" t="s">
        <v>186</v>
      </c>
      <c r="C60" s="18" t="s">
        <v>187</v>
      </c>
      <c r="D60" s="45" t="s">
        <v>188</v>
      </c>
      <c r="E60" s="18"/>
      <c r="F60" s="18">
        <v>10</v>
      </c>
      <c r="G60" s="18">
        <v>10</v>
      </c>
      <c r="H60" s="18">
        <v>10</v>
      </c>
      <c r="I60" s="18">
        <v>10</v>
      </c>
      <c r="J60" s="18">
        <v>10</v>
      </c>
      <c r="K60" s="18">
        <v>10</v>
      </c>
      <c r="L60" s="18">
        <v>10</v>
      </c>
      <c r="M60" s="18">
        <v>10</v>
      </c>
      <c r="N60" s="18">
        <v>10</v>
      </c>
      <c r="O60" s="18">
        <v>10</v>
      </c>
      <c r="P60" s="18">
        <v>10</v>
      </c>
      <c r="Q60" s="18">
        <v>10</v>
      </c>
      <c r="R60" s="18">
        <f t="shared" si="0"/>
        <v>120</v>
      </c>
      <c r="S60" s="8">
        <f t="shared" si="1"/>
        <v>120</v>
      </c>
      <c r="T60" s="8"/>
      <c r="U60" s="8">
        <f t="shared" si="2"/>
        <v>120</v>
      </c>
      <c r="V60" s="8"/>
      <c r="W60" s="8"/>
      <c r="X60" s="8"/>
      <c r="Y60" s="8"/>
      <c r="Z60" s="8"/>
    </row>
    <row r="61" spans="1:26" ht="15.75" customHeight="1" x14ac:dyDescent="0.3">
      <c r="A61" s="18">
        <v>55</v>
      </c>
      <c r="B61" s="21" t="s">
        <v>190</v>
      </c>
      <c r="C61" s="30" t="s">
        <v>191</v>
      </c>
      <c r="D61" s="45" t="s">
        <v>192</v>
      </c>
      <c r="E61" s="18"/>
      <c r="F61" s="18">
        <v>10</v>
      </c>
      <c r="G61" s="18">
        <v>10</v>
      </c>
      <c r="H61" s="18">
        <v>10</v>
      </c>
      <c r="I61" s="18">
        <v>10</v>
      </c>
      <c r="J61" s="18">
        <v>10</v>
      </c>
      <c r="K61" s="18">
        <v>10</v>
      </c>
      <c r="L61" s="18">
        <v>10</v>
      </c>
      <c r="M61" s="18">
        <v>10</v>
      </c>
      <c r="N61" s="18">
        <v>10</v>
      </c>
      <c r="O61" s="18">
        <v>10</v>
      </c>
      <c r="P61" s="18">
        <v>10</v>
      </c>
      <c r="Q61" s="18">
        <v>10</v>
      </c>
      <c r="R61" s="18">
        <f t="shared" si="0"/>
        <v>120</v>
      </c>
      <c r="S61" s="8">
        <f t="shared" si="1"/>
        <v>120</v>
      </c>
      <c r="T61" s="8"/>
      <c r="U61" s="8">
        <f t="shared" si="2"/>
        <v>120</v>
      </c>
      <c r="V61" s="8"/>
      <c r="W61" s="8"/>
      <c r="X61" s="8"/>
      <c r="Y61" s="8"/>
      <c r="Z61" s="8"/>
    </row>
    <row r="62" spans="1:26" ht="15.75" customHeight="1" x14ac:dyDescent="0.3">
      <c r="A62" s="18">
        <v>56</v>
      </c>
      <c r="B62" s="21" t="s">
        <v>193</v>
      </c>
      <c r="C62" s="30" t="s">
        <v>194</v>
      </c>
      <c r="D62" s="45" t="s">
        <v>195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>
        <f t="shared" si="0"/>
        <v>0</v>
      </c>
      <c r="S62" s="8">
        <f t="shared" si="1"/>
        <v>0</v>
      </c>
      <c r="T62" s="8"/>
      <c r="U62" s="8">
        <f t="shared" si="2"/>
        <v>0</v>
      </c>
      <c r="V62" s="8"/>
      <c r="W62" s="8"/>
      <c r="X62" s="8"/>
      <c r="Y62" s="8"/>
      <c r="Z62" s="8"/>
    </row>
    <row r="63" spans="1:26" ht="15.75" customHeight="1" x14ac:dyDescent="0.3">
      <c r="A63" s="18">
        <v>57</v>
      </c>
      <c r="B63" s="21" t="s">
        <v>198</v>
      </c>
      <c r="C63" s="30" t="s">
        <v>199</v>
      </c>
      <c r="D63" s="45" t="s">
        <v>200</v>
      </c>
      <c r="E63" s="18"/>
      <c r="F63" s="18">
        <v>10</v>
      </c>
      <c r="G63" s="18">
        <v>10</v>
      </c>
      <c r="H63" s="18">
        <v>10</v>
      </c>
      <c r="I63" s="18">
        <v>10</v>
      </c>
      <c r="J63" s="18">
        <v>10</v>
      </c>
      <c r="K63" s="18">
        <v>10</v>
      </c>
      <c r="L63" s="18"/>
      <c r="M63" s="18"/>
      <c r="N63" s="18"/>
      <c r="O63" s="18"/>
      <c r="P63" s="18"/>
      <c r="Q63" s="18"/>
      <c r="R63" s="18">
        <f t="shared" si="0"/>
        <v>60</v>
      </c>
      <c r="S63" s="8">
        <f t="shared" si="1"/>
        <v>60</v>
      </c>
      <c r="T63" s="8">
        <f t="shared" ref="T63:T66" si="3">R63+E63</f>
        <v>60</v>
      </c>
      <c r="U63" s="8">
        <f t="shared" si="2"/>
        <v>0</v>
      </c>
      <c r="V63" s="8" t="s">
        <v>376</v>
      </c>
      <c r="W63" s="8"/>
      <c r="X63" s="8"/>
      <c r="Y63" s="8"/>
      <c r="Z63" s="8"/>
    </row>
    <row r="64" spans="1:26" ht="15.75" customHeight="1" x14ac:dyDescent="0.3">
      <c r="A64" s="18">
        <v>58</v>
      </c>
      <c r="B64" s="21" t="s">
        <v>202</v>
      </c>
      <c r="C64" s="32" t="s">
        <v>203</v>
      </c>
      <c r="D64" s="45" t="s">
        <v>204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>
        <f t="shared" si="0"/>
        <v>0</v>
      </c>
      <c r="S64" s="8">
        <f t="shared" si="1"/>
        <v>0</v>
      </c>
      <c r="T64" s="8">
        <f t="shared" si="3"/>
        <v>0</v>
      </c>
      <c r="U64" s="8">
        <f t="shared" si="2"/>
        <v>0</v>
      </c>
      <c r="V64" s="8"/>
      <c r="W64" s="8"/>
      <c r="X64" s="8"/>
      <c r="Y64" s="8"/>
      <c r="Z64" s="8"/>
    </row>
    <row r="65" spans="1:26" ht="15.75" customHeight="1" x14ac:dyDescent="0.3">
      <c r="A65" s="18">
        <v>59</v>
      </c>
      <c r="B65" s="21" t="s">
        <v>205</v>
      </c>
      <c r="C65" s="32" t="s">
        <v>206</v>
      </c>
      <c r="D65" s="45" t="s">
        <v>207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>
        <f t="shared" si="0"/>
        <v>0</v>
      </c>
      <c r="S65" s="8">
        <f t="shared" si="1"/>
        <v>0</v>
      </c>
      <c r="T65" s="8">
        <f t="shared" si="3"/>
        <v>0</v>
      </c>
      <c r="U65" s="8">
        <f t="shared" si="2"/>
        <v>0</v>
      </c>
      <c r="V65" s="8"/>
      <c r="W65" s="8"/>
      <c r="X65" s="8"/>
      <c r="Y65" s="8"/>
      <c r="Z65" s="8"/>
    </row>
    <row r="66" spans="1:26" ht="15.75" customHeight="1" x14ac:dyDescent="0.3">
      <c r="A66" s="18">
        <v>60</v>
      </c>
      <c r="B66" s="21" t="s">
        <v>208</v>
      </c>
      <c r="C66" s="32" t="s">
        <v>209</v>
      </c>
      <c r="D66" s="45" t="s">
        <v>210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>
        <f t="shared" si="0"/>
        <v>0</v>
      </c>
      <c r="S66" s="8">
        <f t="shared" si="1"/>
        <v>0</v>
      </c>
      <c r="T66" s="8">
        <f t="shared" si="3"/>
        <v>0</v>
      </c>
      <c r="U66" s="8">
        <f t="shared" si="2"/>
        <v>0</v>
      </c>
      <c r="V66" s="8"/>
      <c r="W66" s="8"/>
      <c r="X66" s="8"/>
      <c r="Y66" s="8"/>
      <c r="Z66" s="8"/>
    </row>
    <row r="67" spans="1:26" ht="15.75" customHeight="1" x14ac:dyDescent="0.3">
      <c r="A67" s="18">
        <v>61</v>
      </c>
      <c r="B67" s="21" t="s">
        <v>211</v>
      </c>
      <c r="C67" s="18" t="s">
        <v>212</v>
      </c>
      <c r="D67" s="45" t="s">
        <v>213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>
        <f t="shared" si="0"/>
        <v>0</v>
      </c>
      <c r="S67" s="8">
        <f t="shared" si="1"/>
        <v>0</v>
      </c>
      <c r="T67" s="8"/>
      <c r="U67" s="8">
        <f t="shared" si="2"/>
        <v>0</v>
      </c>
      <c r="V67" s="8"/>
      <c r="W67" s="8"/>
      <c r="X67" s="8"/>
      <c r="Y67" s="8"/>
      <c r="Z67" s="8"/>
    </row>
    <row r="68" spans="1:26" ht="15.75" customHeight="1" x14ac:dyDescent="0.3">
      <c r="A68" s="18">
        <v>62</v>
      </c>
      <c r="B68" s="21" t="s">
        <v>214</v>
      </c>
      <c r="C68" s="32" t="s">
        <v>215</v>
      </c>
      <c r="D68" s="45" t="s">
        <v>216</v>
      </c>
      <c r="E68" s="18"/>
      <c r="F68" s="18">
        <v>10</v>
      </c>
      <c r="G68" s="18">
        <v>10</v>
      </c>
      <c r="H68" s="18">
        <v>10</v>
      </c>
      <c r="I68" s="18">
        <v>10</v>
      </c>
      <c r="J68" s="18">
        <v>10</v>
      </c>
      <c r="K68" s="18">
        <v>10</v>
      </c>
      <c r="L68" s="18">
        <v>10</v>
      </c>
      <c r="M68" s="18">
        <v>10</v>
      </c>
      <c r="N68" s="18">
        <v>10</v>
      </c>
      <c r="O68" s="18">
        <v>10</v>
      </c>
      <c r="P68" s="18">
        <v>10</v>
      </c>
      <c r="Q68" s="18">
        <v>10</v>
      </c>
      <c r="R68" s="46">
        <f t="shared" si="0"/>
        <v>120</v>
      </c>
      <c r="S68" s="8">
        <f t="shared" si="1"/>
        <v>120</v>
      </c>
      <c r="T68" s="8"/>
      <c r="U68" s="8">
        <f t="shared" si="2"/>
        <v>120</v>
      </c>
      <c r="V68" s="8" t="s">
        <v>363</v>
      </c>
      <c r="W68" s="8"/>
      <c r="X68" s="8"/>
      <c r="Y68" s="8"/>
      <c r="Z68" s="8"/>
    </row>
    <row r="69" spans="1:26" ht="15.75" customHeight="1" x14ac:dyDescent="0.3">
      <c r="A69" s="18">
        <v>63</v>
      </c>
      <c r="B69" s="54" t="s">
        <v>217</v>
      </c>
      <c r="C69" s="55" t="s">
        <v>218</v>
      </c>
      <c r="D69" s="56" t="s">
        <v>219</v>
      </c>
      <c r="E69" s="57"/>
      <c r="F69" s="57">
        <v>10</v>
      </c>
      <c r="G69" s="57">
        <v>10</v>
      </c>
      <c r="H69" s="57">
        <v>10</v>
      </c>
      <c r="I69" s="57">
        <v>10</v>
      </c>
      <c r="J69" s="57">
        <v>10</v>
      </c>
      <c r="K69" s="57">
        <v>10</v>
      </c>
      <c r="L69" s="57">
        <v>10</v>
      </c>
      <c r="M69" s="57">
        <v>10</v>
      </c>
      <c r="N69" s="57">
        <v>10</v>
      </c>
      <c r="O69" s="57">
        <v>10</v>
      </c>
      <c r="P69" s="57">
        <v>10</v>
      </c>
      <c r="Q69" s="57">
        <v>10</v>
      </c>
      <c r="R69" s="57">
        <f>SUM(F69:Q69)</f>
        <v>120</v>
      </c>
      <c r="S69" s="58"/>
      <c r="T69" s="58" t="s">
        <v>377</v>
      </c>
      <c r="U69" s="58"/>
      <c r="V69" s="59"/>
      <c r="W69" s="8" t="s">
        <v>378</v>
      </c>
      <c r="X69" s="8"/>
      <c r="Y69" s="8"/>
      <c r="Z69" s="8"/>
    </row>
    <row r="70" spans="1:26" ht="15.75" customHeight="1" x14ac:dyDescent="0.3">
      <c r="A70" s="18">
        <v>64</v>
      </c>
      <c r="B70" s="21" t="s">
        <v>220</v>
      </c>
      <c r="C70" s="18" t="s">
        <v>221</v>
      </c>
      <c r="D70" s="45" t="s">
        <v>222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>
        <f>SUM(E70:Q70)</f>
        <v>0</v>
      </c>
      <c r="S70" s="8">
        <f>R70</f>
        <v>0</v>
      </c>
      <c r="T70" s="8">
        <f>R70+E70</f>
        <v>0</v>
      </c>
      <c r="U70" s="8">
        <f>IF(R70=120,(R70+E70),0)</f>
        <v>0</v>
      </c>
      <c r="V70" s="8"/>
      <c r="W70" s="8"/>
      <c r="X70" s="8"/>
      <c r="Y70" s="8"/>
      <c r="Z70" s="8"/>
    </row>
    <row r="71" spans="1:26" ht="15.75" customHeight="1" x14ac:dyDescent="0.3">
      <c r="A71" s="18">
        <v>65</v>
      </c>
      <c r="B71" s="60" t="s">
        <v>223</v>
      </c>
      <c r="C71" s="61" t="s">
        <v>224</v>
      </c>
      <c r="D71" s="62" t="s">
        <v>225</v>
      </c>
      <c r="E71" s="63"/>
      <c r="F71" s="57">
        <v>10</v>
      </c>
      <c r="G71" s="57">
        <v>10</v>
      </c>
      <c r="H71" s="57">
        <v>10</v>
      </c>
      <c r="I71" s="57">
        <v>10</v>
      </c>
      <c r="J71" s="57">
        <v>10</v>
      </c>
      <c r="K71" s="57">
        <v>10</v>
      </c>
      <c r="L71" s="57">
        <v>10</v>
      </c>
      <c r="M71" s="57">
        <v>10</v>
      </c>
      <c r="N71" s="57">
        <v>10</v>
      </c>
      <c r="O71" s="57">
        <v>10</v>
      </c>
      <c r="P71" s="57">
        <v>10</v>
      </c>
      <c r="Q71" s="57">
        <v>10</v>
      </c>
      <c r="R71" s="57">
        <f>SUM(F71:Q71)</f>
        <v>120</v>
      </c>
      <c r="S71" s="58"/>
      <c r="T71" s="58" t="s">
        <v>379</v>
      </c>
      <c r="U71" s="58"/>
      <c r="V71" s="64"/>
      <c r="W71" s="8"/>
      <c r="X71" s="8"/>
      <c r="Y71" s="8"/>
      <c r="Z71" s="8"/>
    </row>
    <row r="72" spans="1:26" ht="15.75" customHeight="1" x14ac:dyDescent="0.3">
      <c r="A72" s="18">
        <v>66</v>
      </c>
      <c r="B72" s="21" t="s">
        <v>226</v>
      </c>
      <c r="C72" s="18" t="s">
        <v>227</v>
      </c>
      <c r="D72" s="45" t="s">
        <v>228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>
        <f t="shared" ref="R72:R86" si="4">SUM(E72:Q72)</f>
        <v>0</v>
      </c>
      <c r="S72" s="8">
        <f t="shared" ref="S72:S141" si="5">R72</f>
        <v>0</v>
      </c>
      <c r="T72" s="8">
        <f t="shared" ref="T72:T73" si="6">R72+E72</f>
        <v>0</v>
      </c>
      <c r="U72" s="8">
        <f t="shared" ref="U72:U139" si="7">IF(R72=120,(R72+E72),0)</f>
        <v>0</v>
      </c>
    </row>
    <row r="73" spans="1:26" ht="15.75" customHeight="1" x14ac:dyDescent="0.3">
      <c r="A73" s="18">
        <v>67</v>
      </c>
      <c r="B73" s="21" t="s">
        <v>230</v>
      </c>
      <c r="C73" s="32" t="s">
        <v>231</v>
      </c>
      <c r="D73" s="45" t="s">
        <v>232</v>
      </c>
      <c r="E73" s="18"/>
      <c r="F73" s="18">
        <v>10</v>
      </c>
      <c r="G73" s="18">
        <v>10</v>
      </c>
      <c r="H73" s="18">
        <v>10</v>
      </c>
      <c r="I73" s="18">
        <v>10</v>
      </c>
      <c r="J73" s="18">
        <v>10</v>
      </c>
      <c r="K73" s="18">
        <v>10</v>
      </c>
      <c r="L73" s="18">
        <v>10</v>
      </c>
      <c r="M73" s="18">
        <v>10</v>
      </c>
      <c r="N73" s="18">
        <v>10</v>
      </c>
      <c r="O73" s="18">
        <v>10</v>
      </c>
      <c r="P73" s="18">
        <v>10</v>
      </c>
      <c r="Q73" s="18">
        <v>10</v>
      </c>
      <c r="R73" s="18">
        <f t="shared" si="4"/>
        <v>120</v>
      </c>
      <c r="S73" s="8">
        <f t="shared" si="5"/>
        <v>120</v>
      </c>
      <c r="T73" s="8">
        <f t="shared" si="6"/>
        <v>120</v>
      </c>
      <c r="U73" s="8">
        <f t="shared" si="7"/>
        <v>120</v>
      </c>
    </row>
    <row r="74" spans="1:26" ht="15.75" customHeight="1" x14ac:dyDescent="0.3">
      <c r="A74" s="18">
        <v>68</v>
      </c>
      <c r="B74" s="21" t="s">
        <v>233</v>
      </c>
      <c r="C74" s="18" t="s">
        <v>234</v>
      </c>
      <c r="D74" s="45" t="s">
        <v>235</v>
      </c>
      <c r="E74" s="18"/>
      <c r="F74" s="18">
        <v>10</v>
      </c>
      <c r="G74" s="18">
        <v>10</v>
      </c>
      <c r="H74" s="18">
        <v>10</v>
      </c>
      <c r="I74" s="18">
        <v>10</v>
      </c>
      <c r="J74" s="18">
        <v>10</v>
      </c>
      <c r="K74" s="18">
        <v>10</v>
      </c>
      <c r="L74" s="18">
        <v>10</v>
      </c>
      <c r="M74" s="18">
        <v>10</v>
      </c>
      <c r="N74" s="18">
        <v>10</v>
      </c>
      <c r="O74" s="18">
        <v>10</v>
      </c>
      <c r="P74" s="18">
        <v>10</v>
      </c>
      <c r="Q74" s="18">
        <v>10</v>
      </c>
      <c r="R74" s="18">
        <f t="shared" si="4"/>
        <v>120</v>
      </c>
      <c r="S74" s="8">
        <f t="shared" si="5"/>
        <v>120</v>
      </c>
      <c r="U74" s="8">
        <f t="shared" si="7"/>
        <v>120</v>
      </c>
    </row>
    <row r="75" spans="1:26" ht="15.75" customHeight="1" x14ac:dyDescent="0.3">
      <c r="A75" s="18">
        <v>69</v>
      </c>
      <c r="B75" s="21" t="s">
        <v>236</v>
      </c>
      <c r="C75" s="18" t="s">
        <v>237</v>
      </c>
      <c r="D75" s="45" t="s">
        <v>238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>
        <f t="shared" si="4"/>
        <v>0</v>
      </c>
      <c r="S75" s="8">
        <f t="shared" si="5"/>
        <v>0</v>
      </c>
      <c r="U75" s="8">
        <f t="shared" si="7"/>
        <v>0</v>
      </c>
    </row>
    <row r="76" spans="1:26" ht="15.75" customHeight="1" x14ac:dyDescent="0.3">
      <c r="A76" s="18">
        <v>70</v>
      </c>
      <c r="B76" s="21" t="s">
        <v>239</v>
      </c>
      <c r="C76" s="32" t="s">
        <v>240</v>
      </c>
      <c r="D76" s="45" t="s">
        <v>241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>
        <f t="shared" si="4"/>
        <v>0</v>
      </c>
      <c r="S76" s="8">
        <f t="shared" si="5"/>
        <v>0</v>
      </c>
      <c r="U76" s="8">
        <f t="shared" si="7"/>
        <v>0</v>
      </c>
    </row>
    <row r="77" spans="1:26" ht="15.75" customHeight="1" x14ac:dyDescent="0.3">
      <c r="A77" s="18">
        <v>71</v>
      </c>
      <c r="B77" s="21" t="s">
        <v>242</v>
      </c>
      <c r="C77" s="18" t="s">
        <v>243</v>
      </c>
      <c r="D77" s="45" t="s">
        <v>244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>
        <f t="shared" si="4"/>
        <v>0</v>
      </c>
      <c r="S77" s="8">
        <f t="shared" si="5"/>
        <v>0</v>
      </c>
      <c r="U77" s="8">
        <f t="shared" si="7"/>
        <v>0</v>
      </c>
    </row>
    <row r="78" spans="1:26" ht="15.75" customHeight="1" x14ac:dyDescent="0.3">
      <c r="A78" s="18">
        <v>72</v>
      </c>
      <c r="B78" s="21" t="s">
        <v>245</v>
      </c>
      <c r="C78" s="18" t="s">
        <v>246</v>
      </c>
      <c r="D78" s="45" t="s">
        <v>247</v>
      </c>
      <c r="E78" s="18"/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f t="shared" si="4"/>
        <v>120</v>
      </c>
      <c r="S78" s="8">
        <f t="shared" si="5"/>
        <v>120</v>
      </c>
      <c r="U78" s="8">
        <f t="shared" si="7"/>
        <v>120</v>
      </c>
    </row>
    <row r="79" spans="1:26" ht="15.75" customHeight="1" x14ac:dyDescent="0.3">
      <c r="A79" s="18">
        <v>73</v>
      </c>
      <c r="B79" s="21" t="s">
        <v>248</v>
      </c>
      <c r="C79" s="18" t="s">
        <v>249</v>
      </c>
      <c r="D79" s="45" t="s">
        <v>250</v>
      </c>
      <c r="E79" s="18"/>
      <c r="F79" s="18">
        <v>10</v>
      </c>
      <c r="G79" s="18">
        <v>10</v>
      </c>
      <c r="H79" s="18">
        <v>10</v>
      </c>
      <c r="I79" s="18">
        <v>10</v>
      </c>
      <c r="J79" s="18">
        <v>10</v>
      </c>
      <c r="K79" s="18">
        <v>10</v>
      </c>
      <c r="L79" s="18">
        <v>10</v>
      </c>
      <c r="M79" s="18">
        <v>10</v>
      </c>
      <c r="N79" s="18">
        <v>10</v>
      </c>
      <c r="O79" s="18">
        <v>10</v>
      </c>
      <c r="P79" s="18">
        <v>10</v>
      </c>
      <c r="Q79" s="18">
        <v>10</v>
      </c>
      <c r="R79" s="18">
        <f t="shared" si="4"/>
        <v>120</v>
      </c>
      <c r="S79" s="8">
        <f t="shared" si="5"/>
        <v>120</v>
      </c>
      <c r="U79" s="8">
        <f t="shared" si="7"/>
        <v>120</v>
      </c>
    </row>
    <row r="80" spans="1:26" ht="15.75" customHeight="1" x14ac:dyDescent="0.3">
      <c r="A80" s="18">
        <v>74</v>
      </c>
      <c r="B80" s="21" t="s">
        <v>251</v>
      </c>
      <c r="C80" s="18" t="s">
        <v>252</v>
      </c>
      <c r="D80" s="45" t="s">
        <v>253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>
        <f t="shared" si="4"/>
        <v>0</v>
      </c>
      <c r="S80" s="8">
        <f t="shared" si="5"/>
        <v>0</v>
      </c>
      <c r="U80" s="8">
        <f t="shared" si="7"/>
        <v>0</v>
      </c>
    </row>
    <row r="81" spans="1:22" ht="15.75" customHeight="1" x14ac:dyDescent="0.3">
      <c r="A81" s="18">
        <v>75</v>
      </c>
      <c r="B81" s="21" t="s">
        <v>254</v>
      </c>
      <c r="C81" s="18" t="s">
        <v>255</v>
      </c>
      <c r="D81" s="45" t="s">
        <v>256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>
        <f t="shared" si="4"/>
        <v>0</v>
      </c>
      <c r="S81" s="8">
        <f t="shared" si="5"/>
        <v>0</v>
      </c>
      <c r="U81" s="8">
        <f t="shared" si="7"/>
        <v>0</v>
      </c>
    </row>
    <row r="82" spans="1:22" ht="15.75" customHeight="1" x14ac:dyDescent="0.3">
      <c r="A82" s="18">
        <v>76</v>
      </c>
      <c r="B82" s="21" t="s">
        <v>257</v>
      </c>
      <c r="C82" s="18" t="s">
        <v>258</v>
      </c>
      <c r="D82" s="45" t="s">
        <v>259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>
        <f t="shared" si="4"/>
        <v>0</v>
      </c>
      <c r="S82" s="8">
        <f t="shared" si="5"/>
        <v>0</v>
      </c>
      <c r="U82" s="8">
        <f t="shared" si="7"/>
        <v>0</v>
      </c>
    </row>
    <row r="83" spans="1:22" ht="15.75" customHeight="1" x14ac:dyDescent="0.3">
      <c r="A83" s="18">
        <v>77</v>
      </c>
      <c r="B83" s="21" t="s">
        <v>260</v>
      </c>
      <c r="C83" s="30" t="s">
        <v>261</v>
      </c>
      <c r="D83" s="45" t="s">
        <v>262</v>
      </c>
      <c r="E83" s="18"/>
      <c r="F83" s="18">
        <v>10</v>
      </c>
      <c r="G83" s="18">
        <v>10</v>
      </c>
      <c r="H83" s="18">
        <v>10</v>
      </c>
      <c r="I83" s="18">
        <v>10</v>
      </c>
      <c r="J83" s="18">
        <v>10</v>
      </c>
      <c r="K83" s="18">
        <v>10</v>
      </c>
      <c r="L83" s="18">
        <v>10</v>
      </c>
      <c r="M83" s="18">
        <v>10</v>
      </c>
      <c r="N83" s="18">
        <v>10</v>
      </c>
      <c r="O83" s="18"/>
      <c r="P83" s="18"/>
      <c r="Q83" s="18"/>
      <c r="R83" s="18">
        <f t="shared" si="4"/>
        <v>90</v>
      </c>
      <c r="S83" s="8">
        <f t="shared" si="5"/>
        <v>90</v>
      </c>
      <c r="U83" s="8">
        <f t="shared" si="7"/>
        <v>0</v>
      </c>
      <c r="V83" s="8" t="s">
        <v>380</v>
      </c>
    </row>
    <row r="84" spans="1:22" ht="15.75" customHeight="1" x14ac:dyDescent="0.3">
      <c r="A84" s="18">
        <v>78</v>
      </c>
      <c r="B84" s="21" t="s">
        <v>263</v>
      </c>
      <c r="C84" s="18" t="s">
        <v>264</v>
      </c>
      <c r="D84" s="45" t="s">
        <v>265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>
        <f t="shared" si="4"/>
        <v>0</v>
      </c>
      <c r="S84" s="8">
        <f t="shared" si="5"/>
        <v>0</v>
      </c>
      <c r="U84" s="8">
        <f t="shared" si="7"/>
        <v>0</v>
      </c>
    </row>
    <row r="85" spans="1:22" ht="15.75" customHeight="1" x14ac:dyDescent="0.3">
      <c r="A85" s="18">
        <v>79</v>
      </c>
      <c r="B85" s="21" t="s">
        <v>266</v>
      </c>
      <c r="C85" s="32" t="s">
        <v>267</v>
      </c>
      <c r="D85" s="45" t="s">
        <v>45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>
        <f t="shared" si="4"/>
        <v>0</v>
      </c>
      <c r="S85" s="8">
        <f t="shared" si="5"/>
        <v>0</v>
      </c>
      <c r="U85" s="8">
        <f t="shared" si="7"/>
        <v>0</v>
      </c>
    </row>
    <row r="86" spans="1:22" ht="15.75" customHeight="1" x14ac:dyDescent="0.3">
      <c r="A86" s="18">
        <v>80</v>
      </c>
      <c r="B86" s="21" t="s">
        <v>268</v>
      </c>
      <c r="C86" s="30" t="s">
        <v>269</v>
      </c>
      <c r="D86" s="45" t="s">
        <v>270</v>
      </c>
      <c r="E86" s="18"/>
      <c r="F86" s="18">
        <v>10</v>
      </c>
      <c r="G86" s="18">
        <v>10</v>
      </c>
      <c r="H86" s="18">
        <v>10</v>
      </c>
      <c r="I86" s="18">
        <v>10</v>
      </c>
      <c r="J86" s="18">
        <v>10</v>
      </c>
      <c r="K86" s="18">
        <v>10</v>
      </c>
      <c r="L86" s="18">
        <v>10</v>
      </c>
      <c r="M86" s="18">
        <v>10</v>
      </c>
      <c r="N86" s="18">
        <v>10</v>
      </c>
      <c r="O86" s="18">
        <v>10</v>
      </c>
      <c r="P86" s="18">
        <v>10</v>
      </c>
      <c r="Q86" s="18">
        <v>10</v>
      </c>
      <c r="R86" s="18">
        <f t="shared" si="4"/>
        <v>120</v>
      </c>
      <c r="S86" s="8">
        <f t="shared" si="5"/>
        <v>120</v>
      </c>
      <c r="U86" s="8">
        <f t="shared" si="7"/>
        <v>120</v>
      </c>
    </row>
    <row r="87" spans="1:22" ht="15.75" customHeight="1" x14ac:dyDescent="0.3">
      <c r="A87" s="18">
        <v>81</v>
      </c>
      <c r="B87" s="21" t="s">
        <v>272</v>
      </c>
      <c r="C87" s="18" t="s">
        <v>381</v>
      </c>
      <c r="D87" s="45" t="s">
        <v>382</v>
      </c>
      <c r="E87" s="18">
        <v>20</v>
      </c>
      <c r="F87" s="18">
        <v>10</v>
      </c>
      <c r="G87" s="18">
        <v>10</v>
      </c>
      <c r="H87" s="18">
        <v>10</v>
      </c>
      <c r="I87" s="18">
        <v>10</v>
      </c>
      <c r="J87" s="18">
        <v>10</v>
      </c>
      <c r="K87" s="18">
        <v>10</v>
      </c>
      <c r="L87" s="18">
        <v>10</v>
      </c>
      <c r="M87" s="18">
        <v>10</v>
      </c>
      <c r="N87" s="18">
        <v>10</v>
      </c>
      <c r="O87" s="18">
        <v>10</v>
      </c>
      <c r="P87" s="18">
        <v>10</v>
      </c>
      <c r="Q87" s="18">
        <v>10</v>
      </c>
      <c r="R87" s="18">
        <f>SUM(F87:Q87)</f>
        <v>120</v>
      </c>
      <c r="S87" s="8">
        <f t="shared" si="5"/>
        <v>120</v>
      </c>
      <c r="U87" s="8">
        <f t="shared" si="7"/>
        <v>140</v>
      </c>
      <c r="V87" s="8" t="s">
        <v>371</v>
      </c>
    </row>
    <row r="88" spans="1:22" ht="15.75" customHeight="1" x14ac:dyDescent="0.3">
      <c r="A88" s="18">
        <v>82</v>
      </c>
      <c r="B88" s="21" t="s">
        <v>273</v>
      </c>
      <c r="C88" s="18" t="s">
        <v>383</v>
      </c>
      <c r="D88" s="45" t="s">
        <v>384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>
        <f>SUM(E88:Q88)</f>
        <v>0</v>
      </c>
      <c r="S88" s="8">
        <f t="shared" si="5"/>
        <v>0</v>
      </c>
      <c r="U88" s="8">
        <f t="shared" si="7"/>
        <v>0</v>
      </c>
    </row>
    <row r="89" spans="1:22" ht="15.75" customHeight="1" x14ac:dyDescent="0.3">
      <c r="A89" s="18">
        <v>83</v>
      </c>
      <c r="B89" s="21" t="s">
        <v>274</v>
      </c>
      <c r="C89" s="30" t="s">
        <v>275</v>
      </c>
      <c r="D89" s="45" t="s">
        <v>276</v>
      </c>
      <c r="E89" s="18"/>
      <c r="F89" s="18">
        <v>10</v>
      </c>
      <c r="G89" s="18">
        <v>10</v>
      </c>
      <c r="H89" s="18">
        <v>10</v>
      </c>
      <c r="I89" s="18">
        <v>10</v>
      </c>
      <c r="J89" s="18">
        <v>10</v>
      </c>
      <c r="K89" s="18">
        <v>10</v>
      </c>
      <c r="L89" s="18">
        <v>10</v>
      </c>
      <c r="M89" s="18">
        <v>10</v>
      </c>
      <c r="N89" s="18">
        <v>10</v>
      </c>
      <c r="O89" s="18">
        <v>10</v>
      </c>
      <c r="P89" s="18">
        <v>10</v>
      </c>
      <c r="Q89" s="18">
        <v>10</v>
      </c>
      <c r="R89" s="46">
        <f>SUM(F89:Q89)</f>
        <v>120</v>
      </c>
      <c r="S89" s="8">
        <f t="shared" si="5"/>
        <v>120</v>
      </c>
      <c r="U89" s="8">
        <f t="shared" si="7"/>
        <v>120</v>
      </c>
      <c r="V89" s="8" t="s">
        <v>363</v>
      </c>
    </row>
    <row r="90" spans="1:22" ht="15.75" customHeight="1" x14ac:dyDescent="0.3">
      <c r="A90" s="18">
        <v>84</v>
      </c>
      <c r="B90" s="21" t="s">
        <v>277</v>
      </c>
      <c r="C90" s="32" t="s">
        <v>385</v>
      </c>
      <c r="D90" s="45" t="s">
        <v>386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>
        <f t="shared" ref="R90:R93" si="8">SUM(E90:Q90)</f>
        <v>0</v>
      </c>
      <c r="S90" s="8">
        <f t="shared" si="5"/>
        <v>0</v>
      </c>
      <c r="U90" s="8">
        <f t="shared" si="7"/>
        <v>0</v>
      </c>
      <c r="V90" s="8" t="s">
        <v>387</v>
      </c>
    </row>
    <row r="91" spans="1:22" ht="15.75" customHeight="1" x14ac:dyDescent="0.3">
      <c r="A91" s="18">
        <v>85</v>
      </c>
      <c r="B91" s="21" t="s">
        <v>278</v>
      </c>
      <c r="C91" s="46" t="s">
        <v>388</v>
      </c>
      <c r="D91" s="65" t="s">
        <v>354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>
        <f t="shared" si="8"/>
        <v>0</v>
      </c>
      <c r="S91" s="8">
        <f t="shared" si="5"/>
        <v>0</v>
      </c>
      <c r="U91" s="8">
        <f t="shared" si="7"/>
        <v>0</v>
      </c>
    </row>
    <row r="92" spans="1:22" ht="15.75" customHeight="1" x14ac:dyDescent="0.3">
      <c r="A92" s="18">
        <v>86</v>
      </c>
      <c r="B92" s="21" t="s">
        <v>279</v>
      </c>
      <c r="C92" s="32" t="s">
        <v>389</v>
      </c>
      <c r="D92" s="45" t="s">
        <v>390</v>
      </c>
      <c r="E92" s="18"/>
      <c r="F92" s="18">
        <v>10</v>
      </c>
      <c r="G92" s="18">
        <v>10</v>
      </c>
      <c r="H92" s="18">
        <v>10</v>
      </c>
      <c r="I92" s="18">
        <v>10</v>
      </c>
      <c r="J92" s="18">
        <v>10</v>
      </c>
      <c r="K92" s="18">
        <v>10</v>
      </c>
      <c r="L92" s="18">
        <v>10</v>
      </c>
      <c r="M92" s="18">
        <v>10</v>
      </c>
      <c r="N92" s="18">
        <v>10</v>
      </c>
      <c r="O92" s="18">
        <v>10</v>
      </c>
      <c r="P92" s="18"/>
      <c r="Q92" s="18"/>
      <c r="R92" s="18">
        <f t="shared" si="8"/>
        <v>100</v>
      </c>
      <c r="S92" s="8">
        <f t="shared" si="5"/>
        <v>100</v>
      </c>
      <c r="U92" s="8">
        <f t="shared" si="7"/>
        <v>0</v>
      </c>
    </row>
    <row r="93" spans="1:22" ht="15.75" customHeight="1" x14ac:dyDescent="0.3">
      <c r="A93" s="18">
        <v>87</v>
      </c>
      <c r="B93" s="21" t="s">
        <v>280</v>
      </c>
      <c r="C93" s="18"/>
      <c r="D93" s="45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>
        <f t="shared" si="8"/>
        <v>0</v>
      </c>
      <c r="S93" s="8">
        <f t="shared" si="5"/>
        <v>0</v>
      </c>
      <c r="U93" s="8">
        <f t="shared" si="7"/>
        <v>0</v>
      </c>
    </row>
    <row r="94" spans="1:22" ht="15.75" customHeight="1" x14ac:dyDescent="0.3">
      <c r="A94" s="18">
        <v>88</v>
      </c>
      <c r="B94" s="21" t="s">
        <v>281</v>
      </c>
      <c r="C94" s="30" t="s">
        <v>282</v>
      </c>
      <c r="D94" s="45" t="s">
        <v>283</v>
      </c>
      <c r="E94" s="18"/>
      <c r="F94" s="18">
        <v>10</v>
      </c>
      <c r="G94" s="18">
        <v>10</v>
      </c>
      <c r="H94" s="18">
        <v>10</v>
      </c>
      <c r="I94" s="18">
        <v>10</v>
      </c>
      <c r="J94" s="18">
        <v>10</v>
      </c>
      <c r="K94" s="18">
        <v>10</v>
      </c>
      <c r="L94" s="18">
        <v>10</v>
      </c>
      <c r="M94" s="18">
        <v>10</v>
      </c>
      <c r="N94" s="18">
        <v>10</v>
      </c>
      <c r="O94" s="18">
        <v>10</v>
      </c>
      <c r="P94" s="18">
        <v>10</v>
      </c>
      <c r="Q94" s="18">
        <v>10</v>
      </c>
      <c r="R94" s="46">
        <f>SUM(F94:Q94)</f>
        <v>120</v>
      </c>
      <c r="S94" s="8">
        <f t="shared" si="5"/>
        <v>120</v>
      </c>
      <c r="U94" s="8">
        <f t="shared" si="7"/>
        <v>120</v>
      </c>
    </row>
    <row r="95" spans="1:22" ht="15.75" customHeight="1" x14ac:dyDescent="0.3">
      <c r="A95" s="18">
        <v>89</v>
      </c>
      <c r="B95" s="21" t="s">
        <v>284</v>
      </c>
      <c r="C95" s="18"/>
      <c r="D95" s="45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>
        <f t="shared" ref="R95:R141" si="9">SUM(E95:Q95)</f>
        <v>0</v>
      </c>
      <c r="S95" s="8">
        <f t="shared" si="5"/>
        <v>0</v>
      </c>
      <c r="U95" s="8">
        <f t="shared" si="7"/>
        <v>0</v>
      </c>
    </row>
    <row r="96" spans="1:22" ht="15.75" customHeight="1" x14ac:dyDescent="0.3">
      <c r="A96" s="18">
        <v>90</v>
      </c>
      <c r="B96" s="21" t="s">
        <v>285</v>
      </c>
      <c r="C96" s="18"/>
      <c r="D96" s="45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>
        <f t="shared" si="9"/>
        <v>0</v>
      </c>
      <c r="S96" s="8">
        <f t="shared" si="5"/>
        <v>0</v>
      </c>
      <c r="U96" s="8">
        <f t="shared" si="7"/>
        <v>0</v>
      </c>
    </row>
    <row r="97" spans="1:22" ht="15.75" customHeight="1" x14ac:dyDescent="0.3">
      <c r="A97" s="18">
        <v>91</v>
      </c>
      <c r="B97" s="21" t="s">
        <v>286</v>
      </c>
      <c r="C97" s="18"/>
      <c r="D97" s="45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>
        <f t="shared" si="9"/>
        <v>0</v>
      </c>
      <c r="S97" s="8">
        <f t="shared" si="5"/>
        <v>0</v>
      </c>
      <c r="U97" s="8">
        <f t="shared" si="7"/>
        <v>0</v>
      </c>
    </row>
    <row r="98" spans="1:22" ht="15.75" customHeight="1" x14ac:dyDescent="0.3">
      <c r="A98" s="18">
        <v>92</v>
      </c>
      <c r="B98" s="21" t="s">
        <v>287</v>
      </c>
      <c r="C98" s="18"/>
      <c r="D98" s="45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>
        <f t="shared" si="9"/>
        <v>0</v>
      </c>
      <c r="S98" s="8">
        <f t="shared" si="5"/>
        <v>0</v>
      </c>
      <c r="U98" s="8">
        <f t="shared" si="7"/>
        <v>0</v>
      </c>
    </row>
    <row r="99" spans="1:22" ht="15.75" customHeight="1" x14ac:dyDescent="0.3">
      <c r="A99" s="18">
        <v>93</v>
      </c>
      <c r="B99" s="21" t="s">
        <v>288</v>
      </c>
      <c r="C99" s="18"/>
      <c r="D99" s="45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>
        <f t="shared" si="9"/>
        <v>0</v>
      </c>
      <c r="S99" s="8">
        <f t="shared" si="5"/>
        <v>0</v>
      </c>
      <c r="U99" s="8">
        <f t="shared" si="7"/>
        <v>0</v>
      </c>
    </row>
    <row r="100" spans="1:22" ht="15.75" customHeight="1" x14ac:dyDescent="0.3">
      <c r="A100" s="18">
        <v>94</v>
      </c>
      <c r="B100" s="21" t="s">
        <v>289</v>
      </c>
      <c r="C100" s="18"/>
      <c r="D100" s="45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>
        <f t="shared" si="9"/>
        <v>0</v>
      </c>
      <c r="S100" s="8">
        <f t="shared" si="5"/>
        <v>0</v>
      </c>
      <c r="U100" s="8">
        <f t="shared" si="7"/>
        <v>0</v>
      </c>
    </row>
    <row r="101" spans="1:22" ht="15.75" customHeight="1" x14ac:dyDescent="0.3">
      <c r="A101" s="18">
        <v>95</v>
      </c>
      <c r="B101" s="21" t="s">
        <v>290</v>
      </c>
      <c r="C101" s="18"/>
      <c r="D101" s="45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>
        <f t="shared" si="9"/>
        <v>0</v>
      </c>
      <c r="S101" s="8">
        <f t="shared" si="5"/>
        <v>0</v>
      </c>
      <c r="U101" s="8">
        <f t="shared" si="7"/>
        <v>0</v>
      </c>
    </row>
    <row r="102" spans="1:22" ht="15.75" customHeight="1" x14ac:dyDescent="0.3">
      <c r="A102" s="18">
        <v>96</v>
      </c>
      <c r="B102" s="21" t="s">
        <v>291</v>
      </c>
      <c r="C102" s="18"/>
      <c r="D102" s="45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>
        <f t="shared" si="9"/>
        <v>0</v>
      </c>
      <c r="S102" s="8">
        <f t="shared" si="5"/>
        <v>0</v>
      </c>
      <c r="U102" s="8">
        <f t="shared" si="7"/>
        <v>0</v>
      </c>
    </row>
    <row r="103" spans="1:22" ht="15.75" customHeight="1" x14ac:dyDescent="0.3">
      <c r="A103" s="18">
        <v>97</v>
      </c>
      <c r="B103" s="21" t="s">
        <v>292</v>
      </c>
      <c r="C103" s="18"/>
      <c r="D103" s="45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>
        <f t="shared" si="9"/>
        <v>0</v>
      </c>
      <c r="S103" s="8">
        <f t="shared" si="5"/>
        <v>0</v>
      </c>
      <c r="U103" s="8">
        <f t="shared" si="7"/>
        <v>0</v>
      </c>
    </row>
    <row r="104" spans="1:22" ht="15.75" customHeight="1" x14ac:dyDescent="0.3">
      <c r="A104" s="18">
        <v>98</v>
      </c>
      <c r="B104" s="21" t="s">
        <v>293</v>
      </c>
      <c r="C104" s="18"/>
      <c r="D104" s="45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>
        <f t="shared" si="9"/>
        <v>0</v>
      </c>
      <c r="S104" s="8">
        <f t="shared" si="5"/>
        <v>0</v>
      </c>
      <c r="U104" s="8">
        <f t="shared" si="7"/>
        <v>0</v>
      </c>
    </row>
    <row r="105" spans="1:22" ht="15.75" customHeight="1" x14ac:dyDescent="0.3">
      <c r="A105" s="18">
        <v>99</v>
      </c>
      <c r="B105" s="21" t="s">
        <v>294</v>
      </c>
      <c r="C105" s="18"/>
      <c r="D105" s="45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>
        <f t="shared" si="9"/>
        <v>0</v>
      </c>
      <c r="S105" s="8">
        <f t="shared" si="5"/>
        <v>0</v>
      </c>
      <c r="U105" s="8">
        <f t="shared" si="7"/>
        <v>0</v>
      </c>
    </row>
    <row r="106" spans="1:22" ht="15.75" customHeight="1" x14ac:dyDescent="0.3">
      <c r="A106" s="18">
        <v>100</v>
      </c>
      <c r="B106" s="21" t="s">
        <v>295</v>
      </c>
      <c r="C106" s="18"/>
      <c r="D106" s="45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>
        <f t="shared" si="9"/>
        <v>0</v>
      </c>
      <c r="S106" s="8">
        <f t="shared" si="5"/>
        <v>0</v>
      </c>
      <c r="U106" s="8">
        <f t="shared" si="7"/>
        <v>0</v>
      </c>
    </row>
    <row r="107" spans="1:22" ht="15.75" customHeight="1" x14ac:dyDescent="0.3">
      <c r="A107" s="18">
        <v>101</v>
      </c>
      <c r="B107" s="21" t="s">
        <v>296</v>
      </c>
      <c r="C107" s="18"/>
      <c r="D107" s="45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>
        <f t="shared" si="9"/>
        <v>0</v>
      </c>
      <c r="S107" s="8">
        <f t="shared" si="5"/>
        <v>0</v>
      </c>
      <c r="U107" s="8">
        <f t="shared" si="7"/>
        <v>0</v>
      </c>
    </row>
    <row r="108" spans="1:22" ht="15.75" customHeight="1" x14ac:dyDescent="0.3">
      <c r="A108" s="18">
        <v>102</v>
      </c>
      <c r="B108" s="21" t="s">
        <v>297</v>
      </c>
      <c r="C108" s="18"/>
      <c r="D108" s="45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>
        <f t="shared" si="9"/>
        <v>0</v>
      </c>
      <c r="S108" s="8">
        <f t="shared" si="5"/>
        <v>0</v>
      </c>
      <c r="U108" s="8">
        <f t="shared" si="7"/>
        <v>0</v>
      </c>
    </row>
    <row r="109" spans="1:22" ht="15.75" customHeight="1" x14ac:dyDescent="0.3">
      <c r="A109" s="18">
        <v>103</v>
      </c>
      <c r="B109" s="21" t="s">
        <v>298</v>
      </c>
      <c r="C109" s="18"/>
      <c r="D109" s="45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>
        <f t="shared" si="9"/>
        <v>0</v>
      </c>
      <c r="S109" s="8">
        <f t="shared" si="5"/>
        <v>0</v>
      </c>
      <c r="U109" s="8">
        <f t="shared" si="7"/>
        <v>0</v>
      </c>
    </row>
    <row r="110" spans="1:22" ht="15.75" customHeight="1" x14ac:dyDescent="0.3">
      <c r="A110" s="18">
        <v>104</v>
      </c>
      <c r="B110" s="21" t="s">
        <v>299</v>
      </c>
      <c r="C110" s="18"/>
      <c r="D110" s="45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>
        <f t="shared" si="9"/>
        <v>0</v>
      </c>
      <c r="S110" s="8">
        <f t="shared" si="5"/>
        <v>0</v>
      </c>
      <c r="U110" s="8">
        <f t="shared" si="7"/>
        <v>0</v>
      </c>
    </row>
    <row r="111" spans="1:22" ht="15.75" customHeight="1" x14ac:dyDescent="0.3">
      <c r="A111" s="18">
        <v>105</v>
      </c>
      <c r="B111" s="21" t="s">
        <v>300</v>
      </c>
      <c r="C111" s="18" t="s">
        <v>301</v>
      </c>
      <c r="D111" s="45" t="s">
        <v>302</v>
      </c>
      <c r="E111" s="18"/>
      <c r="F111" s="18">
        <v>10</v>
      </c>
      <c r="G111" s="18">
        <v>10</v>
      </c>
      <c r="H111" s="18">
        <v>10</v>
      </c>
      <c r="I111" s="18">
        <v>10</v>
      </c>
      <c r="J111" s="18">
        <v>10</v>
      </c>
      <c r="K111" s="18">
        <v>10</v>
      </c>
      <c r="L111" s="18">
        <v>10</v>
      </c>
      <c r="M111" s="18">
        <v>10</v>
      </c>
      <c r="N111" s="18">
        <v>10</v>
      </c>
      <c r="O111" s="18">
        <v>10</v>
      </c>
      <c r="P111" s="18">
        <v>10</v>
      </c>
      <c r="Q111" s="18">
        <v>10</v>
      </c>
      <c r="R111" s="18">
        <f t="shared" si="9"/>
        <v>120</v>
      </c>
      <c r="S111" s="37">
        <f t="shared" si="5"/>
        <v>120</v>
      </c>
      <c r="U111" s="37">
        <f t="shared" si="7"/>
        <v>120</v>
      </c>
      <c r="V111" s="8" t="s">
        <v>391</v>
      </c>
    </row>
    <row r="112" spans="1:22" ht="15.75" customHeight="1" x14ac:dyDescent="0.3">
      <c r="A112" s="18">
        <v>106</v>
      </c>
      <c r="B112" s="21" t="s">
        <v>303</v>
      </c>
      <c r="C112" s="18"/>
      <c r="D112" s="45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>
        <f t="shared" si="9"/>
        <v>0</v>
      </c>
      <c r="S112" s="8">
        <f t="shared" si="5"/>
        <v>0</v>
      </c>
      <c r="U112" s="8">
        <f t="shared" si="7"/>
        <v>0</v>
      </c>
    </row>
    <row r="113" spans="1:22" ht="15.75" customHeight="1" x14ac:dyDescent="0.3">
      <c r="A113" s="18">
        <v>107</v>
      </c>
      <c r="B113" s="21" t="s">
        <v>304</v>
      </c>
      <c r="C113" s="18"/>
      <c r="D113" s="45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>
        <f t="shared" si="9"/>
        <v>0</v>
      </c>
      <c r="S113" s="8">
        <f t="shared" si="5"/>
        <v>0</v>
      </c>
      <c r="U113" s="8">
        <f t="shared" si="7"/>
        <v>0</v>
      </c>
    </row>
    <row r="114" spans="1:22" ht="15.75" customHeight="1" x14ac:dyDescent="0.3">
      <c r="A114" s="18">
        <v>108</v>
      </c>
      <c r="B114" s="21" t="s">
        <v>305</v>
      </c>
      <c r="C114" s="18"/>
      <c r="D114" s="45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>
        <f t="shared" si="9"/>
        <v>0</v>
      </c>
      <c r="S114" s="8">
        <f t="shared" si="5"/>
        <v>0</v>
      </c>
      <c r="U114" s="8">
        <f t="shared" si="7"/>
        <v>0</v>
      </c>
    </row>
    <row r="115" spans="1:22" ht="15.75" customHeight="1" x14ac:dyDescent="0.3">
      <c r="A115" s="18">
        <v>109</v>
      </c>
      <c r="B115" s="21" t="s">
        <v>306</v>
      </c>
      <c r="C115" s="18"/>
      <c r="D115" s="45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>
        <f t="shared" si="9"/>
        <v>0</v>
      </c>
      <c r="S115" s="8">
        <f t="shared" si="5"/>
        <v>0</v>
      </c>
      <c r="U115" s="8">
        <f t="shared" si="7"/>
        <v>0</v>
      </c>
    </row>
    <row r="116" spans="1:22" ht="15.75" customHeight="1" x14ac:dyDescent="0.3">
      <c r="A116" s="18">
        <v>110</v>
      </c>
      <c r="B116" s="21" t="s">
        <v>307</v>
      </c>
      <c r="C116" s="18"/>
      <c r="D116" s="45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>
        <f t="shared" si="9"/>
        <v>0</v>
      </c>
      <c r="S116" s="8">
        <f t="shared" si="5"/>
        <v>0</v>
      </c>
      <c r="U116" s="8">
        <f t="shared" si="7"/>
        <v>0</v>
      </c>
    </row>
    <row r="117" spans="1:22" ht="15.75" customHeight="1" x14ac:dyDescent="0.3">
      <c r="A117" s="18">
        <v>111</v>
      </c>
      <c r="B117" s="21" t="s">
        <v>308</v>
      </c>
      <c r="C117" s="30" t="s">
        <v>309</v>
      </c>
      <c r="D117" s="45" t="s">
        <v>310</v>
      </c>
      <c r="E117" s="18"/>
      <c r="F117" s="18">
        <v>10</v>
      </c>
      <c r="G117" s="18">
        <v>10</v>
      </c>
      <c r="H117" s="18">
        <v>10</v>
      </c>
      <c r="I117" s="18">
        <v>10</v>
      </c>
      <c r="J117" s="18">
        <v>10</v>
      </c>
      <c r="K117" s="18">
        <v>10</v>
      </c>
      <c r="L117" s="18">
        <v>10</v>
      </c>
      <c r="M117" s="18">
        <v>10</v>
      </c>
      <c r="N117" s="18">
        <v>10</v>
      </c>
      <c r="O117" s="18">
        <v>10</v>
      </c>
      <c r="P117" s="18">
        <v>10</v>
      </c>
      <c r="Q117" s="18">
        <v>10</v>
      </c>
      <c r="R117" s="18">
        <f t="shared" si="9"/>
        <v>120</v>
      </c>
      <c r="S117" s="37">
        <f t="shared" si="5"/>
        <v>120</v>
      </c>
      <c r="U117" s="37">
        <f t="shared" si="7"/>
        <v>120</v>
      </c>
      <c r="V117" s="8" t="s">
        <v>392</v>
      </c>
    </row>
    <row r="118" spans="1:22" ht="15.75" customHeight="1" x14ac:dyDescent="0.3">
      <c r="A118" s="18">
        <v>112</v>
      </c>
      <c r="B118" s="21" t="s">
        <v>311</v>
      </c>
      <c r="C118" s="18"/>
      <c r="D118" s="45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>
        <f t="shared" si="9"/>
        <v>0</v>
      </c>
      <c r="S118" s="8">
        <f t="shared" si="5"/>
        <v>0</v>
      </c>
      <c r="U118" s="8">
        <f t="shared" si="7"/>
        <v>0</v>
      </c>
    </row>
    <row r="119" spans="1:22" ht="15.75" customHeight="1" x14ac:dyDescent="0.3">
      <c r="A119" s="18">
        <v>113</v>
      </c>
      <c r="B119" s="21" t="s">
        <v>312</v>
      </c>
      <c r="C119" s="18"/>
      <c r="D119" s="45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>
        <f t="shared" si="9"/>
        <v>0</v>
      </c>
      <c r="S119" s="8">
        <f t="shared" si="5"/>
        <v>0</v>
      </c>
      <c r="U119" s="8">
        <f t="shared" si="7"/>
        <v>0</v>
      </c>
    </row>
    <row r="120" spans="1:22" ht="15.75" customHeight="1" x14ac:dyDescent="0.3">
      <c r="A120" s="18">
        <v>114</v>
      </c>
      <c r="B120" s="21" t="s">
        <v>313</v>
      </c>
      <c r="C120" s="18"/>
      <c r="D120" s="45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>
        <f t="shared" si="9"/>
        <v>0</v>
      </c>
      <c r="S120" s="8">
        <f t="shared" si="5"/>
        <v>0</v>
      </c>
      <c r="U120" s="8">
        <f t="shared" si="7"/>
        <v>0</v>
      </c>
    </row>
    <row r="121" spans="1:22" ht="15.75" customHeight="1" x14ac:dyDescent="0.3">
      <c r="A121" s="18">
        <v>115</v>
      </c>
      <c r="B121" s="21" t="s">
        <v>314</v>
      </c>
      <c r="C121" s="18"/>
      <c r="D121" s="45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>
        <f t="shared" si="9"/>
        <v>0</v>
      </c>
      <c r="S121" s="8">
        <f t="shared" si="5"/>
        <v>0</v>
      </c>
      <c r="U121" s="8">
        <f t="shared" si="7"/>
        <v>0</v>
      </c>
    </row>
    <row r="122" spans="1:22" ht="15.75" customHeight="1" x14ac:dyDescent="0.3">
      <c r="A122" s="18">
        <v>116</v>
      </c>
      <c r="B122" s="21" t="s">
        <v>315</v>
      </c>
      <c r="C122" s="18"/>
      <c r="D122" s="45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>
        <f t="shared" si="9"/>
        <v>0</v>
      </c>
      <c r="S122" s="8">
        <f t="shared" si="5"/>
        <v>0</v>
      </c>
      <c r="U122" s="8">
        <f t="shared" si="7"/>
        <v>0</v>
      </c>
    </row>
    <row r="123" spans="1:22" ht="15.75" customHeight="1" x14ac:dyDescent="0.3">
      <c r="A123" s="18">
        <v>117</v>
      </c>
      <c r="B123" s="21" t="s">
        <v>316</v>
      </c>
      <c r="C123" s="18"/>
      <c r="D123" s="45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>
        <f t="shared" si="9"/>
        <v>0</v>
      </c>
      <c r="S123" s="8">
        <f t="shared" si="5"/>
        <v>0</v>
      </c>
      <c r="U123" s="8">
        <f t="shared" si="7"/>
        <v>0</v>
      </c>
    </row>
    <row r="124" spans="1:22" ht="15.75" customHeight="1" x14ac:dyDescent="0.3">
      <c r="A124" s="18">
        <v>118</v>
      </c>
      <c r="B124" s="21" t="s">
        <v>317</v>
      </c>
      <c r="C124" s="18"/>
      <c r="D124" s="45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>
        <f t="shared" si="9"/>
        <v>0</v>
      </c>
      <c r="S124" s="8">
        <f t="shared" si="5"/>
        <v>0</v>
      </c>
      <c r="U124" s="8">
        <f t="shared" si="7"/>
        <v>0</v>
      </c>
    </row>
    <row r="125" spans="1:22" ht="15.75" customHeight="1" x14ac:dyDescent="0.3">
      <c r="A125" s="18">
        <v>119</v>
      </c>
      <c r="B125" s="21" t="s">
        <v>318</v>
      </c>
      <c r="C125" s="18"/>
      <c r="D125" s="45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>
        <f t="shared" si="9"/>
        <v>0</v>
      </c>
      <c r="S125" s="8">
        <f t="shared" si="5"/>
        <v>0</v>
      </c>
      <c r="U125" s="8">
        <f t="shared" si="7"/>
        <v>0</v>
      </c>
    </row>
    <row r="126" spans="1:22" ht="15.75" customHeight="1" x14ac:dyDescent="0.3">
      <c r="A126" s="18">
        <v>120</v>
      </c>
      <c r="B126" s="21" t="s">
        <v>319</v>
      </c>
      <c r="C126" s="18"/>
      <c r="D126" s="45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>
        <f t="shared" si="9"/>
        <v>0</v>
      </c>
      <c r="S126" s="8">
        <f t="shared" si="5"/>
        <v>0</v>
      </c>
      <c r="U126" s="8">
        <f t="shared" si="7"/>
        <v>0</v>
      </c>
    </row>
    <row r="127" spans="1:22" ht="15.75" customHeight="1" x14ac:dyDescent="0.3">
      <c r="A127" s="18">
        <v>121</v>
      </c>
      <c r="B127" s="21" t="s">
        <v>320</v>
      </c>
      <c r="C127" s="18" t="s">
        <v>321</v>
      </c>
      <c r="D127" s="45" t="s">
        <v>322</v>
      </c>
      <c r="E127" s="18"/>
      <c r="F127" s="18">
        <v>10</v>
      </c>
      <c r="G127" s="18">
        <v>10</v>
      </c>
      <c r="H127" s="18">
        <v>10</v>
      </c>
      <c r="I127" s="18">
        <v>10</v>
      </c>
      <c r="J127" s="18">
        <v>10</v>
      </c>
      <c r="K127" s="18">
        <v>10</v>
      </c>
      <c r="L127" s="18">
        <v>10</v>
      </c>
      <c r="M127" s="18">
        <v>10</v>
      </c>
      <c r="N127" s="18">
        <v>10</v>
      </c>
      <c r="O127" s="18">
        <v>10</v>
      </c>
      <c r="P127" s="18">
        <v>10</v>
      </c>
      <c r="Q127" s="18">
        <v>10</v>
      </c>
      <c r="R127" s="18">
        <f t="shared" si="9"/>
        <v>120</v>
      </c>
      <c r="S127" s="8">
        <f t="shared" si="5"/>
        <v>120</v>
      </c>
      <c r="U127" s="8">
        <f t="shared" si="7"/>
        <v>120</v>
      </c>
      <c r="V127" s="8" t="s">
        <v>393</v>
      </c>
    </row>
    <row r="128" spans="1:22" ht="15.75" customHeight="1" x14ac:dyDescent="0.3">
      <c r="A128" s="18">
        <v>122</v>
      </c>
      <c r="B128" s="21" t="s">
        <v>323</v>
      </c>
      <c r="C128" s="18"/>
      <c r="D128" s="4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>
        <f t="shared" si="9"/>
        <v>0</v>
      </c>
      <c r="S128" s="8">
        <f t="shared" si="5"/>
        <v>0</v>
      </c>
      <c r="U128" s="8">
        <f t="shared" si="7"/>
        <v>0</v>
      </c>
    </row>
    <row r="129" spans="1:26" ht="15.75" customHeight="1" x14ac:dyDescent="0.3">
      <c r="A129" s="18">
        <v>123</v>
      </c>
      <c r="B129" s="21" t="s">
        <v>324</v>
      </c>
      <c r="C129" s="30" t="s">
        <v>325</v>
      </c>
      <c r="D129" s="45" t="s">
        <v>326</v>
      </c>
      <c r="E129" s="18"/>
      <c r="F129" s="18">
        <v>10</v>
      </c>
      <c r="G129" s="18">
        <v>10</v>
      </c>
      <c r="H129" s="18">
        <v>10</v>
      </c>
      <c r="I129" s="18">
        <v>10</v>
      </c>
      <c r="J129" s="18">
        <v>10</v>
      </c>
      <c r="K129" s="18">
        <v>10</v>
      </c>
      <c r="L129" s="18">
        <v>10</v>
      </c>
      <c r="M129" s="18">
        <v>10</v>
      </c>
      <c r="N129" s="18">
        <v>10</v>
      </c>
      <c r="O129" s="18">
        <v>10</v>
      </c>
      <c r="P129" s="18">
        <v>10</v>
      </c>
      <c r="Q129" s="18">
        <v>10</v>
      </c>
      <c r="R129" s="18">
        <f t="shared" si="9"/>
        <v>120</v>
      </c>
      <c r="S129" s="8">
        <f t="shared" si="5"/>
        <v>120</v>
      </c>
      <c r="U129" s="8">
        <f t="shared" si="7"/>
        <v>120</v>
      </c>
      <c r="V129" s="8" t="s">
        <v>364</v>
      </c>
    </row>
    <row r="130" spans="1:26" ht="15.75" customHeight="1" x14ac:dyDescent="0.3">
      <c r="A130" s="18">
        <v>124</v>
      </c>
      <c r="B130" s="21" t="s">
        <v>327</v>
      </c>
      <c r="C130" s="18"/>
      <c r="D130" s="45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>
        <f t="shared" si="9"/>
        <v>0</v>
      </c>
      <c r="S130" s="8">
        <f t="shared" si="5"/>
        <v>0</v>
      </c>
      <c r="U130" s="8">
        <f t="shared" si="7"/>
        <v>0</v>
      </c>
    </row>
    <row r="131" spans="1:26" ht="15.75" customHeight="1" x14ac:dyDescent="0.3">
      <c r="A131" s="18">
        <v>125</v>
      </c>
      <c r="B131" s="21" t="s">
        <v>328</v>
      </c>
      <c r="C131" s="30" t="s">
        <v>329</v>
      </c>
      <c r="D131" s="45" t="s">
        <v>330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>
        <f t="shared" si="9"/>
        <v>0</v>
      </c>
      <c r="S131" s="8">
        <f t="shared" si="5"/>
        <v>0</v>
      </c>
      <c r="U131" s="8">
        <f t="shared" si="7"/>
        <v>0</v>
      </c>
    </row>
    <row r="132" spans="1:26" ht="15.75" customHeight="1" x14ac:dyDescent="0.3">
      <c r="A132" s="18"/>
      <c r="B132" s="21" t="s">
        <v>331</v>
      </c>
      <c r="C132" s="30" t="s">
        <v>332</v>
      </c>
      <c r="D132" s="45" t="s">
        <v>333</v>
      </c>
      <c r="E132" s="18"/>
      <c r="F132" s="18">
        <v>10</v>
      </c>
      <c r="G132" s="18">
        <v>10</v>
      </c>
      <c r="H132" s="18">
        <v>10</v>
      </c>
      <c r="I132" s="18">
        <v>10</v>
      </c>
      <c r="J132" s="18">
        <v>10</v>
      </c>
      <c r="K132" s="18">
        <v>10</v>
      </c>
      <c r="L132" s="18">
        <v>10</v>
      </c>
      <c r="M132" s="18">
        <v>10</v>
      </c>
      <c r="N132" s="18">
        <v>10</v>
      </c>
      <c r="O132" s="18">
        <v>10</v>
      </c>
      <c r="P132" s="18">
        <v>10</v>
      </c>
      <c r="Q132" s="18">
        <v>10</v>
      </c>
      <c r="R132" s="18">
        <f t="shared" si="9"/>
        <v>120</v>
      </c>
      <c r="S132" s="37">
        <f t="shared" si="5"/>
        <v>120</v>
      </c>
      <c r="U132" s="37">
        <f t="shared" si="7"/>
        <v>120</v>
      </c>
      <c r="V132" s="8" t="s">
        <v>394</v>
      </c>
    </row>
    <row r="133" spans="1:26" ht="15.75" customHeight="1" x14ac:dyDescent="0.3">
      <c r="A133" s="18"/>
      <c r="B133" s="21" t="s">
        <v>334</v>
      </c>
      <c r="C133" s="30" t="s">
        <v>335</v>
      </c>
      <c r="D133" s="45" t="s">
        <v>336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>
        <f t="shared" si="9"/>
        <v>0</v>
      </c>
      <c r="S133" s="8">
        <f t="shared" si="5"/>
        <v>0</v>
      </c>
      <c r="U133" s="8">
        <f t="shared" si="7"/>
        <v>0</v>
      </c>
      <c r="W133" s="8" t="s">
        <v>337</v>
      </c>
    </row>
    <row r="134" spans="1:26" ht="15.75" customHeight="1" x14ac:dyDescent="0.3">
      <c r="A134" s="18"/>
      <c r="B134" s="21" t="s">
        <v>338</v>
      </c>
      <c r="C134" s="30" t="s">
        <v>339</v>
      </c>
      <c r="D134" s="45" t="s">
        <v>340</v>
      </c>
      <c r="E134" s="18"/>
      <c r="F134" s="18">
        <v>10</v>
      </c>
      <c r="G134" s="18">
        <v>10</v>
      </c>
      <c r="H134" s="18">
        <v>10</v>
      </c>
      <c r="I134" s="18">
        <v>10</v>
      </c>
      <c r="J134" s="18">
        <v>10</v>
      </c>
      <c r="K134" s="18">
        <v>10</v>
      </c>
      <c r="L134" s="18">
        <v>10</v>
      </c>
      <c r="M134" s="18">
        <v>10</v>
      </c>
      <c r="N134" s="18">
        <v>10</v>
      </c>
      <c r="O134" s="18">
        <v>10</v>
      </c>
      <c r="P134" s="18">
        <v>10</v>
      </c>
      <c r="Q134" s="18">
        <v>10</v>
      </c>
      <c r="R134" s="18">
        <f t="shared" si="9"/>
        <v>120</v>
      </c>
      <c r="S134" s="8">
        <f t="shared" si="5"/>
        <v>120</v>
      </c>
      <c r="U134" s="8">
        <f t="shared" si="7"/>
        <v>120</v>
      </c>
      <c r="V134" s="8" t="s">
        <v>196</v>
      </c>
    </row>
    <row r="135" spans="1:26" ht="15.75" customHeight="1" x14ac:dyDescent="0.3">
      <c r="A135" s="18"/>
      <c r="B135" s="21" t="s">
        <v>342</v>
      </c>
      <c r="C135" s="18" t="s">
        <v>343</v>
      </c>
      <c r="D135" s="45" t="s">
        <v>344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>
        <f t="shared" si="9"/>
        <v>0</v>
      </c>
      <c r="S135" s="8">
        <f t="shared" si="5"/>
        <v>0</v>
      </c>
      <c r="U135" s="8">
        <f t="shared" si="7"/>
        <v>0</v>
      </c>
    </row>
    <row r="136" spans="1:26" ht="15.75" customHeight="1" x14ac:dyDescent="0.3">
      <c r="A136" s="18"/>
      <c r="B136" s="21" t="s">
        <v>345</v>
      </c>
      <c r="C136" s="18" t="s">
        <v>346</v>
      </c>
      <c r="D136" s="45" t="s">
        <v>395</v>
      </c>
      <c r="E136" s="18"/>
      <c r="F136" s="18">
        <v>10</v>
      </c>
      <c r="G136" s="18">
        <v>10</v>
      </c>
      <c r="H136" s="18">
        <v>10</v>
      </c>
      <c r="I136" s="18">
        <v>10</v>
      </c>
      <c r="J136" s="18">
        <v>10</v>
      </c>
      <c r="K136" s="18">
        <v>10</v>
      </c>
      <c r="L136" s="18">
        <v>10</v>
      </c>
      <c r="M136" s="18">
        <v>10</v>
      </c>
      <c r="N136" s="18">
        <v>10</v>
      </c>
      <c r="O136" s="18">
        <v>10</v>
      </c>
      <c r="P136" s="18">
        <v>10</v>
      </c>
      <c r="Q136" s="18">
        <v>10</v>
      </c>
      <c r="R136" s="18">
        <f t="shared" si="9"/>
        <v>120</v>
      </c>
      <c r="S136" s="37">
        <f t="shared" si="5"/>
        <v>120</v>
      </c>
      <c r="U136" s="37">
        <f t="shared" si="7"/>
        <v>120</v>
      </c>
      <c r="V136" s="8" t="s">
        <v>396</v>
      </c>
    </row>
    <row r="137" spans="1:26" ht="15.75" customHeight="1" x14ac:dyDescent="0.3">
      <c r="A137" s="18"/>
      <c r="B137" s="21" t="s">
        <v>347</v>
      </c>
      <c r="C137" s="32" t="s">
        <v>348</v>
      </c>
      <c r="D137" s="45" t="s">
        <v>349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>
        <f t="shared" si="9"/>
        <v>0</v>
      </c>
      <c r="S137" s="8">
        <f t="shared" si="5"/>
        <v>0</v>
      </c>
      <c r="U137" s="8">
        <f t="shared" si="7"/>
        <v>0</v>
      </c>
    </row>
    <row r="138" spans="1:26" ht="15.75" customHeight="1" x14ac:dyDescent="0.3">
      <c r="A138" s="18"/>
      <c r="B138" s="21" t="s">
        <v>350</v>
      </c>
      <c r="C138" s="32" t="s">
        <v>397</v>
      </c>
      <c r="D138" s="45" t="s">
        <v>82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>
        <f t="shared" si="9"/>
        <v>0</v>
      </c>
      <c r="S138" s="8">
        <f t="shared" si="5"/>
        <v>0</v>
      </c>
      <c r="T138" s="8">
        <f>R138+E138</f>
        <v>0</v>
      </c>
      <c r="U138" s="8">
        <f t="shared" si="7"/>
        <v>0</v>
      </c>
      <c r="V138" s="8"/>
      <c r="W138" s="8"/>
      <c r="X138" s="8"/>
      <c r="Y138" s="8"/>
      <c r="Z138" s="8"/>
    </row>
    <row r="139" spans="1:26" ht="15.75" customHeight="1" x14ac:dyDescent="0.3">
      <c r="A139" s="18"/>
      <c r="B139" s="21" t="s">
        <v>352</v>
      </c>
      <c r="C139" s="32" t="s">
        <v>353</v>
      </c>
      <c r="D139" s="45" t="s">
        <v>354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>
        <f t="shared" si="9"/>
        <v>0</v>
      </c>
      <c r="S139" s="8">
        <f t="shared" si="5"/>
        <v>0</v>
      </c>
      <c r="T139" s="8"/>
      <c r="U139" s="8">
        <f t="shared" si="7"/>
        <v>0</v>
      </c>
      <c r="V139" s="8"/>
      <c r="W139" s="8"/>
      <c r="X139" s="8"/>
      <c r="Y139" s="8"/>
      <c r="Z139" s="8"/>
    </row>
    <row r="140" spans="1:26" ht="15.75" customHeight="1" x14ac:dyDescent="0.3">
      <c r="A140" s="18"/>
      <c r="B140" s="21" t="s">
        <v>355</v>
      </c>
      <c r="C140" s="32" t="s">
        <v>356</v>
      </c>
      <c r="D140" s="45" t="s">
        <v>357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>
        <f t="shared" si="9"/>
        <v>0</v>
      </c>
      <c r="S140" s="8">
        <f t="shared" si="5"/>
        <v>0</v>
      </c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18"/>
      <c r="B141" s="21"/>
      <c r="C141" s="30"/>
      <c r="D141" s="45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>
        <f t="shared" si="9"/>
        <v>0</v>
      </c>
      <c r="S141" s="8">
        <f t="shared" si="5"/>
        <v>0</v>
      </c>
    </row>
    <row r="142" spans="1:26" ht="15.75" customHeight="1" x14ac:dyDescent="0.3">
      <c r="A142" s="8"/>
      <c r="B142" s="2"/>
      <c r="C142" s="40"/>
      <c r="D142" s="42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26" ht="15.75" customHeight="1" x14ac:dyDescent="0.3">
      <c r="B143" s="2"/>
      <c r="D143" s="42" t="s">
        <v>358</v>
      </c>
      <c r="E143" s="8">
        <f t="shared" ref="E143:U143" si="10">SUM(E7:E141)</f>
        <v>20</v>
      </c>
      <c r="F143" s="8">
        <f t="shared" si="10"/>
        <v>630</v>
      </c>
      <c r="G143" s="8">
        <f t="shared" si="10"/>
        <v>630</v>
      </c>
      <c r="H143" s="8">
        <f t="shared" si="10"/>
        <v>630</v>
      </c>
      <c r="I143" s="8">
        <f t="shared" si="10"/>
        <v>630</v>
      </c>
      <c r="J143" s="8">
        <f t="shared" si="10"/>
        <v>630</v>
      </c>
      <c r="K143" s="8">
        <f t="shared" si="10"/>
        <v>620</v>
      </c>
      <c r="L143" s="8">
        <f t="shared" si="10"/>
        <v>610</v>
      </c>
      <c r="M143" s="8">
        <f t="shared" si="10"/>
        <v>610</v>
      </c>
      <c r="N143" s="8">
        <f t="shared" si="10"/>
        <v>610</v>
      </c>
      <c r="O143" s="8">
        <f t="shared" si="10"/>
        <v>600</v>
      </c>
      <c r="P143" s="8">
        <f t="shared" si="10"/>
        <v>590</v>
      </c>
      <c r="Q143" s="8">
        <f t="shared" si="10"/>
        <v>590</v>
      </c>
      <c r="R143" s="8">
        <f t="shared" si="10"/>
        <v>7380</v>
      </c>
      <c r="S143" s="8">
        <f t="shared" si="10"/>
        <v>7140</v>
      </c>
      <c r="T143" s="8">
        <f t="shared" si="10"/>
        <v>300</v>
      </c>
      <c r="U143" s="8">
        <f t="shared" si="10"/>
        <v>6860</v>
      </c>
    </row>
    <row r="144" spans="1:26" ht="15.75" customHeight="1" x14ac:dyDescent="0.3">
      <c r="B144" s="2"/>
      <c r="D144" s="42"/>
      <c r="E144" s="8">
        <f>E143/20</f>
        <v>1</v>
      </c>
    </row>
    <row r="145" spans="2:19" ht="15.75" customHeight="1" x14ac:dyDescent="0.3">
      <c r="B145" s="2"/>
      <c r="D145" s="42"/>
    </row>
    <row r="146" spans="2:19" ht="15.75" customHeight="1" x14ac:dyDescent="0.3">
      <c r="B146" s="2"/>
      <c r="D146" s="42"/>
      <c r="S146" s="8">
        <f>S143-110</f>
        <v>7030</v>
      </c>
    </row>
    <row r="147" spans="2:19" ht="15.75" customHeight="1" x14ac:dyDescent="0.3">
      <c r="B147" s="2"/>
      <c r="D147" s="42"/>
      <c r="S147" s="8">
        <f>S146/120</f>
        <v>58.583333333333336</v>
      </c>
    </row>
    <row r="148" spans="2:19" ht="15.75" customHeight="1" x14ac:dyDescent="0.3">
      <c r="B148" s="2"/>
      <c r="D148" s="42"/>
    </row>
    <row r="149" spans="2:19" ht="15.75" customHeight="1" x14ac:dyDescent="0.3">
      <c r="B149" s="2"/>
      <c r="D149" s="42"/>
    </row>
    <row r="150" spans="2:19" ht="15.75" customHeight="1" x14ac:dyDescent="0.3">
      <c r="B150" s="2"/>
      <c r="D150" s="42"/>
    </row>
    <row r="151" spans="2:19" ht="15.75" customHeight="1" x14ac:dyDescent="0.3">
      <c r="B151" s="2"/>
      <c r="D151" s="42"/>
    </row>
    <row r="152" spans="2:19" ht="15.75" customHeight="1" x14ac:dyDescent="0.3">
      <c r="B152" s="2"/>
      <c r="D152" s="42"/>
    </row>
    <row r="153" spans="2:19" ht="15.75" customHeight="1" x14ac:dyDescent="0.3">
      <c r="B153" s="2"/>
      <c r="D153" s="42"/>
    </row>
    <row r="154" spans="2:19" ht="15.75" customHeight="1" x14ac:dyDescent="0.3">
      <c r="B154" s="2"/>
      <c r="D154" s="42"/>
    </row>
    <row r="155" spans="2:19" ht="15.75" customHeight="1" x14ac:dyDescent="0.3">
      <c r="B155" s="2"/>
      <c r="D155" s="42"/>
    </row>
    <row r="156" spans="2:19" ht="15.75" customHeight="1" x14ac:dyDescent="0.3">
      <c r="B156" s="2"/>
      <c r="D156" s="42"/>
    </row>
    <row r="157" spans="2:19" ht="15.75" customHeight="1" x14ac:dyDescent="0.3">
      <c r="B157" s="2"/>
      <c r="D157" s="42"/>
    </row>
    <row r="158" spans="2:19" ht="15.75" customHeight="1" x14ac:dyDescent="0.3">
      <c r="B158" s="2"/>
      <c r="D158" s="42"/>
    </row>
    <row r="159" spans="2:19" ht="15.75" customHeight="1" x14ac:dyDescent="0.3">
      <c r="B159" s="2"/>
      <c r="D159" s="42"/>
    </row>
    <row r="160" spans="2:19" ht="15.75" customHeight="1" x14ac:dyDescent="0.3">
      <c r="B160" s="2"/>
      <c r="D160" s="42"/>
    </row>
    <row r="161" spans="2:4" ht="15.75" customHeight="1" x14ac:dyDescent="0.3">
      <c r="B161" s="2"/>
      <c r="D161" s="42"/>
    </row>
    <row r="162" spans="2:4" ht="15.75" customHeight="1" x14ac:dyDescent="0.3">
      <c r="B162" s="2"/>
      <c r="D162" s="42"/>
    </row>
    <row r="163" spans="2:4" ht="15.75" customHeight="1" x14ac:dyDescent="0.3">
      <c r="B163" s="2"/>
      <c r="D163" s="42"/>
    </row>
    <row r="164" spans="2:4" ht="15.75" customHeight="1" x14ac:dyDescent="0.3">
      <c r="B164" s="2"/>
      <c r="D164" s="42"/>
    </row>
    <row r="165" spans="2:4" ht="15.75" customHeight="1" x14ac:dyDescent="0.3">
      <c r="B165" s="2"/>
      <c r="D165" s="42"/>
    </row>
    <row r="166" spans="2:4" ht="15.75" customHeight="1" x14ac:dyDescent="0.3">
      <c r="B166" s="2"/>
      <c r="D166" s="42"/>
    </row>
    <row r="167" spans="2:4" ht="15.75" customHeight="1" x14ac:dyDescent="0.3">
      <c r="B167" s="2"/>
      <c r="D167" s="42"/>
    </row>
    <row r="168" spans="2:4" ht="15.75" customHeight="1" x14ac:dyDescent="0.3">
      <c r="B168" s="2"/>
      <c r="D168" s="42"/>
    </row>
    <row r="169" spans="2:4" ht="15.75" customHeight="1" x14ac:dyDescent="0.3">
      <c r="B169" s="2"/>
      <c r="D169" s="42"/>
    </row>
    <row r="170" spans="2:4" ht="15.75" customHeight="1" x14ac:dyDescent="0.3">
      <c r="B170" s="2"/>
      <c r="D170" s="42"/>
    </row>
    <row r="171" spans="2:4" ht="15.75" customHeight="1" x14ac:dyDescent="0.3">
      <c r="B171" s="2"/>
      <c r="D171" s="42"/>
    </row>
    <row r="172" spans="2:4" ht="15.75" customHeight="1" x14ac:dyDescent="0.3">
      <c r="B172" s="2"/>
      <c r="D172" s="42"/>
    </row>
    <row r="173" spans="2:4" ht="15.75" customHeight="1" x14ac:dyDescent="0.3">
      <c r="B173" s="2"/>
      <c r="D173" s="42"/>
    </row>
    <row r="174" spans="2:4" ht="15.75" customHeight="1" x14ac:dyDescent="0.3">
      <c r="B174" s="2"/>
      <c r="D174" s="42"/>
    </row>
    <row r="175" spans="2:4" ht="15.75" customHeight="1" x14ac:dyDescent="0.3">
      <c r="B175" s="2"/>
      <c r="D175" s="42"/>
    </row>
    <row r="176" spans="2:4" ht="15.75" customHeight="1" x14ac:dyDescent="0.3">
      <c r="B176" s="2"/>
      <c r="D176" s="42"/>
    </row>
    <row r="177" spans="2:4" ht="15.75" customHeight="1" x14ac:dyDescent="0.3">
      <c r="B177" s="2"/>
      <c r="D177" s="42"/>
    </row>
    <row r="178" spans="2:4" ht="15.75" customHeight="1" x14ac:dyDescent="0.3">
      <c r="B178" s="2"/>
      <c r="D178" s="42"/>
    </row>
    <row r="179" spans="2:4" ht="15.75" customHeight="1" x14ac:dyDescent="0.3">
      <c r="B179" s="2"/>
      <c r="D179" s="42"/>
    </row>
    <row r="180" spans="2:4" ht="15.75" customHeight="1" x14ac:dyDescent="0.3">
      <c r="B180" s="2"/>
      <c r="D180" s="42"/>
    </row>
    <row r="181" spans="2:4" ht="15.75" customHeight="1" x14ac:dyDescent="0.3">
      <c r="B181" s="2"/>
      <c r="D181" s="42"/>
    </row>
    <row r="182" spans="2:4" ht="15.75" customHeight="1" x14ac:dyDescent="0.3">
      <c r="B182" s="2"/>
      <c r="D182" s="42"/>
    </row>
    <row r="183" spans="2:4" ht="15.75" customHeight="1" x14ac:dyDescent="0.3">
      <c r="B183" s="2"/>
      <c r="D183" s="42"/>
    </row>
    <row r="184" spans="2:4" ht="15.75" customHeight="1" x14ac:dyDescent="0.3">
      <c r="B184" s="2"/>
      <c r="D184" s="42"/>
    </row>
    <row r="185" spans="2:4" ht="15.75" customHeight="1" x14ac:dyDescent="0.3">
      <c r="B185" s="2"/>
      <c r="D185" s="42"/>
    </row>
    <row r="186" spans="2:4" ht="15.75" customHeight="1" x14ac:dyDescent="0.3">
      <c r="B186" s="2"/>
      <c r="D186" s="42"/>
    </row>
    <row r="187" spans="2:4" ht="15.75" customHeight="1" x14ac:dyDescent="0.3">
      <c r="B187" s="2"/>
      <c r="D187" s="42"/>
    </row>
    <row r="188" spans="2:4" ht="15.75" customHeight="1" x14ac:dyDescent="0.3">
      <c r="B188" s="2"/>
      <c r="D188" s="42"/>
    </row>
    <row r="189" spans="2:4" ht="15.75" customHeight="1" x14ac:dyDescent="0.3">
      <c r="B189" s="2"/>
      <c r="D189" s="42"/>
    </row>
    <row r="190" spans="2:4" ht="15.75" customHeight="1" x14ac:dyDescent="0.3">
      <c r="B190" s="2"/>
      <c r="D190" s="42"/>
    </row>
    <row r="191" spans="2:4" ht="15.75" customHeight="1" x14ac:dyDescent="0.3">
      <c r="B191" s="2"/>
      <c r="D191" s="42"/>
    </row>
    <row r="192" spans="2:4" ht="15.75" customHeight="1" x14ac:dyDescent="0.3">
      <c r="B192" s="2"/>
      <c r="D192" s="42"/>
    </row>
    <row r="193" spans="2:4" ht="15.75" customHeight="1" x14ac:dyDescent="0.3">
      <c r="B193" s="2"/>
      <c r="D193" s="42"/>
    </row>
    <row r="194" spans="2:4" ht="15.75" customHeight="1" x14ac:dyDescent="0.3">
      <c r="B194" s="2"/>
      <c r="D194" s="42"/>
    </row>
    <row r="195" spans="2:4" ht="15.75" customHeight="1" x14ac:dyDescent="0.3">
      <c r="B195" s="2"/>
      <c r="D195" s="42"/>
    </row>
    <row r="196" spans="2:4" ht="15.75" customHeight="1" x14ac:dyDescent="0.3">
      <c r="B196" s="2"/>
      <c r="D196" s="42"/>
    </row>
    <row r="197" spans="2:4" ht="15.75" customHeight="1" x14ac:dyDescent="0.3">
      <c r="B197" s="2"/>
      <c r="D197" s="42"/>
    </row>
    <row r="198" spans="2:4" ht="15.75" customHeight="1" x14ac:dyDescent="0.3">
      <c r="B198" s="2"/>
      <c r="D198" s="42"/>
    </row>
    <row r="199" spans="2:4" ht="15.75" customHeight="1" x14ac:dyDescent="0.3">
      <c r="B199" s="2"/>
      <c r="D199" s="42"/>
    </row>
    <row r="200" spans="2:4" ht="15.75" customHeight="1" x14ac:dyDescent="0.3">
      <c r="B200" s="2"/>
      <c r="D200" s="42"/>
    </row>
    <row r="201" spans="2:4" ht="15.75" customHeight="1" x14ac:dyDescent="0.3">
      <c r="B201" s="2"/>
      <c r="D201" s="42"/>
    </row>
    <row r="202" spans="2:4" ht="15.75" customHeight="1" x14ac:dyDescent="0.3">
      <c r="B202" s="2"/>
      <c r="D202" s="42"/>
    </row>
    <row r="203" spans="2:4" ht="15.75" customHeight="1" x14ac:dyDescent="0.3">
      <c r="B203" s="2"/>
      <c r="D203" s="42"/>
    </row>
    <row r="204" spans="2:4" ht="15.75" customHeight="1" x14ac:dyDescent="0.3">
      <c r="B204" s="2"/>
      <c r="D204" s="42"/>
    </row>
    <row r="205" spans="2:4" ht="15.75" customHeight="1" x14ac:dyDescent="0.3">
      <c r="B205" s="2"/>
      <c r="D205" s="42"/>
    </row>
    <row r="206" spans="2:4" ht="15.75" customHeight="1" x14ac:dyDescent="0.3">
      <c r="B206" s="2"/>
      <c r="D206" s="42"/>
    </row>
    <row r="207" spans="2:4" ht="15.75" customHeight="1" x14ac:dyDescent="0.3">
      <c r="B207" s="2"/>
      <c r="D207" s="42"/>
    </row>
    <row r="208" spans="2:4" ht="15.75" customHeight="1" x14ac:dyDescent="0.3">
      <c r="B208" s="2"/>
      <c r="D208" s="42"/>
    </row>
    <row r="209" spans="2:4" ht="15.75" customHeight="1" x14ac:dyDescent="0.3">
      <c r="B209" s="2"/>
      <c r="D209" s="42"/>
    </row>
    <row r="210" spans="2:4" ht="15.75" customHeight="1" x14ac:dyDescent="0.3">
      <c r="B210" s="2"/>
      <c r="D210" s="42"/>
    </row>
    <row r="211" spans="2:4" ht="15.75" customHeight="1" x14ac:dyDescent="0.3">
      <c r="B211" s="2"/>
      <c r="D211" s="42"/>
    </row>
    <row r="212" spans="2:4" ht="15.75" customHeight="1" x14ac:dyDescent="0.3">
      <c r="B212" s="2"/>
      <c r="D212" s="42"/>
    </row>
    <row r="213" spans="2:4" ht="15.75" customHeight="1" x14ac:dyDescent="0.3">
      <c r="B213" s="2"/>
      <c r="D213" s="42"/>
    </row>
    <row r="214" spans="2:4" ht="15.75" customHeight="1" x14ac:dyDescent="0.3">
      <c r="B214" s="2"/>
      <c r="D214" s="42"/>
    </row>
    <row r="215" spans="2:4" ht="15.75" customHeight="1" x14ac:dyDescent="0.3">
      <c r="B215" s="2"/>
      <c r="D215" s="42"/>
    </row>
    <row r="216" spans="2:4" ht="15.75" customHeight="1" x14ac:dyDescent="0.3">
      <c r="B216" s="2"/>
      <c r="D216" s="42"/>
    </row>
    <row r="217" spans="2:4" ht="15.75" customHeight="1" x14ac:dyDescent="0.3">
      <c r="B217" s="2"/>
      <c r="D217" s="42"/>
    </row>
    <row r="218" spans="2:4" ht="15.75" customHeight="1" x14ac:dyDescent="0.3">
      <c r="B218" s="2"/>
      <c r="D218" s="42"/>
    </row>
    <row r="219" spans="2:4" ht="15.75" customHeight="1" x14ac:dyDescent="0.3">
      <c r="B219" s="2"/>
      <c r="D219" s="42"/>
    </row>
    <row r="220" spans="2:4" ht="15.75" customHeight="1" x14ac:dyDescent="0.3">
      <c r="B220" s="2"/>
      <c r="D220" s="42"/>
    </row>
    <row r="221" spans="2:4" ht="15.75" customHeight="1" x14ac:dyDescent="0.3">
      <c r="B221" s="2"/>
      <c r="D221" s="42"/>
    </row>
    <row r="222" spans="2:4" ht="15.75" customHeight="1" x14ac:dyDescent="0.3">
      <c r="B222" s="2"/>
      <c r="D222" s="42"/>
    </row>
    <row r="223" spans="2:4" ht="15.75" customHeight="1" x14ac:dyDescent="0.3">
      <c r="B223" s="2"/>
      <c r="D223" s="42"/>
    </row>
    <row r="224" spans="2:4" ht="15.75" customHeight="1" x14ac:dyDescent="0.3">
      <c r="B224" s="2"/>
      <c r="D224" s="42"/>
    </row>
    <row r="225" spans="2:4" ht="15.75" customHeight="1" x14ac:dyDescent="0.3">
      <c r="B225" s="2"/>
      <c r="D225" s="42"/>
    </row>
    <row r="226" spans="2:4" ht="15.75" customHeight="1" x14ac:dyDescent="0.3">
      <c r="B226" s="2"/>
      <c r="D226" s="42"/>
    </row>
    <row r="227" spans="2:4" ht="15.75" customHeight="1" x14ac:dyDescent="0.3">
      <c r="B227" s="2"/>
      <c r="D227" s="42"/>
    </row>
    <row r="228" spans="2:4" ht="15.75" customHeight="1" x14ac:dyDescent="0.3">
      <c r="B228" s="2"/>
      <c r="D228" s="42"/>
    </row>
    <row r="229" spans="2:4" ht="15.75" customHeight="1" x14ac:dyDescent="0.3">
      <c r="B229" s="2"/>
      <c r="D229" s="42"/>
    </row>
    <row r="230" spans="2:4" ht="15.75" customHeight="1" x14ac:dyDescent="0.3">
      <c r="B230" s="2"/>
      <c r="D230" s="42"/>
    </row>
    <row r="231" spans="2:4" ht="15.75" customHeight="1" x14ac:dyDescent="0.3">
      <c r="B231" s="2"/>
      <c r="D231" s="42"/>
    </row>
    <row r="232" spans="2:4" ht="15.75" customHeight="1" x14ac:dyDescent="0.3">
      <c r="B232" s="2"/>
      <c r="D232" s="42"/>
    </row>
    <row r="233" spans="2:4" ht="15.75" customHeight="1" x14ac:dyDescent="0.3">
      <c r="B233" s="2"/>
      <c r="D233" s="42"/>
    </row>
    <row r="234" spans="2:4" ht="15.75" customHeight="1" x14ac:dyDescent="0.3">
      <c r="B234" s="2"/>
      <c r="D234" s="42"/>
    </row>
    <row r="235" spans="2:4" ht="15.75" customHeight="1" x14ac:dyDescent="0.3">
      <c r="B235" s="2"/>
      <c r="D235" s="42"/>
    </row>
    <row r="236" spans="2:4" ht="15.75" customHeight="1" x14ac:dyDescent="0.3">
      <c r="B236" s="2"/>
      <c r="D236" s="42"/>
    </row>
    <row r="237" spans="2:4" ht="15.75" customHeight="1" x14ac:dyDescent="0.3">
      <c r="B237" s="2"/>
      <c r="D237" s="42"/>
    </row>
    <row r="238" spans="2:4" ht="15.75" customHeight="1" x14ac:dyDescent="0.3">
      <c r="B238" s="2"/>
      <c r="D238" s="42"/>
    </row>
    <row r="239" spans="2:4" ht="15.75" customHeight="1" x14ac:dyDescent="0.3">
      <c r="B239" s="2"/>
      <c r="D239" s="42"/>
    </row>
    <row r="240" spans="2:4" ht="15.75" customHeight="1" x14ac:dyDescent="0.3">
      <c r="B240" s="2"/>
      <c r="D240" s="42"/>
    </row>
    <row r="241" spans="2:4" ht="15.75" customHeight="1" x14ac:dyDescent="0.3">
      <c r="B241" s="2"/>
      <c r="D241" s="42"/>
    </row>
    <row r="242" spans="2:4" ht="15.75" customHeight="1" x14ac:dyDescent="0.3">
      <c r="B242" s="2"/>
      <c r="D242" s="42"/>
    </row>
    <row r="243" spans="2:4" ht="15.75" customHeight="1" x14ac:dyDescent="0.3">
      <c r="B243" s="2"/>
      <c r="D243" s="42"/>
    </row>
    <row r="244" spans="2:4" ht="15.75" customHeight="1" x14ac:dyDescent="0.3">
      <c r="B244" s="2"/>
      <c r="D244" s="42"/>
    </row>
    <row r="245" spans="2:4" ht="15.75" customHeight="1" x14ac:dyDescent="0.3">
      <c r="B245" s="2"/>
      <c r="D245" s="42"/>
    </row>
    <row r="246" spans="2:4" ht="15.75" customHeight="1" x14ac:dyDescent="0.3">
      <c r="B246" s="2"/>
      <c r="D246" s="42"/>
    </row>
    <row r="247" spans="2:4" ht="15.75" customHeight="1" x14ac:dyDescent="0.3">
      <c r="B247" s="2"/>
      <c r="D247" s="42"/>
    </row>
    <row r="248" spans="2:4" ht="15.75" customHeight="1" x14ac:dyDescent="0.3">
      <c r="B248" s="2"/>
      <c r="D248" s="42"/>
    </row>
    <row r="249" spans="2:4" ht="15.75" customHeight="1" x14ac:dyDescent="0.3">
      <c r="B249" s="2"/>
      <c r="D249" s="42"/>
    </row>
    <row r="250" spans="2:4" ht="15.75" customHeight="1" x14ac:dyDescent="0.3">
      <c r="B250" s="2"/>
      <c r="D250" s="42"/>
    </row>
    <row r="251" spans="2:4" ht="15.75" customHeight="1" x14ac:dyDescent="0.3">
      <c r="B251" s="2"/>
      <c r="D251" s="42"/>
    </row>
    <row r="252" spans="2:4" ht="15.75" customHeight="1" x14ac:dyDescent="0.3">
      <c r="B252" s="2"/>
      <c r="D252" s="42"/>
    </row>
    <row r="253" spans="2:4" ht="15.75" customHeight="1" x14ac:dyDescent="0.3">
      <c r="B253" s="2"/>
      <c r="D253" s="42"/>
    </row>
    <row r="254" spans="2:4" ht="15.75" customHeight="1" x14ac:dyDescent="0.3">
      <c r="B254" s="2"/>
      <c r="D254" s="42"/>
    </row>
    <row r="255" spans="2:4" ht="15.75" customHeight="1" x14ac:dyDescent="0.3">
      <c r="B255" s="2"/>
      <c r="D255" s="42"/>
    </row>
    <row r="256" spans="2:4" ht="15.75" customHeight="1" x14ac:dyDescent="0.3">
      <c r="B256" s="2"/>
      <c r="D256" s="42"/>
    </row>
    <row r="257" spans="2:4" ht="15.75" customHeight="1" x14ac:dyDescent="0.3">
      <c r="B257" s="2"/>
      <c r="D257" s="42"/>
    </row>
    <row r="258" spans="2:4" ht="15.75" customHeight="1" x14ac:dyDescent="0.3">
      <c r="B258" s="2"/>
      <c r="D258" s="42"/>
    </row>
    <row r="259" spans="2:4" ht="15.75" customHeight="1" x14ac:dyDescent="0.3">
      <c r="B259" s="2"/>
      <c r="D259" s="42"/>
    </row>
    <row r="260" spans="2:4" ht="15.75" customHeight="1" x14ac:dyDescent="0.3">
      <c r="B260" s="2"/>
      <c r="D260" s="42"/>
    </row>
    <row r="261" spans="2:4" ht="15.75" customHeight="1" x14ac:dyDescent="0.3">
      <c r="B261" s="2"/>
      <c r="D261" s="42"/>
    </row>
    <row r="262" spans="2:4" ht="15.75" customHeight="1" x14ac:dyDescent="0.3">
      <c r="B262" s="2"/>
      <c r="D262" s="42"/>
    </row>
    <row r="263" spans="2:4" ht="15.75" customHeight="1" x14ac:dyDescent="0.3">
      <c r="B263" s="2"/>
      <c r="D263" s="42"/>
    </row>
    <row r="264" spans="2:4" ht="15.75" customHeight="1" x14ac:dyDescent="0.3">
      <c r="B264" s="2"/>
      <c r="D264" s="42"/>
    </row>
    <row r="265" spans="2:4" ht="15.75" customHeight="1" x14ac:dyDescent="0.3">
      <c r="B265" s="2"/>
      <c r="D265" s="42"/>
    </row>
    <row r="266" spans="2:4" ht="15.75" customHeight="1" x14ac:dyDescent="0.3">
      <c r="B266" s="2"/>
      <c r="D266" s="42"/>
    </row>
    <row r="267" spans="2:4" ht="15.75" customHeight="1" x14ac:dyDescent="0.3">
      <c r="B267" s="2"/>
      <c r="D267" s="42"/>
    </row>
    <row r="268" spans="2:4" ht="15.75" customHeight="1" x14ac:dyDescent="0.3">
      <c r="B268" s="2"/>
      <c r="D268" s="42"/>
    </row>
    <row r="269" spans="2:4" ht="15.75" customHeight="1" x14ac:dyDescent="0.3">
      <c r="B269" s="2"/>
      <c r="D269" s="42"/>
    </row>
    <row r="270" spans="2:4" ht="15.75" customHeight="1" x14ac:dyDescent="0.3">
      <c r="B270" s="2"/>
      <c r="D270" s="42"/>
    </row>
    <row r="271" spans="2:4" ht="15.75" customHeight="1" x14ac:dyDescent="0.3">
      <c r="B271" s="2"/>
      <c r="D271" s="42"/>
    </row>
    <row r="272" spans="2:4" ht="15.75" customHeight="1" x14ac:dyDescent="0.3">
      <c r="B272" s="2"/>
      <c r="D272" s="42"/>
    </row>
    <row r="273" spans="2:4" ht="15.75" customHeight="1" x14ac:dyDescent="0.3">
      <c r="B273" s="2"/>
      <c r="D273" s="42"/>
    </row>
    <row r="274" spans="2:4" ht="15.75" customHeight="1" x14ac:dyDescent="0.3">
      <c r="B274" s="2"/>
      <c r="D274" s="42"/>
    </row>
    <row r="275" spans="2:4" ht="15.75" customHeight="1" x14ac:dyDescent="0.3">
      <c r="B275" s="2"/>
      <c r="D275" s="42"/>
    </row>
    <row r="276" spans="2:4" ht="15.75" customHeight="1" x14ac:dyDescent="0.3">
      <c r="B276" s="2"/>
      <c r="D276" s="42"/>
    </row>
    <row r="277" spans="2:4" ht="15.75" customHeight="1" x14ac:dyDescent="0.3">
      <c r="B277" s="2"/>
      <c r="D277" s="42"/>
    </row>
    <row r="278" spans="2:4" ht="15.75" customHeight="1" x14ac:dyDescent="0.3">
      <c r="B278" s="2"/>
      <c r="D278" s="42"/>
    </row>
    <row r="279" spans="2:4" ht="15.75" customHeight="1" x14ac:dyDescent="0.3">
      <c r="B279" s="2"/>
      <c r="D279" s="42"/>
    </row>
    <row r="280" spans="2:4" ht="15.75" customHeight="1" x14ac:dyDescent="0.3">
      <c r="B280" s="2"/>
      <c r="D280" s="42"/>
    </row>
    <row r="281" spans="2:4" ht="15.75" customHeight="1" x14ac:dyDescent="0.3">
      <c r="B281" s="2"/>
      <c r="D281" s="42"/>
    </row>
    <row r="282" spans="2:4" ht="15.75" customHeight="1" x14ac:dyDescent="0.3">
      <c r="B282" s="2"/>
      <c r="D282" s="42"/>
    </row>
    <row r="283" spans="2:4" ht="15.75" customHeight="1" x14ac:dyDescent="0.3">
      <c r="B283" s="2"/>
      <c r="D283" s="42"/>
    </row>
    <row r="284" spans="2:4" ht="15.75" customHeight="1" x14ac:dyDescent="0.3">
      <c r="B284" s="2"/>
      <c r="D284" s="42"/>
    </row>
    <row r="285" spans="2:4" ht="15.75" customHeight="1" x14ac:dyDescent="0.3">
      <c r="B285" s="2"/>
      <c r="D285" s="42"/>
    </row>
    <row r="286" spans="2:4" ht="15.75" customHeight="1" x14ac:dyDescent="0.3">
      <c r="B286" s="2"/>
      <c r="D286" s="42"/>
    </row>
    <row r="287" spans="2:4" ht="15.75" customHeight="1" x14ac:dyDescent="0.3">
      <c r="B287" s="2"/>
      <c r="D287" s="42"/>
    </row>
    <row r="288" spans="2:4" ht="15.75" customHeight="1" x14ac:dyDescent="0.3">
      <c r="B288" s="2"/>
      <c r="D288" s="42"/>
    </row>
    <row r="289" spans="2:4" ht="15.75" customHeight="1" x14ac:dyDescent="0.3">
      <c r="B289" s="2"/>
      <c r="D289" s="42"/>
    </row>
    <row r="290" spans="2:4" ht="15.75" customHeight="1" x14ac:dyDescent="0.3">
      <c r="B290" s="2"/>
      <c r="D290" s="42"/>
    </row>
    <row r="291" spans="2:4" ht="15.75" customHeight="1" x14ac:dyDescent="0.3">
      <c r="B291" s="2"/>
      <c r="D291" s="42"/>
    </row>
    <row r="292" spans="2:4" ht="15.75" customHeight="1" x14ac:dyDescent="0.3">
      <c r="B292" s="2"/>
      <c r="D292" s="42"/>
    </row>
    <row r="293" spans="2:4" ht="15.75" customHeight="1" x14ac:dyDescent="0.3">
      <c r="B293" s="2"/>
      <c r="D293" s="42"/>
    </row>
    <row r="294" spans="2:4" ht="15.75" customHeight="1" x14ac:dyDescent="0.3">
      <c r="B294" s="2"/>
      <c r="D294" s="42"/>
    </row>
    <row r="295" spans="2:4" ht="15.75" customHeight="1" x14ac:dyDescent="0.3">
      <c r="B295" s="2"/>
      <c r="D295" s="42"/>
    </row>
    <row r="296" spans="2:4" ht="15.75" customHeight="1" x14ac:dyDescent="0.3">
      <c r="B296" s="2"/>
      <c r="D296" s="42"/>
    </row>
    <row r="297" spans="2:4" ht="15.75" customHeight="1" x14ac:dyDescent="0.3">
      <c r="B297" s="2"/>
      <c r="D297" s="42"/>
    </row>
    <row r="298" spans="2:4" ht="15.75" customHeight="1" x14ac:dyDescent="0.3">
      <c r="B298" s="2"/>
      <c r="D298" s="42"/>
    </row>
    <row r="299" spans="2:4" ht="15.75" customHeight="1" x14ac:dyDescent="0.3">
      <c r="B299" s="2"/>
      <c r="D299" s="42"/>
    </row>
    <row r="300" spans="2:4" ht="15.75" customHeight="1" x14ac:dyDescent="0.3">
      <c r="B300" s="2"/>
      <c r="D300" s="42"/>
    </row>
    <row r="301" spans="2:4" ht="15.75" customHeight="1" x14ac:dyDescent="0.3">
      <c r="B301" s="2"/>
      <c r="D301" s="42"/>
    </row>
    <row r="302" spans="2:4" ht="15.75" customHeight="1" x14ac:dyDescent="0.3">
      <c r="B302" s="2"/>
      <c r="D302" s="42"/>
    </row>
    <row r="303" spans="2:4" ht="15.75" customHeight="1" x14ac:dyDescent="0.3">
      <c r="B303" s="2"/>
      <c r="D303" s="42"/>
    </row>
    <row r="304" spans="2:4" ht="15.75" customHeight="1" x14ac:dyDescent="0.3">
      <c r="B304" s="2"/>
      <c r="D304" s="42"/>
    </row>
    <row r="305" spans="2:4" ht="15.75" customHeight="1" x14ac:dyDescent="0.3">
      <c r="B305" s="2"/>
      <c r="D305" s="42"/>
    </row>
    <row r="306" spans="2:4" ht="15.75" customHeight="1" x14ac:dyDescent="0.3">
      <c r="B306" s="2"/>
      <c r="D306" s="42"/>
    </row>
    <row r="307" spans="2:4" ht="15.75" customHeight="1" x14ac:dyDescent="0.3">
      <c r="B307" s="2"/>
      <c r="D307" s="42"/>
    </row>
    <row r="308" spans="2:4" ht="15.75" customHeight="1" x14ac:dyDescent="0.3">
      <c r="B308" s="2"/>
      <c r="D308" s="42"/>
    </row>
    <row r="309" spans="2:4" ht="15.75" customHeight="1" x14ac:dyDescent="0.3">
      <c r="B309" s="2"/>
      <c r="D309" s="42"/>
    </row>
    <row r="310" spans="2:4" ht="15.75" customHeight="1" x14ac:dyDescent="0.3">
      <c r="B310" s="2"/>
      <c r="D310" s="42"/>
    </row>
    <row r="311" spans="2:4" ht="15.75" customHeight="1" x14ac:dyDescent="0.3">
      <c r="B311" s="2"/>
      <c r="D311" s="42"/>
    </row>
    <row r="312" spans="2:4" ht="15.75" customHeight="1" x14ac:dyDescent="0.3">
      <c r="B312" s="2"/>
      <c r="D312" s="42"/>
    </row>
    <row r="313" spans="2:4" ht="15.75" customHeight="1" x14ac:dyDescent="0.3">
      <c r="B313" s="2"/>
      <c r="D313" s="42"/>
    </row>
    <row r="314" spans="2:4" ht="15.75" customHeight="1" x14ac:dyDescent="0.3">
      <c r="B314" s="2"/>
      <c r="D314" s="42"/>
    </row>
    <row r="315" spans="2:4" ht="15.75" customHeight="1" x14ac:dyDescent="0.3">
      <c r="B315" s="2"/>
      <c r="D315" s="42"/>
    </row>
    <row r="316" spans="2:4" ht="15.75" customHeight="1" x14ac:dyDescent="0.3">
      <c r="B316" s="2"/>
      <c r="D316" s="42"/>
    </row>
    <row r="317" spans="2:4" ht="15.75" customHeight="1" x14ac:dyDescent="0.3">
      <c r="B317" s="2"/>
      <c r="D317" s="42"/>
    </row>
    <row r="318" spans="2:4" ht="15.75" customHeight="1" x14ac:dyDescent="0.3">
      <c r="B318" s="2"/>
      <c r="D318" s="42"/>
    </row>
    <row r="319" spans="2:4" ht="15.75" customHeight="1" x14ac:dyDescent="0.3">
      <c r="B319" s="2"/>
      <c r="D319" s="42"/>
    </row>
    <row r="320" spans="2:4" ht="15.75" customHeight="1" x14ac:dyDescent="0.3">
      <c r="B320" s="2"/>
      <c r="D320" s="42"/>
    </row>
    <row r="321" spans="2:4" ht="15.75" customHeight="1" x14ac:dyDescent="0.3">
      <c r="B321" s="2"/>
      <c r="D321" s="42"/>
    </row>
    <row r="322" spans="2:4" ht="15.75" customHeight="1" x14ac:dyDescent="0.3">
      <c r="B322" s="2"/>
      <c r="D322" s="42"/>
    </row>
    <row r="323" spans="2:4" ht="15.75" customHeight="1" x14ac:dyDescent="0.3">
      <c r="B323" s="2"/>
      <c r="D323" s="42"/>
    </row>
    <row r="324" spans="2:4" ht="15.75" customHeight="1" x14ac:dyDescent="0.3">
      <c r="B324" s="2"/>
      <c r="D324" s="42"/>
    </row>
    <row r="325" spans="2:4" ht="15.75" customHeight="1" x14ac:dyDescent="0.3">
      <c r="B325" s="2"/>
      <c r="D325" s="42"/>
    </row>
    <row r="326" spans="2:4" ht="15.75" customHeight="1" x14ac:dyDescent="0.3">
      <c r="B326" s="2"/>
      <c r="D326" s="42"/>
    </row>
    <row r="327" spans="2:4" ht="15.75" customHeight="1" x14ac:dyDescent="0.3">
      <c r="B327" s="2"/>
      <c r="D327" s="42"/>
    </row>
    <row r="328" spans="2:4" ht="15.75" customHeight="1" x14ac:dyDescent="0.3">
      <c r="B328" s="2"/>
      <c r="D328" s="42"/>
    </row>
    <row r="329" spans="2:4" ht="15.75" customHeight="1" x14ac:dyDescent="0.3">
      <c r="B329" s="2"/>
      <c r="D329" s="42"/>
    </row>
    <row r="330" spans="2:4" ht="15.75" customHeight="1" x14ac:dyDescent="0.3">
      <c r="B330" s="2"/>
      <c r="D330" s="42"/>
    </row>
    <row r="331" spans="2:4" ht="15.75" customHeight="1" x14ac:dyDescent="0.3">
      <c r="B331" s="2"/>
      <c r="D331" s="42"/>
    </row>
    <row r="332" spans="2:4" ht="15.75" customHeight="1" x14ac:dyDescent="0.3">
      <c r="B332" s="2"/>
      <c r="D332" s="42"/>
    </row>
    <row r="333" spans="2:4" ht="15.75" customHeight="1" x14ac:dyDescent="0.3">
      <c r="B333" s="2"/>
      <c r="D333" s="42"/>
    </row>
    <row r="334" spans="2:4" ht="15.75" customHeight="1" x14ac:dyDescent="0.3">
      <c r="B334" s="2"/>
      <c r="D334" s="42"/>
    </row>
    <row r="335" spans="2:4" ht="15.75" customHeight="1" x14ac:dyDescent="0.3">
      <c r="B335" s="2"/>
      <c r="D335" s="42"/>
    </row>
    <row r="336" spans="2:4" ht="15.75" customHeight="1" x14ac:dyDescent="0.3">
      <c r="B336" s="2"/>
      <c r="D336" s="42"/>
    </row>
    <row r="337" spans="2:4" ht="15.75" customHeight="1" x14ac:dyDescent="0.3">
      <c r="B337" s="2"/>
      <c r="D337" s="42"/>
    </row>
    <row r="338" spans="2:4" ht="15.75" customHeight="1" x14ac:dyDescent="0.3">
      <c r="B338" s="2"/>
      <c r="D338" s="42"/>
    </row>
    <row r="339" spans="2:4" ht="15.75" customHeight="1" x14ac:dyDescent="0.3">
      <c r="B339" s="2"/>
      <c r="D339" s="42"/>
    </row>
    <row r="340" spans="2:4" ht="15.75" customHeight="1" x14ac:dyDescent="0.3">
      <c r="B340" s="2"/>
      <c r="D340" s="42"/>
    </row>
    <row r="341" spans="2:4" ht="15.75" customHeight="1" x14ac:dyDescent="0.3">
      <c r="B341" s="2"/>
      <c r="D341" s="42"/>
    </row>
    <row r="342" spans="2:4" ht="15.75" customHeight="1" x14ac:dyDescent="0.3">
      <c r="B342" s="2"/>
      <c r="D342" s="42"/>
    </row>
    <row r="343" spans="2:4" ht="15.75" customHeight="1" x14ac:dyDescent="0.3">
      <c r="B343" s="2"/>
      <c r="D343" s="42"/>
    </row>
    <row r="344" spans="2:4" ht="15.75" customHeight="1" x14ac:dyDescent="0.3">
      <c r="B344" s="2"/>
      <c r="D344" s="42"/>
    </row>
    <row r="345" spans="2:4" ht="15.75" customHeight="1" x14ac:dyDescent="0.3">
      <c r="B345" s="2"/>
      <c r="D345" s="42"/>
    </row>
    <row r="346" spans="2:4" ht="15.75" customHeight="1" x14ac:dyDescent="0.3">
      <c r="B346" s="2"/>
      <c r="D346" s="42"/>
    </row>
    <row r="347" spans="2:4" ht="15.75" customHeight="1" x14ac:dyDescent="0.3">
      <c r="B347" s="2"/>
      <c r="D347" s="42"/>
    </row>
    <row r="348" spans="2:4" ht="15.75" customHeight="1" x14ac:dyDescent="0.3">
      <c r="B348" s="2"/>
      <c r="D348" s="42"/>
    </row>
    <row r="349" spans="2:4" ht="15.75" customHeight="1" x14ac:dyDescent="0.3">
      <c r="B349" s="2"/>
      <c r="D349" s="42"/>
    </row>
    <row r="350" spans="2:4" ht="15.75" customHeight="1" x14ac:dyDescent="0.3">
      <c r="B350" s="2"/>
      <c r="D350" s="42"/>
    </row>
    <row r="351" spans="2:4" ht="15.75" customHeight="1" x14ac:dyDescent="0.3">
      <c r="B351" s="2"/>
      <c r="D351" s="42"/>
    </row>
    <row r="352" spans="2:4" ht="15.75" customHeight="1" x14ac:dyDescent="0.3">
      <c r="B352" s="2"/>
      <c r="D352" s="42"/>
    </row>
    <row r="353" spans="2:4" ht="15.75" customHeight="1" x14ac:dyDescent="0.3">
      <c r="B353" s="2"/>
      <c r="D353" s="42"/>
    </row>
    <row r="354" spans="2:4" ht="15.75" customHeight="1" x14ac:dyDescent="0.3">
      <c r="B354" s="2"/>
      <c r="D354" s="42"/>
    </row>
    <row r="355" spans="2:4" ht="15.75" customHeight="1" x14ac:dyDescent="0.3">
      <c r="B355" s="2"/>
      <c r="D355" s="42"/>
    </row>
    <row r="356" spans="2:4" ht="15.75" customHeight="1" x14ac:dyDescent="0.3">
      <c r="B356" s="2"/>
      <c r="D356" s="42"/>
    </row>
    <row r="357" spans="2:4" ht="15.75" customHeight="1" x14ac:dyDescent="0.3">
      <c r="B357" s="2"/>
      <c r="D357" s="42"/>
    </row>
    <row r="358" spans="2:4" ht="15.75" customHeight="1" x14ac:dyDescent="0.3">
      <c r="B358" s="2"/>
      <c r="D358" s="42"/>
    </row>
    <row r="359" spans="2:4" ht="15.75" customHeight="1" x14ac:dyDescent="0.3">
      <c r="B359" s="2"/>
      <c r="D359" s="42"/>
    </row>
    <row r="360" spans="2:4" ht="15.75" customHeight="1" x14ac:dyDescent="0.3">
      <c r="B360" s="2"/>
      <c r="D360" s="42"/>
    </row>
    <row r="361" spans="2:4" ht="15.75" customHeight="1" x14ac:dyDescent="0.3">
      <c r="B361" s="2"/>
      <c r="D361" s="42"/>
    </row>
    <row r="362" spans="2:4" ht="15.75" customHeight="1" x14ac:dyDescent="0.3">
      <c r="B362" s="2"/>
      <c r="D362" s="42"/>
    </row>
    <row r="363" spans="2:4" ht="15.75" customHeight="1" x14ac:dyDescent="0.3">
      <c r="B363" s="2"/>
      <c r="D363" s="42"/>
    </row>
    <row r="364" spans="2:4" ht="15.75" customHeight="1" x14ac:dyDescent="0.3">
      <c r="B364" s="2"/>
      <c r="D364" s="42"/>
    </row>
    <row r="365" spans="2:4" ht="15.75" customHeight="1" x14ac:dyDescent="0.3">
      <c r="B365" s="2"/>
      <c r="D365" s="42"/>
    </row>
    <row r="366" spans="2:4" ht="15.75" customHeight="1" x14ac:dyDescent="0.3">
      <c r="B366" s="2"/>
      <c r="D366" s="42"/>
    </row>
    <row r="367" spans="2:4" ht="15.75" customHeight="1" x14ac:dyDescent="0.3">
      <c r="B367" s="2"/>
      <c r="D367" s="42"/>
    </row>
    <row r="368" spans="2:4" ht="15.75" customHeight="1" x14ac:dyDescent="0.3">
      <c r="B368" s="2"/>
      <c r="D368" s="42"/>
    </row>
    <row r="369" spans="2:4" ht="15.75" customHeight="1" x14ac:dyDescent="0.3">
      <c r="B369" s="2"/>
      <c r="D369" s="42"/>
    </row>
    <row r="370" spans="2:4" ht="15.75" customHeight="1" x14ac:dyDescent="0.3">
      <c r="B370" s="2"/>
      <c r="D370" s="42"/>
    </row>
    <row r="371" spans="2:4" ht="15.75" customHeight="1" x14ac:dyDescent="0.3">
      <c r="B371" s="2"/>
      <c r="D371" s="42"/>
    </row>
    <row r="372" spans="2:4" ht="15.75" customHeight="1" x14ac:dyDescent="0.3">
      <c r="B372" s="2"/>
      <c r="D372" s="42"/>
    </row>
    <row r="373" spans="2:4" ht="15.75" customHeight="1" x14ac:dyDescent="0.3">
      <c r="B373" s="2"/>
      <c r="D373" s="42"/>
    </row>
    <row r="374" spans="2:4" ht="15.75" customHeight="1" x14ac:dyDescent="0.3">
      <c r="B374" s="2"/>
      <c r="D374" s="42"/>
    </row>
    <row r="375" spans="2:4" ht="15.75" customHeight="1" x14ac:dyDescent="0.3">
      <c r="B375" s="2"/>
      <c r="D375" s="42"/>
    </row>
    <row r="376" spans="2:4" ht="15.75" customHeight="1" x14ac:dyDescent="0.3">
      <c r="B376" s="2"/>
      <c r="D376" s="42"/>
    </row>
    <row r="377" spans="2:4" ht="15.75" customHeight="1" x14ac:dyDescent="0.3">
      <c r="B377" s="2"/>
      <c r="D377" s="42"/>
    </row>
    <row r="378" spans="2:4" ht="15.75" customHeight="1" x14ac:dyDescent="0.3">
      <c r="B378" s="2"/>
      <c r="D378" s="42"/>
    </row>
    <row r="379" spans="2:4" ht="15.75" customHeight="1" x14ac:dyDescent="0.3">
      <c r="B379" s="2"/>
      <c r="D379" s="42"/>
    </row>
    <row r="380" spans="2:4" ht="15.75" customHeight="1" x14ac:dyDescent="0.3">
      <c r="B380" s="2"/>
      <c r="D380" s="42"/>
    </row>
    <row r="381" spans="2:4" ht="15.75" customHeight="1" x14ac:dyDescent="0.3">
      <c r="B381" s="2"/>
      <c r="D381" s="42"/>
    </row>
    <row r="382" spans="2:4" ht="15.75" customHeight="1" x14ac:dyDescent="0.3">
      <c r="B382" s="2"/>
      <c r="D382" s="42"/>
    </row>
    <row r="383" spans="2:4" ht="15.75" customHeight="1" x14ac:dyDescent="0.3">
      <c r="B383" s="2"/>
      <c r="D383" s="42"/>
    </row>
    <row r="384" spans="2:4" ht="15.75" customHeight="1" x14ac:dyDescent="0.3">
      <c r="B384" s="2"/>
      <c r="D384" s="42"/>
    </row>
    <row r="385" spans="2:4" ht="15.75" customHeight="1" x14ac:dyDescent="0.3">
      <c r="B385" s="2"/>
      <c r="D385" s="42"/>
    </row>
    <row r="386" spans="2:4" ht="15.75" customHeight="1" x14ac:dyDescent="0.3">
      <c r="B386" s="2"/>
      <c r="D386" s="42"/>
    </row>
    <row r="387" spans="2:4" ht="15.75" customHeight="1" x14ac:dyDescent="0.3">
      <c r="B387" s="2"/>
      <c r="D387" s="42"/>
    </row>
    <row r="388" spans="2:4" ht="15.75" customHeight="1" x14ac:dyDescent="0.3">
      <c r="B388" s="2"/>
      <c r="D388" s="42"/>
    </row>
    <row r="389" spans="2:4" ht="15.75" customHeight="1" x14ac:dyDescent="0.3">
      <c r="B389" s="2"/>
      <c r="D389" s="42"/>
    </row>
    <row r="390" spans="2:4" ht="15.75" customHeight="1" x14ac:dyDescent="0.3">
      <c r="B390" s="2"/>
      <c r="D390" s="42"/>
    </row>
    <row r="391" spans="2:4" ht="15.75" customHeight="1" x14ac:dyDescent="0.3">
      <c r="B391" s="2"/>
      <c r="D391" s="42"/>
    </row>
    <row r="392" spans="2:4" ht="15.75" customHeight="1" x14ac:dyDescent="0.3">
      <c r="B392" s="2"/>
      <c r="D392" s="42"/>
    </row>
    <row r="393" spans="2:4" ht="15.75" customHeight="1" x14ac:dyDescent="0.3">
      <c r="B393" s="2"/>
      <c r="D393" s="42"/>
    </row>
    <row r="394" spans="2:4" ht="15.75" customHeight="1" x14ac:dyDescent="0.3">
      <c r="B394" s="2"/>
      <c r="D394" s="42"/>
    </row>
    <row r="395" spans="2:4" ht="15.75" customHeight="1" x14ac:dyDescent="0.3">
      <c r="B395" s="2"/>
      <c r="D395" s="42"/>
    </row>
    <row r="396" spans="2:4" ht="15.75" customHeight="1" x14ac:dyDescent="0.3">
      <c r="B396" s="2"/>
      <c r="D396" s="42"/>
    </row>
    <row r="397" spans="2:4" ht="15.75" customHeight="1" x14ac:dyDescent="0.3">
      <c r="B397" s="2"/>
      <c r="D397" s="42"/>
    </row>
    <row r="398" spans="2:4" ht="15.75" customHeight="1" x14ac:dyDescent="0.3">
      <c r="B398" s="2"/>
      <c r="D398" s="42"/>
    </row>
    <row r="399" spans="2:4" ht="15.75" customHeight="1" x14ac:dyDescent="0.3">
      <c r="B399" s="2"/>
      <c r="D399" s="42"/>
    </row>
    <row r="400" spans="2:4" ht="15.75" customHeight="1" x14ac:dyDescent="0.3">
      <c r="B400" s="2"/>
      <c r="D400" s="42"/>
    </row>
    <row r="401" spans="2:4" ht="15.75" customHeight="1" x14ac:dyDescent="0.3">
      <c r="B401" s="2"/>
      <c r="D401" s="42"/>
    </row>
    <row r="402" spans="2:4" ht="15.75" customHeight="1" x14ac:dyDescent="0.3">
      <c r="B402" s="2"/>
      <c r="D402" s="42"/>
    </row>
    <row r="403" spans="2:4" ht="15.75" customHeight="1" x14ac:dyDescent="0.3">
      <c r="B403" s="2"/>
      <c r="D403" s="42"/>
    </row>
    <row r="404" spans="2:4" ht="15.75" customHeight="1" x14ac:dyDescent="0.3">
      <c r="B404" s="2"/>
      <c r="D404" s="42"/>
    </row>
    <row r="405" spans="2:4" ht="15.75" customHeight="1" x14ac:dyDescent="0.3">
      <c r="B405" s="2"/>
      <c r="D405" s="42"/>
    </row>
    <row r="406" spans="2:4" ht="15.75" customHeight="1" x14ac:dyDescent="0.3">
      <c r="B406" s="2"/>
      <c r="D406" s="42"/>
    </row>
    <row r="407" spans="2:4" ht="15.75" customHeight="1" x14ac:dyDescent="0.3">
      <c r="B407" s="2"/>
      <c r="D407" s="42"/>
    </row>
    <row r="408" spans="2:4" ht="15.75" customHeight="1" x14ac:dyDescent="0.3">
      <c r="B408" s="2"/>
      <c r="D408" s="42"/>
    </row>
    <row r="409" spans="2:4" ht="15.75" customHeight="1" x14ac:dyDescent="0.3">
      <c r="B409" s="2"/>
      <c r="D409" s="42"/>
    </row>
    <row r="410" spans="2:4" ht="15.75" customHeight="1" x14ac:dyDescent="0.3">
      <c r="B410" s="2"/>
      <c r="D410" s="42"/>
    </row>
    <row r="411" spans="2:4" ht="15.75" customHeight="1" x14ac:dyDescent="0.3">
      <c r="B411" s="2"/>
      <c r="D411" s="42"/>
    </row>
    <row r="412" spans="2:4" ht="15.75" customHeight="1" x14ac:dyDescent="0.3">
      <c r="B412" s="2"/>
      <c r="D412" s="42"/>
    </row>
    <row r="413" spans="2:4" ht="15.75" customHeight="1" x14ac:dyDescent="0.3">
      <c r="B413" s="2"/>
      <c r="D413" s="42"/>
    </row>
    <row r="414" spans="2:4" ht="15.75" customHeight="1" x14ac:dyDescent="0.3">
      <c r="B414" s="2"/>
      <c r="D414" s="42"/>
    </row>
    <row r="415" spans="2:4" ht="15.75" customHeight="1" x14ac:dyDescent="0.3">
      <c r="B415" s="2"/>
      <c r="D415" s="42"/>
    </row>
    <row r="416" spans="2:4" ht="15.75" customHeight="1" x14ac:dyDescent="0.3">
      <c r="B416" s="2"/>
      <c r="D416" s="42"/>
    </row>
    <row r="417" spans="2:4" ht="15.75" customHeight="1" x14ac:dyDescent="0.3">
      <c r="B417" s="2"/>
      <c r="D417" s="42"/>
    </row>
    <row r="418" spans="2:4" ht="15.75" customHeight="1" x14ac:dyDescent="0.3">
      <c r="B418" s="2"/>
      <c r="D418" s="42"/>
    </row>
    <row r="419" spans="2:4" ht="15.75" customHeight="1" x14ac:dyDescent="0.3">
      <c r="B419" s="2"/>
      <c r="D419" s="42"/>
    </row>
    <row r="420" spans="2:4" ht="15.75" customHeight="1" x14ac:dyDescent="0.3">
      <c r="B420" s="2"/>
      <c r="D420" s="42"/>
    </row>
    <row r="421" spans="2:4" ht="15.75" customHeight="1" x14ac:dyDescent="0.3">
      <c r="B421" s="2"/>
      <c r="D421" s="42"/>
    </row>
    <row r="422" spans="2:4" ht="15.75" customHeight="1" x14ac:dyDescent="0.3">
      <c r="B422" s="2"/>
      <c r="D422" s="42"/>
    </row>
    <row r="423" spans="2:4" ht="15.75" customHeight="1" x14ac:dyDescent="0.3">
      <c r="B423" s="2"/>
      <c r="D423" s="42"/>
    </row>
    <row r="424" spans="2:4" ht="15.75" customHeight="1" x14ac:dyDescent="0.3">
      <c r="B424" s="2"/>
      <c r="D424" s="42"/>
    </row>
    <row r="425" spans="2:4" ht="15.75" customHeight="1" x14ac:dyDescent="0.3">
      <c r="B425" s="2"/>
      <c r="D425" s="42"/>
    </row>
    <row r="426" spans="2:4" ht="15.75" customHeight="1" x14ac:dyDescent="0.3">
      <c r="B426" s="2"/>
      <c r="D426" s="42"/>
    </row>
    <row r="427" spans="2:4" ht="15.75" customHeight="1" x14ac:dyDescent="0.3">
      <c r="B427" s="2"/>
      <c r="D427" s="42"/>
    </row>
    <row r="428" spans="2:4" ht="15.75" customHeight="1" x14ac:dyDescent="0.3">
      <c r="B428" s="2"/>
      <c r="D428" s="42"/>
    </row>
    <row r="429" spans="2:4" ht="15.75" customHeight="1" x14ac:dyDescent="0.3">
      <c r="B429" s="2"/>
      <c r="D429" s="42"/>
    </row>
    <row r="430" spans="2:4" ht="15.75" customHeight="1" x14ac:dyDescent="0.3">
      <c r="B430" s="2"/>
      <c r="D430" s="42"/>
    </row>
    <row r="431" spans="2:4" ht="15.75" customHeight="1" x14ac:dyDescent="0.3">
      <c r="B431" s="2"/>
      <c r="D431" s="42"/>
    </row>
    <row r="432" spans="2:4" ht="15.75" customHeight="1" x14ac:dyDescent="0.3">
      <c r="B432" s="2"/>
      <c r="D432" s="42"/>
    </row>
    <row r="433" spans="2:4" ht="15.75" customHeight="1" x14ac:dyDescent="0.3">
      <c r="B433" s="2"/>
      <c r="D433" s="42"/>
    </row>
    <row r="434" spans="2:4" ht="15.75" customHeight="1" x14ac:dyDescent="0.3">
      <c r="B434" s="2"/>
      <c r="D434" s="42"/>
    </row>
    <row r="435" spans="2:4" ht="15.75" customHeight="1" x14ac:dyDescent="0.3">
      <c r="B435" s="2"/>
      <c r="D435" s="42"/>
    </row>
    <row r="436" spans="2:4" ht="15.75" customHeight="1" x14ac:dyDescent="0.3">
      <c r="B436" s="2"/>
      <c r="D436" s="42"/>
    </row>
    <row r="437" spans="2:4" ht="15.75" customHeight="1" x14ac:dyDescent="0.3">
      <c r="B437" s="2"/>
      <c r="D437" s="42"/>
    </row>
    <row r="438" spans="2:4" ht="15.75" customHeight="1" x14ac:dyDescent="0.3">
      <c r="B438" s="2"/>
      <c r="D438" s="42"/>
    </row>
    <row r="439" spans="2:4" ht="15.75" customHeight="1" x14ac:dyDescent="0.3">
      <c r="B439" s="2"/>
      <c r="D439" s="42"/>
    </row>
    <row r="440" spans="2:4" ht="15.75" customHeight="1" x14ac:dyDescent="0.3">
      <c r="B440" s="2"/>
      <c r="D440" s="42"/>
    </row>
    <row r="441" spans="2:4" ht="15.75" customHeight="1" x14ac:dyDescent="0.3">
      <c r="B441" s="2"/>
      <c r="D441" s="42"/>
    </row>
    <row r="442" spans="2:4" ht="15.75" customHeight="1" x14ac:dyDescent="0.3">
      <c r="B442" s="2"/>
      <c r="D442" s="42"/>
    </row>
    <row r="443" spans="2:4" ht="15.75" customHeight="1" x14ac:dyDescent="0.3">
      <c r="B443" s="2"/>
      <c r="D443" s="42"/>
    </row>
    <row r="444" spans="2:4" ht="15.75" customHeight="1" x14ac:dyDescent="0.3">
      <c r="B444" s="2"/>
      <c r="D444" s="42"/>
    </row>
    <row r="445" spans="2:4" ht="15.75" customHeight="1" x14ac:dyDescent="0.3">
      <c r="B445" s="2"/>
      <c r="D445" s="42"/>
    </row>
    <row r="446" spans="2:4" ht="15.75" customHeight="1" x14ac:dyDescent="0.3">
      <c r="B446" s="2"/>
      <c r="D446" s="42"/>
    </row>
    <row r="447" spans="2:4" ht="15.75" customHeight="1" x14ac:dyDescent="0.3">
      <c r="B447" s="2"/>
      <c r="D447" s="42"/>
    </row>
    <row r="448" spans="2:4" ht="15.75" customHeight="1" x14ac:dyDescent="0.3">
      <c r="B448" s="2"/>
      <c r="D448" s="42"/>
    </row>
    <row r="449" spans="2:4" ht="15.75" customHeight="1" x14ac:dyDescent="0.3">
      <c r="B449" s="2"/>
      <c r="D449" s="42"/>
    </row>
    <row r="450" spans="2:4" ht="15.75" customHeight="1" x14ac:dyDescent="0.3">
      <c r="B450" s="2"/>
      <c r="D450" s="42"/>
    </row>
    <row r="451" spans="2:4" ht="15.75" customHeight="1" x14ac:dyDescent="0.3">
      <c r="B451" s="2"/>
      <c r="D451" s="42"/>
    </row>
    <row r="452" spans="2:4" ht="15.75" customHeight="1" x14ac:dyDescent="0.3">
      <c r="B452" s="2"/>
      <c r="D452" s="42"/>
    </row>
    <row r="453" spans="2:4" ht="15.75" customHeight="1" x14ac:dyDescent="0.3">
      <c r="B453" s="2"/>
      <c r="D453" s="42"/>
    </row>
    <row r="454" spans="2:4" ht="15.75" customHeight="1" x14ac:dyDescent="0.3">
      <c r="B454" s="2"/>
      <c r="D454" s="42"/>
    </row>
    <row r="455" spans="2:4" ht="15.75" customHeight="1" x14ac:dyDescent="0.3">
      <c r="B455" s="2"/>
      <c r="D455" s="42"/>
    </row>
    <row r="456" spans="2:4" ht="15.75" customHeight="1" x14ac:dyDescent="0.3">
      <c r="B456" s="2"/>
      <c r="D456" s="42"/>
    </row>
    <row r="457" spans="2:4" ht="15.75" customHeight="1" x14ac:dyDescent="0.3">
      <c r="B457" s="2"/>
      <c r="D457" s="42"/>
    </row>
    <row r="458" spans="2:4" ht="15.75" customHeight="1" x14ac:dyDescent="0.3">
      <c r="B458" s="2"/>
      <c r="D458" s="42"/>
    </row>
    <row r="459" spans="2:4" ht="15.75" customHeight="1" x14ac:dyDescent="0.3">
      <c r="B459" s="2"/>
      <c r="D459" s="42"/>
    </row>
    <row r="460" spans="2:4" ht="15.75" customHeight="1" x14ac:dyDescent="0.3">
      <c r="B460" s="2"/>
      <c r="D460" s="42"/>
    </row>
    <row r="461" spans="2:4" ht="15.75" customHeight="1" x14ac:dyDescent="0.3">
      <c r="B461" s="2"/>
      <c r="D461" s="42"/>
    </row>
    <row r="462" spans="2:4" ht="15.75" customHeight="1" x14ac:dyDescent="0.3">
      <c r="B462" s="2"/>
      <c r="D462" s="42"/>
    </row>
    <row r="463" spans="2:4" ht="15.75" customHeight="1" x14ac:dyDescent="0.3">
      <c r="B463" s="2"/>
      <c r="D463" s="42"/>
    </row>
    <row r="464" spans="2:4" ht="15.75" customHeight="1" x14ac:dyDescent="0.3">
      <c r="B464" s="2"/>
      <c r="D464" s="42"/>
    </row>
    <row r="465" spans="2:4" ht="15.75" customHeight="1" x14ac:dyDescent="0.3">
      <c r="B465" s="2"/>
      <c r="D465" s="42"/>
    </row>
    <row r="466" spans="2:4" ht="15.75" customHeight="1" x14ac:dyDescent="0.3">
      <c r="B466" s="2"/>
      <c r="D466" s="42"/>
    </row>
    <row r="467" spans="2:4" ht="15.75" customHeight="1" x14ac:dyDescent="0.3">
      <c r="B467" s="2"/>
      <c r="D467" s="42"/>
    </row>
    <row r="468" spans="2:4" ht="15.75" customHeight="1" x14ac:dyDescent="0.3">
      <c r="B468" s="2"/>
      <c r="D468" s="42"/>
    </row>
    <row r="469" spans="2:4" ht="15.75" customHeight="1" x14ac:dyDescent="0.3">
      <c r="B469" s="2"/>
      <c r="D469" s="42"/>
    </row>
    <row r="470" spans="2:4" ht="15.75" customHeight="1" x14ac:dyDescent="0.3">
      <c r="B470" s="2"/>
      <c r="D470" s="42"/>
    </row>
    <row r="471" spans="2:4" ht="15.75" customHeight="1" x14ac:dyDescent="0.3">
      <c r="B471" s="2"/>
      <c r="D471" s="42"/>
    </row>
    <row r="472" spans="2:4" ht="15.75" customHeight="1" x14ac:dyDescent="0.3">
      <c r="B472" s="2"/>
      <c r="D472" s="42"/>
    </row>
    <row r="473" spans="2:4" ht="15.75" customHeight="1" x14ac:dyDescent="0.3">
      <c r="B473" s="2"/>
      <c r="D473" s="42"/>
    </row>
    <row r="474" spans="2:4" ht="15.75" customHeight="1" x14ac:dyDescent="0.3">
      <c r="B474" s="2"/>
      <c r="D474" s="42"/>
    </row>
    <row r="475" spans="2:4" ht="15.75" customHeight="1" x14ac:dyDescent="0.3">
      <c r="B475" s="2"/>
      <c r="D475" s="42"/>
    </row>
    <row r="476" spans="2:4" ht="15.75" customHeight="1" x14ac:dyDescent="0.3">
      <c r="B476" s="2"/>
      <c r="D476" s="42"/>
    </row>
    <row r="477" spans="2:4" ht="15.75" customHeight="1" x14ac:dyDescent="0.3">
      <c r="B477" s="2"/>
      <c r="D477" s="42"/>
    </row>
    <row r="478" spans="2:4" ht="15.75" customHeight="1" x14ac:dyDescent="0.3">
      <c r="B478" s="2"/>
      <c r="D478" s="42"/>
    </row>
    <row r="479" spans="2:4" ht="15.75" customHeight="1" x14ac:dyDescent="0.3">
      <c r="B479" s="2"/>
      <c r="D479" s="42"/>
    </row>
    <row r="480" spans="2:4" ht="15.75" customHeight="1" x14ac:dyDescent="0.3">
      <c r="B480" s="2"/>
      <c r="D480" s="42"/>
    </row>
    <row r="481" spans="2:4" ht="15.75" customHeight="1" x14ac:dyDescent="0.3">
      <c r="B481" s="2"/>
      <c r="D481" s="42"/>
    </row>
    <row r="482" spans="2:4" ht="15.75" customHeight="1" x14ac:dyDescent="0.3">
      <c r="B482" s="2"/>
      <c r="D482" s="42"/>
    </row>
    <row r="483" spans="2:4" ht="15.75" customHeight="1" x14ac:dyDescent="0.3">
      <c r="B483" s="2"/>
      <c r="D483" s="42"/>
    </row>
    <row r="484" spans="2:4" ht="15.75" customHeight="1" x14ac:dyDescent="0.3">
      <c r="B484" s="2"/>
      <c r="D484" s="42"/>
    </row>
    <row r="485" spans="2:4" ht="15.75" customHeight="1" x14ac:dyDescent="0.3">
      <c r="B485" s="2"/>
      <c r="D485" s="42"/>
    </row>
    <row r="486" spans="2:4" ht="15.75" customHeight="1" x14ac:dyDescent="0.3">
      <c r="B486" s="2"/>
      <c r="D486" s="42"/>
    </row>
    <row r="487" spans="2:4" ht="15.75" customHeight="1" x14ac:dyDescent="0.3">
      <c r="B487" s="2"/>
      <c r="D487" s="42"/>
    </row>
    <row r="488" spans="2:4" ht="15.75" customHeight="1" x14ac:dyDescent="0.3">
      <c r="B488" s="2"/>
      <c r="D488" s="42"/>
    </row>
    <row r="489" spans="2:4" ht="15.75" customHeight="1" x14ac:dyDescent="0.3">
      <c r="B489" s="2"/>
      <c r="D489" s="42"/>
    </row>
    <row r="490" spans="2:4" ht="15.75" customHeight="1" x14ac:dyDescent="0.3">
      <c r="B490" s="2"/>
      <c r="D490" s="42"/>
    </row>
    <row r="491" spans="2:4" ht="15.75" customHeight="1" x14ac:dyDescent="0.3">
      <c r="B491" s="2"/>
      <c r="D491" s="42"/>
    </row>
    <row r="492" spans="2:4" ht="15.75" customHeight="1" x14ac:dyDescent="0.3">
      <c r="B492" s="2"/>
      <c r="D492" s="42"/>
    </row>
    <row r="493" spans="2:4" ht="15.75" customHeight="1" x14ac:dyDescent="0.3">
      <c r="B493" s="2"/>
      <c r="D493" s="42"/>
    </row>
    <row r="494" spans="2:4" ht="15.75" customHeight="1" x14ac:dyDescent="0.3">
      <c r="B494" s="2"/>
      <c r="D494" s="42"/>
    </row>
    <row r="495" spans="2:4" ht="15.75" customHeight="1" x14ac:dyDescent="0.3">
      <c r="B495" s="2"/>
      <c r="D495" s="42"/>
    </row>
    <row r="496" spans="2:4" ht="15.75" customHeight="1" x14ac:dyDescent="0.3">
      <c r="B496" s="2"/>
      <c r="D496" s="42"/>
    </row>
    <row r="497" spans="2:4" ht="15.75" customHeight="1" x14ac:dyDescent="0.3">
      <c r="B497" s="2"/>
      <c r="D497" s="42"/>
    </row>
    <row r="498" spans="2:4" ht="15.75" customHeight="1" x14ac:dyDescent="0.3">
      <c r="B498" s="2"/>
      <c r="D498" s="42"/>
    </row>
    <row r="499" spans="2:4" ht="15.75" customHeight="1" x14ac:dyDescent="0.3">
      <c r="B499" s="2"/>
      <c r="D499" s="42"/>
    </row>
    <row r="500" spans="2:4" ht="15.75" customHeight="1" x14ac:dyDescent="0.3">
      <c r="B500" s="2"/>
      <c r="D500" s="42"/>
    </row>
    <row r="501" spans="2:4" ht="15.75" customHeight="1" x14ac:dyDescent="0.3">
      <c r="B501" s="2"/>
      <c r="D501" s="42"/>
    </row>
    <row r="502" spans="2:4" ht="15.75" customHeight="1" x14ac:dyDescent="0.3">
      <c r="B502" s="2"/>
      <c r="D502" s="42"/>
    </row>
    <row r="503" spans="2:4" ht="15.75" customHeight="1" x14ac:dyDescent="0.3">
      <c r="B503" s="2"/>
      <c r="D503" s="42"/>
    </row>
    <row r="504" spans="2:4" ht="15.75" customHeight="1" x14ac:dyDescent="0.3">
      <c r="B504" s="2"/>
      <c r="D504" s="42"/>
    </row>
    <row r="505" spans="2:4" ht="15.75" customHeight="1" x14ac:dyDescent="0.3">
      <c r="B505" s="2"/>
      <c r="D505" s="42"/>
    </row>
    <row r="506" spans="2:4" ht="15.75" customHeight="1" x14ac:dyDescent="0.3">
      <c r="B506" s="2"/>
      <c r="D506" s="42"/>
    </row>
    <row r="507" spans="2:4" ht="15.75" customHeight="1" x14ac:dyDescent="0.3">
      <c r="B507" s="2"/>
      <c r="D507" s="42"/>
    </row>
    <row r="508" spans="2:4" ht="15.75" customHeight="1" x14ac:dyDescent="0.3">
      <c r="B508" s="2"/>
      <c r="D508" s="42"/>
    </row>
    <row r="509" spans="2:4" ht="15.75" customHeight="1" x14ac:dyDescent="0.3">
      <c r="B509" s="2"/>
      <c r="D509" s="42"/>
    </row>
    <row r="510" spans="2:4" ht="15.75" customHeight="1" x14ac:dyDescent="0.3">
      <c r="B510" s="2"/>
      <c r="D510" s="42"/>
    </row>
    <row r="511" spans="2:4" ht="15.75" customHeight="1" x14ac:dyDescent="0.3">
      <c r="B511" s="2"/>
      <c r="D511" s="42"/>
    </row>
    <row r="512" spans="2:4" ht="15.75" customHeight="1" x14ac:dyDescent="0.3">
      <c r="B512" s="2"/>
      <c r="D512" s="42"/>
    </row>
    <row r="513" spans="2:4" ht="15.75" customHeight="1" x14ac:dyDescent="0.3">
      <c r="B513" s="2"/>
      <c r="D513" s="42"/>
    </row>
    <row r="514" spans="2:4" ht="15.75" customHeight="1" x14ac:dyDescent="0.3">
      <c r="B514" s="2"/>
      <c r="D514" s="42"/>
    </row>
    <row r="515" spans="2:4" ht="15.75" customHeight="1" x14ac:dyDescent="0.3">
      <c r="B515" s="2"/>
      <c r="D515" s="42"/>
    </row>
    <row r="516" spans="2:4" ht="15.75" customHeight="1" x14ac:dyDescent="0.3">
      <c r="B516" s="2"/>
      <c r="D516" s="42"/>
    </row>
    <row r="517" spans="2:4" ht="15.75" customHeight="1" x14ac:dyDescent="0.3">
      <c r="B517" s="2"/>
      <c r="D517" s="42"/>
    </row>
    <row r="518" spans="2:4" ht="15.75" customHeight="1" x14ac:dyDescent="0.3">
      <c r="B518" s="2"/>
      <c r="D518" s="42"/>
    </row>
    <row r="519" spans="2:4" ht="15.75" customHeight="1" x14ac:dyDescent="0.3">
      <c r="B519" s="2"/>
      <c r="D519" s="42"/>
    </row>
    <row r="520" spans="2:4" ht="15.75" customHeight="1" x14ac:dyDescent="0.3">
      <c r="B520" s="2"/>
      <c r="D520" s="42"/>
    </row>
    <row r="521" spans="2:4" ht="15.75" customHeight="1" x14ac:dyDescent="0.3">
      <c r="B521" s="2"/>
      <c r="D521" s="42"/>
    </row>
    <row r="522" spans="2:4" ht="15.75" customHeight="1" x14ac:dyDescent="0.3">
      <c r="B522" s="2"/>
      <c r="D522" s="42"/>
    </row>
    <row r="523" spans="2:4" ht="15.75" customHeight="1" x14ac:dyDescent="0.3">
      <c r="B523" s="2"/>
      <c r="D523" s="42"/>
    </row>
    <row r="524" spans="2:4" ht="15.75" customHeight="1" x14ac:dyDescent="0.3">
      <c r="B524" s="2"/>
      <c r="D524" s="42"/>
    </row>
    <row r="525" spans="2:4" ht="15.75" customHeight="1" x14ac:dyDescent="0.3">
      <c r="B525" s="2"/>
      <c r="D525" s="42"/>
    </row>
    <row r="526" spans="2:4" ht="15.75" customHeight="1" x14ac:dyDescent="0.3">
      <c r="B526" s="2"/>
      <c r="D526" s="42"/>
    </row>
    <row r="527" spans="2:4" ht="15.75" customHeight="1" x14ac:dyDescent="0.3">
      <c r="B527" s="2"/>
      <c r="D527" s="42"/>
    </row>
    <row r="528" spans="2:4" ht="15.75" customHeight="1" x14ac:dyDescent="0.3">
      <c r="B528" s="2"/>
      <c r="D528" s="42"/>
    </row>
    <row r="529" spans="2:4" ht="15.75" customHeight="1" x14ac:dyDescent="0.3">
      <c r="B529" s="2"/>
      <c r="D529" s="42"/>
    </row>
    <row r="530" spans="2:4" ht="15.75" customHeight="1" x14ac:dyDescent="0.3">
      <c r="B530" s="2"/>
      <c r="D530" s="42"/>
    </row>
    <row r="531" spans="2:4" ht="15.75" customHeight="1" x14ac:dyDescent="0.3">
      <c r="B531" s="2"/>
      <c r="D531" s="42"/>
    </row>
    <row r="532" spans="2:4" ht="15.75" customHeight="1" x14ac:dyDescent="0.3">
      <c r="B532" s="2"/>
      <c r="D532" s="42"/>
    </row>
    <row r="533" spans="2:4" ht="15.75" customHeight="1" x14ac:dyDescent="0.3">
      <c r="B533" s="2"/>
      <c r="D533" s="42"/>
    </row>
    <row r="534" spans="2:4" ht="15.75" customHeight="1" x14ac:dyDescent="0.3">
      <c r="B534" s="2"/>
      <c r="D534" s="42"/>
    </row>
    <row r="535" spans="2:4" ht="15.75" customHeight="1" x14ac:dyDescent="0.3">
      <c r="B535" s="2"/>
      <c r="D535" s="42"/>
    </row>
    <row r="536" spans="2:4" ht="15.75" customHeight="1" x14ac:dyDescent="0.3">
      <c r="B536" s="2"/>
      <c r="D536" s="42"/>
    </row>
    <row r="537" spans="2:4" ht="15.75" customHeight="1" x14ac:dyDescent="0.3">
      <c r="B537" s="2"/>
      <c r="D537" s="42"/>
    </row>
    <row r="538" spans="2:4" ht="15.75" customHeight="1" x14ac:dyDescent="0.3">
      <c r="B538" s="2"/>
      <c r="D538" s="42"/>
    </row>
    <row r="539" spans="2:4" ht="15.75" customHeight="1" x14ac:dyDescent="0.3">
      <c r="B539" s="2"/>
      <c r="D539" s="42"/>
    </row>
    <row r="540" spans="2:4" ht="15.75" customHeight="1" x14ac:dyDescent="0.3">
      <c r="B540" s="2"/>
      <c r="D540" s="42"/>
    </row>
    <row r="541" spans="2:4" ht="15.75" customHeight="1" x14ac:dyDescent="0.3">
      <c r="B541" s="2"/>
      <c r="D541" s="42"/>
    </row>
    <row r="542" spans="2:4" ht="15.75" customHeight="1" x14ac:dyDescent="0.3">
      <c r="B542" s="2"/>
      <c r="D542" s="42"/>
    </row>
    <row r="543" spans="2:4" ht="15.75" customHeight="1" x14ac:dyDescent="0.3">
      <c r="B543" s="2"/>
      <c r="D543" s="42"/>
    </row>
    <row r="544" spans="2:4" ht="15.75" customHeight="1" x14ac:dyDescent="0.3">
      <c r="B544" s="2"/>
      <c r="D544" s="42"/>
    </row>
    <row r="545" spans="2:4" ht="15.75" customHeight="1" x14ac:dyDescent="0.3">
      <c r="B545" s="2"/>
      <c r="D545" s="42"/>
    </row>
    <row r="546" spans="2:4" ht="15.75" customHeight="1" x14ac:dyDescent="0.3">
      <c r="B546" s="2"/>
      <c r="D546" s="42"/>
    </row>
    <row r="547" spans="2:4" ht="15.75" customHeight="1" x14ac:dyDescent="0.3">
      <c r="B547" s="2"/>
      <c r="D547" s="42"/>
    </row>
    <row r="548" spans="2:4" ht="15.75" customHeight="1" x14ac:dyDescent="0.3">
      <c r="B548" s="2"/>
      <c r="D548" s="42"/>
    </row>
    <row r="549" spans="2:4" ht="15.75" customHeight="1" x14ac:dyDescent="0.3">
      <c r="B549" s="2"/>
      <c r="D549" s="42"/>
    </row>
    <row r="550" spans="2:4" ht="15.75" customHeight="1" x14ac:dyDescent="0.3">
      <c r="B550" s="2"/>
      <c r="D550" s="42"/>
    </row>
    <row r="551" spans="2:4" ht="15.75" customHeight="1" x14ac:dyDescent="0.3">
      <c r="B551" s="2"/>
      <c r="D551" s="42"/>
    </row>
    <row r="552" spans="2:4" ht="15.75" customHeight="1" x14ac:dyDescent="0.3">
      <c r="B552" s="2"/>
      <c r="D552" s="42"/>
    </row>
    <row r="553" spans="2:4" ht="15.75" customHeight="1" x14ac:dyDescent="0.3">
      <c r="B553" s="2"/>
      <c r="D553" s="42"/>
    </row>
    <row r="554" spans="2:4" ht="15.75" customHeight="1" x14ac:dyDescent="0.3">
      <c r="B554" s="2"/>
      <c r="D554" s="42"/>
    </row>
    <row r="555" spans="2:4" ht="15.75" customHeight="1" x14ac:dyDescent="0.3">
      <c r="B555" s="2"/>
      <c r="D555" s="42"/>
    </row>
    <row r="556" spans="2:4" ht="15.75" customHeight="1" x14ac:dyDescent="0.3">
      <c r="B556" s="2"/>
      <c r="D556" s="42"/>
    </row>
    <row r="557" spans="2:4" ht="15.75" customHeight="1" x14ac:dyDescent="0.3">
      <c r="B557" s="2"/>
      <c r="D557" s="42"/>
    </row>
    <row r="558" spans="2:4" ht="15.75" customHeight="1" x14ac:dyDescent="0.3">
      <c r="B558" s="2"/>
      <c r="D558" s="42"/>
    </row>
    <row r="559" spans="2:4" ht="15.75" customHeight="1" x14ac:dyDescent="0.3">
      <c r="B559" s="2"/>
      <c r="D559" s="42"/>
    </row>
    <row r="560" spans="2:4" ht="15.75" customHeight="1" x14ac:dyDescent="0.3">
      <c r="B560" s="2"/>
      <c r="D560" s="42"/>
    </row>
    <row r="561" spans="2:4" ht="15.75" customHeight="1" x14ac:dyDescent="0.3">
      <c r="B561" s="2"/>
      <c r="D561" s="42"/>
    </row>
    <row r="562" spans="2:4" ht="15.75" customHeight="1" x14ac:dyDescent="0.3">
      <c r="B562" s="2"/>
      <c r="D562" s="42"/>
    </row>
    <row r="563" spans="2:4" ht="15.75" customHeight="1" x14ac:dyDescent="0.3">
      <c r="B563" s="2"/>
      <c r="D563" s="42"/>
    </row>
    <row r="564" spans="2:4" ht="15.75" customHeight="1" x14ac:dyDescent="0.3">
      <c r="B564" s="2"/>
      <c r="D564" s="42"/>
    </row>
    <row r="565" spans="2:4" ht="15.75" customHeight="1" x14ac:dyDescent="0.3">
      <c r="B565" s="2"/>
      <c r="D565" s="42"/>
    </row>
    <row r="566" spans="2:4" ht="15.75" customHeight="1" x14ac:dyDescent="0.3">
      <c r="B566" s="2"/>
      <c r="D566" s="42"/>
    </row>
    <row r="567" spans="2:4" ht="15.75" customHeight="1" x14ac:dyDescent="0.3">
      <c r="B567" s="2"/>
      <c r="D567" s="42"/>
    </row>
    <row r="568" spans="2:4" ht="15.75" customHeight="1" x14ac:dyDescent="0.3">
      <c r="B568" s="2"/>
      <c r="D568" s="42"/>
    </row>
    <row r="569" spans="2:4" ht="15.75" customHeight="1" x14ac:dyDescent="0.3">
      <c r="B569" s="2"/>
      <c r="D569" s="42"/>
    </row>
    <row r="570" spans="2:4" ht="15.75" customHeight="1" x14ac:dyDescent="0.3">
      <c r="B570" s="2"/>
      <c r="D570" s="42"/>
    </row>
    <row r="571" spans="2:4" ht="15.75" customHeight="1" x14ac:dyDescent="0.3">
      <c r="B571" s="2"/>
      <c r="D571" s="42"/>
    </row>
    <row r="572" spans="2:4" ht="15.75" customHeight="1" x14ac:dyDescent="0.3">
      <c r="B572" s="2"/>
      <c r="D572" s="42"/>
    </row>
    <row r="573" spans="2:4" ht="15.75" customHeight="1" x14ac:dyDescent="0.3">
      <c r="B573" s="2"/>
      <c r="D573" s="42"/>
    </row>
    <row r="574" spans="2:4" ht="15.75" customHeight="1" x14ac:dyDescent="0.3">
      <c r="B574" s="2"/>
      <c r="D574" s="42"/>
    </row>
    <row r="575" spans="2:4" ht="15.75" customHeight="1" x14ac:dyDescent="0.3">
      <c r="B575" s="2"/>
      <c r="D575" s="42"/>
    </row>
    <row r="576" spans="2:4" ht="15.75" customHeight="1" x14ac:dyDescent="0.3">
      <c r="B576" s="2"/>
      <c r="D576" s="42"/>
    </row>
    <row r="577" spans="2:4" ht="15.75" customHeight="1" x14ac:dyDescent="0.3">
      <c r="B577" s="2"/>
      <c r="D577" s="42"/>
    </row>
    <row r="578" spans="2:4" ht="15.75" customHeight="1" x14ac:dyDescent="0.3">
      <c r="B578" s="2"/>
      <c r="D578" s="42"/>
    </row>
    <row r="579" spans="2:4" ht="15.75" customHeight="1" x14ac:dyDescent="0.3">
      <c r="B579" s="2"/>
      <c r="D579" s="42"/>
    </row>
    <row r="580" spans="2:4" ht="15.75" customHeight="1" x14ac:dyDescent="0.3">
      <c r="B580" s="2"/>
      <c r="D580" s="42"/>
    </row>
    <row r="581" spans="2:4" ht="15.75" customHeight="1" x14ac:dyDescent="0.3">
      <c r="B581" s="2"/>
      <c r="D581" s="42"/>
    </row>
    <row r="582" spans="2:4" ht="15.75" customHeight="1" x14ac:dyDescent="0.3">
      <c r="B582" s="2"/>
      <c r="D582" s="42"/>
    </row>
    <row r="583" spans="2:4" ht="15.75" customHeight="1" x14ac:dyDescent="0.3">
      <c r="B583" s="2"/>
      <c r="D583" s="42"/>
    </row>
    <row r="584" spans="2:4" ht="15.75" customHeight="1" x14ac:dyDescent="0.3">
      <c r="B584" s="2"/>
      <c r="D584" s="42"/>
    </row>
    <row r="585" spans="2:4" ht="15.75" customHeight="1" x14ac:dyDescent="0.3">
      <c r="B585" s="2"/>
      <c r="D585" s="42"/>
    </row>
    <row r="586" spans="2:4" ht="15.75" customHeight="1" x14ac:dyDescent="0.3">
      <c r="B586" s="2"/>
      <c r="D586" s="42"/>
    </row>
    <row r="587" spans="2:4" ht="15.75" customHeight="1" x14ac:dyDescent="0.3">
      <c r="B587" s="2"/>
      <c r="D587" s="42"/>
    </row>
    <row r="588" spans="2:4" ht="15.75" customHeight="1" x14ac:dyDescent="0.3">
      <c r="B588" s="2"/>
      <c r="D588" s="42"/>
    </row>
    <row r="589" spans="2:4" ht="15.75" customHeight="1" x14ac:dyDescent="0.3">
      <c r="B589" s="2"/>
      <c r="D589" s="42"/>
    </row>
    <row r="590" spans="2:4" ht="15.75" customHeight="1" x14ac:dyDescent="0.3">
      <c r="B590" s="2"/>
      <c r="D590" s="42"/>
    </row>
    <row r="591" spans="2:4" ht="15.75" customHeight="1" x14ac:dyDescent="0.3">
      <c r="B591" s="2"/>
      <c r="D591" s="42"/>
    </row>
    <row r="592" spans="2:4" ht="15.75" customHeight="1" x14ac:dyDescent="0.3">
      <c r="B592" s="2"/>
      <c r="D592" s="42"/>
    </row>
    <row r="593" spans="2:4" ht="15.75" customHeight="1" x14ac:dyDescent="0.3">
      <c r="B593" s="2"/>
      <c r="D593" s="42"/>
    </row>
    <row r="594" spans="2:4" ht="15.75" customHeight="1" x14ac:dyDescent="0.3">
      <c r="B594" s="2"/>
      <c r="D594" s="42"/>
    </row>
    <row r="595" spans="2:4" ht="15.75" customHeight="1" x14ac:dyDescent="0.3">
      <c r="B595" s="2"/>
      <c r="D595" s="42"/>
    </row>
    <row r="596" spans="2:4" ht="15.75" customHeight="1" x14ac:dyDescent="0.3">
      <c r="B596" s="2"/>
      <c r="D596" s="42"/>
    </row>
    <row r="597" spans="2:4" ht="15.75" customHeight="1" x14ac:dyDescent="0.3">
      <c r="B597" s="2"/>
      <c r="D597" s="42"/>
    </row>
    <row r="598" spans="2:4" ht="15.75" customHeight="1" x14ac:dyDescent="0.3">
      <c r="B598" s="2"/>
      <c r="D598" s="42"/>
    </row>
    <row r="599" spans="2:4" ht="15.75" customHeight="1" x14ac:dyDescent="0.3">
      <c r="B599" s="2"/>
      <c r="D599" s="42"/>
    </row>
    <row r="600" spans="2:4" ht="15.75" customHeight="1" x14ac:dyDescent="0.3">
      <c r="B600" s="2"/>
      <c r="D600" s="42"/>
    </row>
    <row r="601" spans="2:4" ht="15.75" customHeight="1" x14ac:dyDescent="0.3">
      <c r="B601" s="2"/>
      <c r="D601" s="42"/>
    </row>
    <row r="602" spans="2:4" ht="15.75" customHeight="1" x14ac:dyDescent="0.3">
      <c r="B602" s="2"/>
      <c r="D602" s="42"/>
    </row>
    <row r="603" spans="2:4" ht="15.75" customHeight="1" x14ac:dyDescent="0.3">
      <c r="B603" s="2"/>
      <c r="D603" s="42"/>
    </row>
    <row r="604" spans="2:4" ht="15.75" customHeight="1" x14ac:dyDescent="0.3">
      <c r="B604" s="2"/>
      <c r="D604" s="42"/>
    </row>
    <row r="605" spans="2:4" ht="15.75" customHeight="1" x14ac:dyDescent="0.3">
      <c r="B605" s="2"/>
      <c r="D605" s="42"/>
    </row>
    <row r="606" spans="2:4" ht="15.75" customHeight="1" x14ac:dyDescent="0.3">
      <c r="B606" s="2"/>
      <c r="D606" s="42"/>
    </row>
    <row r="607" spans="2:4" ht="15.75" customHeight="1" x14ac:dyDescent="0.3">
      <c r="B607" s="2"/>
      <c r="D607" s="42"/>
    </row>
    <row r="608" spans="2:4" ht="15.75" customHeight="1" x14ac:dyDescent="0.3">
      <c r="B608" s="2"/>
      <c r="D608" s="42"/>
    </row>
    <row r="609" spans="2:4" ht="15.75" customHeight="1" x14ac:dyDescent="0.3">
      <c r="B609" s="2"/>
      <c r="D609" s="42"/>
    </row>
    <row r="610" spans="2:4" ht="15.75" customHeight="1" x14ac:dyDescent="0.3">
      <c r="B610" s="2"/>
      <c r="D610" s="42"/>
    </row>
    <row r="611" spans="2:4" ht="15.75" customHeight="1" x14ac:dyDescent="0.3">
      <c r="B611" s="2"/>
      <c r="D611" s="42"/>
    </row>
    <row r="612" spans="2:4" ht="15.75" customHeight="1" x14ac:dyDescent="0.3">
      <c r="B612" s="2"/>
      <c r="D612" s="42"/>
    </row>
    <row r="613" spans="2:4" ht="15.75" customHeight="1" x14ac:dyDescent="0.3">
      <c r="B613" s="2"/>
      <c r="D613" s="42"/>
    </row>
    <row r="614" spans="2:4" ht="15.75" customHeight="1" x14ac:dyDescent="0.3">
      <c r="B614" s="2"/>
      <c r="D614" s="42"/>
    </row>
    <row r="615" spans="2:4" ht="15.75" customHeight="1" x14ac:dyDescent="0.3">
      <c r="B615" s="2"/>
      <c r="D615" s="42"/>
    </row>
    <row r="616" spans="2:4" ht="15.75" customHeight="1" x14ac:dyDescent="0.3">
      <c r="B616" s="2"/>
      <c r="D616" s="42"/>
    </row>
    <row r="617" spans="2:4" ht="15.75" customHeight="1" x14ac:dyDescent="0.3">
      <c r="B617" s="2"/>
      <c r="D617" s="42"/>
    </row>
    <row r="618" spans="2:4" ht="15.75" customHeight="1" x14ac:dyDescent="0.3">
      <c r="B618" s="2"/>
      <c r="D618" s="42"/>
    </row>
    <row r="619" spans="2:4" ht="15.75" customHeight="1" x14ac:dyDescent="0.3">
      <c r="B619" s="2"/>
      <c r="D619" s="42"/>
    </row>
    <row r="620" spans="2:4" ht="15.75" customHeight="1" x14ac:dyDescent="0.3">
      <c r="B620" s="2"/>
      <c r="D620" s="42"/>
    </row>
    <row r="621" spans="2:4" ht="15.75" customHeight="1" x14ac:dyDescent="0.3">
      <c r="B621" s="2"/>
      <c r="D621" s="42"/>
    </row>
    <row r="622" spans="2:4" ht="15.75" customHeight="1" x14ac:dyDescent="0.3">
      <c r="B622" s="2"/>
      <c r="D622" s="42"/>
    </row>
    <row r="623" spans="2:4" ht="15.75" customHeight="1" x14ac:dyDescent="0.3">
      <c r="B623" s="2"/>
      <c r="D623" s="42"/>
    </row>
    <row r="624" spans="2:4" ht="15.75" customHeight="1" x14ac:dyDescent="0.3">
      <c r="B624" s="2"/>
      <c r="D624" s="42"/>
    </row>
    <row r="625" spans="2:4" ht="15.75" customHeight="1" x14ac:dyDescent="0.3">
      <c r="B625" s="2"/>
      <c r="D625" s="42"/>
    </row>
    <row r="626" spans="2:4" ht="15.75" customHeight="1" x14ac:dyDescent="0.3">
      <c r="B626" s="2"/>
      <c r="D626" s="42"/>
    </row>
    <row r="627" spans="2:4" ht="15.75" customHeight="1" x14ac:dyDescent="0.3">
      <c r="B627" s="2"/>
      <c r="D627" s="42"/>
    </row>
    <row r="628" spans="2:4" ht="15.75" customHeight="1" x14ac:dyDescent="0.3">
      <c r="B628" s="2"/>
      <c r="D628" s="42"/>
    </row>
    <row r="629" spans="2:4" ht="15.75" customHeight="1" x14ac:dyDescent="0.3">
      <c r="B629" s="2"/>
      <c r="D629" s="42"/>
    </row>
    <row r="630" spans="2:4" ht="15.75" customHeight="1" x14ac:dyDescent="0.3">
      <c r="B630" s="2"/>
      <c r="D630" s="42"/>
    </row>
    <row r="631" spans="2:4" ht="15.75" customHeight="1" x14ac:dyDescent="0.3">
      <c r="B631" s="2"/>
      <c r="D631" s="42"/>
    </row>
    <row r="632" spans="2:4" ht="15.75" customHeight="1" x14ac:dyDescent="0.3">
      <c r="B632" s="2"/>
      <c r="D632" s="42"/>
    </row>
    <row r="633" spans="2:4" ht="15.75" customHeight="1" x14ac:dyDescent="0.3">
      <c r="B633" s="2"/>
      <c r="D633" s="42"/>
    </row>
    <row r="634" spans="2:4" ht="15.75" customHeight="1" x14ac:dyDescent="0.3">
      <c r="B634" s="2"/>
      <c r="D634" s="42"/>
    </row>
    <row r="635" spans="2:4" ht="15.75" customHeight="1" x14ac:dyDescent="0.3">
      <c r="B635" s="2"/>
      <c r="D635" s="42"/>
    </row>
    <row r="636" spans="2:4" ht="15.75" customHeight="1" x14ac:dyDescent="0.3">
      <c r="B636" s="2"/>
      <c r="D636" s="42"/>
    </row>
    <row r="637" spans="2:4" ht="15.75" customHeight="1" x14ac:dyDescent="0.3">
      <c r="B637" s="2"/>
      <c r="D637" s="42"/>
    </row>
    <row r="638" spans="2:4" ht="15.75" customHeight="1" x14ac:dyDescent="0.3">
      <c r="B638" s="2"/>
      <c r="D638" s="42"/>
    </row>
    <row r="639" spans="2:4" ht="15.75" customHeight="1" x14ac:dyDescent="0.3">
      <c r="B639" s="2"/>
      <c r="D639" s="42"/>
    </row>
    <row r="640" spans="2:4" ht="15.75" customHeight="1" x14ac:dyDescent="0.3">
      <c r="B640" s="2"/>
      <c r="D640" s="42"/>
    </row>
    <row r="641" spans="2:4" ht="15.75" customHeight="1" x14ac:dyDescent="0.3">
      <c r="B641" s="2"/>
      <c r="D641" s="42"/>
    </row>
    <row r="642" spans="2:4" ht="15.75" customHeight="1" x14ac:dyDescent="0.3">
      <c r="B642" s="2"/>
      <c r="D642" s="42"/>
    </row>
    <row r="643" spans="2:4" ht="15.75" customHeight="1" x14ac:dyDescent="0.3">
      <c r="B643" s="2"/>
      <c r="D643" s="42"/>
    </row>
    <row r="644" spans="2:4" ht="15.75" customHeight="1" x14ac:dyDescent="0.3">
      <c r="B644" s="2"/>
      <c r="D644" s="42"/>
    </row>
    <row r="645" spans="2:4" ht="15.75" customHeight="1" x14ac:dyDescent="0.3">
      <c r="B645" s="2"/>
      <c r="D645" s="42"/>
    </row>
    <row r="646" spans="2:4" ht="15.75" customHeight="1" x14ac:dyDescent="0.3">
      <c r="B646" s="2"/>
      <c r="D646" s="42"/>
    </row>
    <row r="647" spans="2:4" ht="15.75" customHeight="1" x14ac:dyDescent="0.3">
      <c r="B647" s="2"/>
      <c r="D647" s="42"/>
    </row>
    <row r="648" spans="2:4" ht="15.75" customHeight="1" x14ac:dyDescent="0.3">
      <c r="B648" s="2"/>
      <c r="D648" s="42"/>
    </row>
    <row r="649" spans="2:4" ht="15.75" customHeight="1" x14ac:dyDescent="0.3">
      <c r="B649" s="2"/>
      <c r="D649" s="42"/>
    </row>
    <row r="650" spans="2:4" ht="15.75" customHeight="1" x14ac:dyDescent="0.3">
      <c r="B650" s="2"/>
      <c r="D650" s="42"/>
    </row>
    <row r="651" spans="2:4" ht="15.75" customHeight="1" x14ac:dyDescent="0.3">
      <c r="B651" s="2"/>
      <c r="D651" s="42"/>
    </row>
    <row r="652" spans="2:4" ht="15.75" customHeight="1" x14ac:dyDescent="0.3">
      <c r="B652" s="2"/>
      <c r="D652" s="42"/>
    </row>
    <row r="653" spans="2:4" ht="15.75" customHeight="1" x14ac:dyDescent="0.3">
      <c r="B653" s="2"/>
      <c r="D653" s="42"/>
    </row>
    <row r="654" spans="2:4" ht="15.75" customHeight="1" x14ac:dyDescent="0.3">
      <c r="B654" s="2"/>
      <c r="D654" s="42"/>
    </row>
    <row r="655" spans="2:4" ht="15.75" customHeight="1" x14ac:dyDescent="0.3">
      <c r="B655" s="2"/>
      <c r="D655" s="42"/>
    </row>
    <row r="656" spans="2:4" ht="15.75" customHeight="1" x14ac:dyDescent="0.3">
      <c r="B656" s="2"/>
      <c r="D656" s="42"/>
    </row>
    <row r="657" spans="2:4" ht="15.75" customHeight="1" x14ac:dyDescent="0.3">
      <c r="B657" s="2"/>
      <c r="D657" s="42"/>
    </row>
    <row r="658" spans="2:4" ht="15.75" customHeight="1" x14ac:dyDescent="0.3">
      <c r="B658" s="2"/>
      <c r="D658" s="42"/>
    </row>
    <row r="659" spans="2:4" ht="15.75" customHeight="1" x14ac:dyDescent="0.3">
      <c r="B659" s="2"/>
      <c r="D659" s="42"/>
    </row>
    <row r="660" spans="2:4" ht="15.75" customHeight="1" x14ac:dyDescent="0.3">
      <c r="B660" s="2"/>
      <c r="D660" s="42"/>
    </row>
    <row r="661" spans="2:4" ht="15.75" customHeight="1" x14ac:dyDescent="0.3">
      <c r="B661" s="2"/>
      <c r="D661" s="42"/>
    </row>
    <row r="662" spans="2:4" ht="15.75" customHeight="1" x14ac:dyDescent="0.3">
      <c r="B662" s="2"/>
      <c r="D662" s="42"/>
    </row>
    <row r="663" spans="2:4" ht="15.75" customHeight="1" x14ac:dyDescent="0.3">
      <c r="B663" s="2"/>
      <c r="D663" s="42"/>
    </row>
    <row r="664" spans="2:4" ht="15.75" customHeight="1" x14ac:dyDescent="0.3">
      <c r="B664" s="2"/>
      <c r="D664" s="42"/>
    </row>
    <row r="665" spans="2:4" ht="15.75" customHeight="1" x14ac:dyDescent="0.3">
      <c r="B665" s="2"/>
      <c r="D665" s="42"/>
    </row>
    <row r="666" spans="2:4" ht="15.75" customHeight="1" x14ac:dyDescent="0.3">
      <c r="B666" s="2"/>
      <c r="D666" s="42"/>
    </row>
    <row r="667" spans="2:4" ht="15.75" customHeight="1" x14ac:dyDescent="0.3">
      <c r="B667" s="2"/>
      <c r="D667" s="42"/>
    </row>
    <row r="668" spans="2:4" ht="15.75" customHeight="1" x14ac:dyDescent="0.3">
      <c r="B668" s="2"/>
      <c r="D668" s="42"/>
    </row>
    <row r="669" spans="2:4" ht="15.75" customHeight="1" x14ac:dyDescent="0.3">
      <c r="B669" s="2"/>
      <c r="D669" s="42"/>
    </row>
    <row r="670" spans="2:4" ht="15.75" customHeight="1" x14ac:dyDescent="0.3">
      <c r="B670" s="2"/>
      <c r="D670" s="42"/>
    </row>
    <row r="671" spans="2:4" ht="15.75" customHeight="1" x14ac:dyDescent="0.3">
      <c r="B671" s="2"/>
      <c r="D671" s="42"/>
    </row>
    <row r="672" spans="2:4" ht="15.75" customHeight="1" x14ac:dyDescent="0.3">
      <c r="B672" s="2"/>
      <c r="D672" s="42"/>
    </row>
    <row r="673" spans="2:4" ht="15.75" customHeight="1" x14ac:dyDescent="0.3">
      <c r="B673" s="2"/>
      <c r="D673" s="42"/>
    </row>
    <row r="674" spans="2:4" ht="15.75" customHeight="1" x14ac:dyDescent="0.3">
      <c r="B674" s="2"/>
      <c r="D674" s="42"/>
    </row>
    <row r="675" spans="2:4" ht="15.75" customHeight="1" x14ac:dyDescent="0.3">
      <c r="B675" s="2"/>
      <c r="D675" s="42"/>
    </row>
    <row r="676" spans="2:4" ht="15.75" customHeight="1" x14ac:dyDescent="0.3">
      <c r="B676" s="2"/>
      <c r="D676" s="42"/>
    </row>
    <row r="677" spans="2:4" ht="15.75" customHeight="1" x14ac:dyDescent="0.3">
      <c r="B677" s="2"/>
      <c r="D677" s="42"/>
    </row>
    <row r="678" spans="2:4" ht="15.75" customHeight="1" x14ac:dyDescent="0.3">
      <c r="B678" s="2"/>
      <c r="D678" s="42"/>
    </row>
    <row r="679" spans="2:4" ht="15.75" customHeight="1" x14ac:dyDescent="0.3">
      <c r="B679" s="2"/>
      <c r="D679" s="42"/>
    </row>
    <row r="680" spans="2:4" ht="15.75" customHeight="1" x14ac:dyDescent="0.3">
      <c r="B680" s="2"/>
      <c r="D680" s="42"/>
    </row>
    <row r="681" spans="2:4" ht="15.75" customHeight="1" x14ac:dyDescent="0.3">
      <c r="B681" s="2"/>
      <c r="D681" s="42"/>
    </row>
    <row r="682" spans="2:4" ht="15.75" customHeight="1" x14ac:dyDescent="0.3">
      <c r="B682" s="2"/>
      <c r="D682" s="42"/>
    </row>
    <row r="683" spans="2:4" ht="15.75" customHeight="1" x14ac:dyDescent="0.3">
      <c r="B683" s="2"/>
      <c r="D683" s="42"/>
    </row>
    <row r="684" spans="2:4" ht="15.75" customHeight="1" x14ac:dyDescent="0.3">
      <c r="B684" s="2"/>
      <c r="D684" s="42"/>
    </row>
    <row r="685" spans="2:4" ht="15.75" customHeight="1" x14ac:dyDescent="0.3">
      <c r="B685" s="2"/>
      <c r="D685" s="42"/>
    </row>
    <row r="686" spans="2:4" ht="15.75" customHeight="1" x14ac:dyDescent="0.3">
      <c r="B686" s="2"/>
      <c r="D686" s="42"/>
    </row>
    <row r="687" spans="2:4" ht="15.75" customHeight="1" x14ac:dyDescent="0.3">
      <c r="B687" s="2"/>
      <c r="D687" s="42"/>
    </row>
    <row r="688" spans="2:4" ht="15.75" customHeight="1" x14ac:dyDescent="0.3">
      <c r="B688" s="2"/>
      <c r="D688" s="42"/>
    </row>
    <row r="689" spans="2:4" ht="15.75" customHeight="1" x14ac:dyDescent="0.3">
      <c r="B689" s="2"/>
      <c r="D689" s="42"/>
    </row>
    <row r="690" spans="2:4" ht="15.75" customHeight="1" x14ac:dyDescent="0.3">
      <c r="B690" s="2"/>
      <c r="D690" s="42"/>
    </row>
    <row r="691" spans="2:4" ht="15.75" customHeight="1" x14ac:dyDescent="0.3">
      <c r="B691" s="2"/>
      <c r="D691" s="42"/>
    </row>
    <row r="692" spans="2:4" ht="15.75" customHeight="1" x14ac:dyDescent="0.3">
      <c r="B692" s="2"/>
      <c r="D692" s="42"/>
    </row>
    <row r="693" spans="2:4" ht="15.75" customHeight="1" x14ac:dyDescent="0.3">
      <c r="B693" s="2"/>
      <c r="D693" s="42"/>
    </row>
    <row r="694" spans="2:4" ht="15.75" customHeight="1" x14ac:dyDescent="0.3">
      <c r="B694" s="2"/>
      <c r="D694" s="42"/>
    </row>
    <row r="695" spans="2:4" ht="15.75" customHeight="1" x14ac:dyDescent="0.3">
      <c r="B695" s="2"/>
      <c r="D695" s="42"/>
    </row>
    <row r="696" spans="2:4" ht="15.75" customHeight="1" x14ac:dyDescent="0.3">
      <c r="B696" s="2"/>
      <c r="D696" s="42"/>
    </row>
    <row r="697" spans="2:4" ht="15.75" customHeight="1" x14ac:dyDescent="0.3">
      <c r="B697" s="2"/>
      <c r="D697" s="42"/>
    </row>
    <row r="698" spans="2:4" ht="15.75" customHeight="1" x14ac:dyDescent="0.3">
      <c r="B698" s="2"/>
      <c r="D698" s="42"/>
    </row>
    <row r="699" spans="2:4" ht="15.75" customHeight="1" x14ac:dyDescent="0.3">
      <c r="B699" s="2"/>
      <c r="D699" s="42"/>
    </row>
    <row r="700" spans="2:4" ht="15.75" customHeight="1" x14ac:dyDescent="0.3">
      <c r="B700" s="2"/>
      <c r="D700" s="42"/>
    </row>
    <row r="701" spans="2:4" ht="15.75" customHeight="1" x14ac:dyDescent="0.3">
      <c r="B701" s="2"/>
      <c r="D701" s="42"/>
    </row>
    <row r="702" spans="2:4" ht="15.75" customHeight="1" x14ac:dyDescent="0.3">
      <c r="B702" s="2"/>
      <c r="D702" s="42"/>
    </row>
    <row r="703" spans="2:4" ht="15.75" customHeight="1" x14ac:dyDescent="0.3">
      <c r="B703" s="2"/>
      <c r="D703" s="42"/>
    </row>
    <row r="704" spans="2:4" ht="15.75" customHeight="1" x14ac:dyDescent="0.3">
      <c r="B704" s="2"/>
      <c r="D704" s="42"/>
    </row>
    <row r="705" spans="2:4" ht="15.75" customHeight="1" x14ac:dyDescent="0.3">
      <c r="B705" s="2"/>
      <c r="D705" s="42"/>
    </row>
    <row r="706" spans="2:4" ht="15.75" customHeight="1" x14ac:dyDescent="0.3">
      <c r="B706" s="2"/>
      <c r="D706" s="42"/>
    </row>
    <row r="707" spans="2:4" ht="15.75" customHeight="1" x14ac:dyDescent="0.3">
      <c r="B707" s="2"/>
      <c r="D707" s="42"/>
    </row>
    <row r="708" spans="2:4" ht="15.75" customHeight="1" x14ac:dyDescent="0.3">
      <c r="B708" s="2"/>
      <c r="D708" s="42"/>
    </row>
    <row r="709" spans="2:4" ht="15.75" customHeight="1" x14ac:dyDescent="0.3">
      <c r="B709" s="2"/>
      <c r="D709" s="42"/>
    </row>
    <row r="710" spans="2:4" ht="15.75" customHeight="1" x14ac:dyDescent="0.3">
      <c r="B710" s="2"/>
      <c r="D710" s="42"/>
    </row>
    <row r="711" spans="2:4" ht="15.75" customHeight="1" x14ac:dyDescent="0.3">
      <c r="B711" s="2"/>
      <c r="D711" s="42"/>
    </row>
    <row r="712" spans="2:4" ht="15.75" customHeight="1" x14ac:dyDescent="0.3">
      <c r="B712" s="2"/>
      <c r="D712" s="42"/>
    </row>
    <row r="713" spans="2:4" ht="15.75" customHeight="1" x14ac:dyDescent="0.3">
      <c r="B713" s="2"/>
      <c r="D713" s="42"/>
    </row>
    <row r="714" spans="2:4" ht="15.75" customHeight="1" x14ac:dyDescent="0.3">
      <c r="B714" s="2"/>
      <c r="D714" s="42"/>
    </row>
    <row r="715" spans="2:4" ht="15.75" customHeight="1" x14ac:dyDescent="0.3">
      <c r="B715" s="2"/>
      <c r="D715" s="42"/>
    </row>
    <row r="716" spans="2:4" ht="15.75" customHeight="1" x14ac:dyDescent="0.3">
      <c r="B716" s="2"/>
      <c r="D716" s="42"/>
    </row>
    <row r="717" spans="2:4" ht="15.75" customHeight="1" x14ac:dyDescent="0.3">
      <c r="B717" s="2"/>
      <c r="D717" s="42"/>
    </row>
    <row r="718" spans="2:4" ht="15.75" customHeight="1" x14ac:dyDescent="0.3">
      <c r="B718" s="2"/>
      <c r="D718" s="42"/>
    </row>
    <row r="719" spans="2:4" ht="15.75" customHeight="1" x14ac:dyDescent="0.3">
      <c r="B719" s="2"/>
      <c r="D719" s="42"/>
    </row>
    <row r="720" spans="2:4" ht="15.75" customHeight="1" x14ac:dyDescent="0.3">
      <c r="B720" s="2"/>
      <c r="D720" s="42"/>
    </row>
    <row r="721" spans="2:4" ht="15.75" customHeight="1" x14ac:dyDescent="0.3">
      <c r="B721" s="2"/>
      <c r="D721" s="42"/>
    </row>
    <row r="722" spans="2:4" ht="15.75" customHeight="1" x14ac:dyDescent="0.3">
      <c r="B722" s="2"/>
      <c r="D722" s="42"/>
    </row>
    <row r="723" spans="2:4" ht="15.75" customHeight="1" x14ac:dyDescent="0.3">
      <c r="B723" s="2"/>
      <c r="D723" s="42"/>
    </row>
    <row r="724" spans="2:4" ht="15.75" customHeight="1" x14ac:dyDescent="0.3">
      <c r="B724" s="2"/>
      <c r="D724" s="42"/>
    </row>
    <row r="725" spans="2:4" ht="15.75" customHeight="1" x14ac:dyDescent="0.3">
      <c r="B725" s="2"/>
      <c r="D725" s="42"/>
    </row>
    <row r="726" spans="2:4" ht="15.75" customHeight="1" x14ac:dyDescent="0.3">
      <c r="B726" s="2"/>
      <c r="D726" s="42"/>
    </row>
    <row r="727" spans="2:4" ht="15.75" customHeight="1" x14ac:dyDescent="0.3">
      <c r="B727" s="2"/>
      <c r="D727" s="42"/>
    </row>
    <row r="728" spans="2:4" ht="15.75" customHeight="1" x14ac:dyDescent="0.3">
      <c r="B728" s="2"/>
      <c r="D728" s="42"/>
    </row>
    <row r="729" spans="2:4" ht="15.75" customHeight="1" x14ac:dyDescent="0.3">
      <c r="B729" s="2"/>
      <c r="D729" s="42"/>
    </row>
    <row r="730" spans="2:4" ht="15.75" customHeight="1" x14ac:dyDescent="0.3">
      <c r="B730" s="2"/>
      <c r="D730" s="42"/>
    </row>
    <row r="731" spans="2:4" ht="15.75" customHeight="1" x14ac:dyDescent="0.3">
      <c r="B731" s="2"/>
      <c r="D731" s="42"/>
    </row>
    <row r="732" spans="2:4" ht="15.75" customHeight="1" x14ac:dyDescent="0.3">
      <c r="B732" s="2"/>
      <c r="D732" s="42"/>
    </row>
    <row r="733" spans="2:4" ht="15.75" customHeight="1" x14ac:dyDescent="0.3">
      <c r="B733" s="2"/>
      <c r="D733" s="42"/>
    </row>
    <row r="734" spans="2:4" ht="15.75" customHeight="1" x14ac:dyDescent="0.3">
      <c r="B734" s="2"/>
      <c r="D734" s="42"/>
    </row>
    <row r="735" spans="2:4" ht="15.75" customHeight="1" x14ac:dyDescent="0.3">
      <c r="B735" s="2"/>
      <c r="D735" s="42"/>
    </row>
    <row r="736" spans="2:4" ht="15.75" customHeight="1" x14ac:dyDescent="0.3">
      <c r="B736" s="2"/>
      <c r="D736" s="42"/>
    </row>
    <row r="737" spans="2:4" ht="15.75" customHeight="1" x14ac:dyDescent="0.3">
      <c r="B737" s="2"/>
      <c r="D737" s="42"/>
    </row>
    <row r="738" spans="2:4" ht="15.75" customHeight="1" x14ac:dyDescent="0.3">
      <c r="B738" s="2"/>
      <c r="D738" s="42"/>
    </row>
    <row r="739" spans="2:4" ht="15.75" customHeight="1" x14ac:dyDescent="0.3">
      <c r="B739" s="2"/>
      <c r="D739" s="42"/>
    </row>
    <row r="740" spans="2:4" ht="15.75" customHeight="1" x14ac:dyDescent="0.3">
      <c r="B740" s="2"/>
      <c r="D740" s="42"/>
    </row>
    <row r="741" spans="2:4" ht="15.75" customHeight="1" x14ac:dyDescent="0.3">
      <c r="B741" s="2"/>
      <c r="D741" s="42"/>
    </row>
    <row r="742" spans="2:4" ht="15.75" customHeight="1" x14ac:dyDescent="0.3">
      <c r="B742" s="2"/>
      <c r="D742" s="42"/>
    </row>
    <row r="743" spans="2:4" ht="15.75" customHeight="1" x14ac:dyDescent="0.3">
      <c r="B743" s="2"/>
      <c r="D743" s="42"/>
    </row>
    <row r="744" spans="2:4" ht="15.75" customHeight="1" x14ac:dyDescent="0.3">
      <c r="B744" s="2"/>
      <c r="D744" s="42"/>
    </row>
    <row r="745" spans="2:4" ht="15.75" customHeight="1" x14ac:dyDescent="0.3">
      <c r="B745" s="2"/>
      <c r="D745" s="42"/>
    </row>
    <row r="746" spans="2:4" ht="15.75" customHeight="1" x14ac:dyDescent="0.3">
      <c r="B746" s="2"/>
      <c r="D746" s="42"/>
    </row>
    <row r="747" spans="2:4" ht="15.75" customHeight="1" x14ac:dyDescent="0.3">
      <c r="B747" s="2"/>
      <c r="D747" s="42"/>
    </row>
    <row r="748" spans="2:4" ht="15.75" customHeight="1" x14ac:dyDescent="0.3">
      <c r="B748" s="2"/>
      <c r="D748" s="42"/>
    </row>
    <row r="749" spans="2:4" ht="15.75" customHeight="1" x14ac:dyDescent="0.3">
      <c r="B749" s="2"/>
      <c r="D749" s="42"/>
    </row>
    <row r="750" spans="2:4" ht="15.75" customHeight="1" x14ac:dyDescent="0.3">
      <c r="B750" s="2"/>
      <c r="D750" s="42"/>
    </row>
    <row r="751" spans="2:4" ht="15.75" customHeight="1" x14ac:dyDescent="0.3">
      <c r="B751" s="2"/>
      <c r="D751" s="42"/>
    </row>
    <row r="752" spans="2:4" ht="15.75" customHeight="1" x14ac:dyDescent="0.3">
      <c r="B752" s="2"/>
      <c r="D752" s="42"/>
    </row>
    <row r="753" spans="2:4" ht="15.75" customHeight="1" x14ac:dyDescent="0.3">
      <c r="B753" s="2"/>
      <c r="D753" s="42"/>
    </row>
    <row r="754" spans="2:4" ht="15.75" customHeight="1" x14ac:dyDescent="0.3">
      <c r="B754" s="2"/>
      <c r="D754" s="42"/>
    </row>
    <row r="755" spans="2:4" ht="15.75" customHeight="1" x14ac:dyDescent="0.3">
      <c r="B755" s="2"/>
      <c r="D755" s="42"/>
    </row>
    <row r="756" spans="2:4" ht="15.75" customHeight="1" x14ac:dyDescent="0.3">
      <c r="B756" s="2"/>
      <c r="D756" s="42"/>
    </row>
    <row r="757" spans="2:4" ht="15.75" customHeight="1" x14ac:dyDescent="0.3">
      <c r="B757" s="2"/>
      <c r="D757" s="42"/>
    </row>
    <row r="758" spans="2:4" ht="15.75" customHeight="1" x14ac:dyDescent="0.3">
      <c r="B758" s="2"/>
      <c r="D758" s="42"/>
    </row>
    <row r="759" spans="2:4" ht="15.75" customHeight="1" x14ac:dyDescent="0.3">
      <c r="B759" s="2"/>
      <c r="D759" s="42"/>
    </row>
    <row r="760" spans="2:4" ht="15.75" customHeight="1" x14ac:dyDescent="0.3">
      <c r="B760" s="2"/>
      <c r="D760" s="42"/>
    </row>
    <row r="761" spans="2:4" ht="15.75" customHeight="1" x14ac:dyDescent="0.3">
      <c r="B761" s="2"/>
      <c r="D761" s="42"/>
    </row>
    <row r="762" spans="2:4" ht="15.75" customHeight="1" x14ac:dyDescent="0.3">
      <c r="B762" s="2"/>
      <c r="D762" s="42"/>
    </row>
    <row r="763" spans="2:4" ht="15.75" customHeight="1" x14ac:dyDescent="0.3">
      <c r="B763" s="2"/>
      <c r="D763" s="42"/>
    </row>
    <row r="764" spans="2:4" ht="15.75" customHeight="1" x14ac:dyDescent="0.3">
      <c r="B764" s="2"/>
      <c r="D764" s="42"/>
    </row>
    <row r="765" spans="2:4" ht="15.75" customHeight="1" x14ac:dyDescent="0.3">
      <c r="B765" s="2"/>
      <c r="D765" s="42"/>
    </row>
    <row r="766" spans="2:4" ht="15.75" customHeight="1" x14ac:dyDescent="0.3">
      <c r="B766" s="2"/>
      <c r="D766" s="42"/>
    </row>
    <row r="767" spans="2:4" ht="15.75" customHeight="1" x14ac:dyDescent="0.3">
      <c r="B767" s="2"/>
      <c r="D767" s="42"/>
    </row>
    <row r="768" spans="2:4" ht="15.75" customHeight="1" x14ac:dyDescent="0.3">
      <c r="B768" s="2"/>
      <c r="D768" s="42"/>
    </row>
    <row r="769" spans="2:4" ht="15.75" customHeight="1" x14ac:dyDescent="0.3">
      <c r="B769" s="2"/>
      <c r="D769" s="42"/>
    </row>
    <row r="770" spans="2:4" ht="15.75" customHeight="1" x14ac:dyDescent="0.3">
      <c r="B770" s="2"/>
      <c r="D770" s="42"/>
    </row>
    <row r="771" spans="2:4" ht="15.75" customHeight="1" x14ac:dyDescent="0.3">
      <c r="B771" s="2"/>
      <c r="D771" s="42"/>
    </row>
    <row r="772" spans="2:4" ht="15.75" customHeight="1" x14ac:dyDescent="0.3">
      <c r="B772" s="2"/>
      <c r="D772" s="42"/>
    </row>
    <row r="773" spans="2:4" ht="15.75" customHeight="1" x14ac:dyDescent="0.3">
      <c r="B773" s="2"/>
      <c r="D773" s="42"/>
    </row>
    <row r="774" spans="2:4" ht="15.75" customHeight="1" x14ac:dyDescent="0.3">
      <c r="B774" s="2"/>
      <c r="D774" s="42"/>
    </row>
    <row r="775" spans="2:4" ht="15.75" customHeight="1" x14ac:dyDescent="0.3">
      <c r="B775" s="2"/>
      <c r="D775" s="42"/>
    </row>
    <row r="776" spans="2:4" ht="15.75" customHeight="1" x14ac:dyDescent="0.3">
      <c r="B776" s="2"/>
      <c r="D776" s="42"/>
    </row>
    <row r="777" spans="2:4" ht="15.75" customHeight="1" x14ac:dyDescent="0.3">
      <c r="B777" s="2"/>
      <c r="D777" s="42"/>
    </row>
    <row r="778" spans="2:4" ht="15.75" customHeight="1" x14ac:dyDescent="0.3">
      <c r="B778" s="2"/>
      <c r="D778" s="42"/>
    </row>
    <row r="779" spans="2:4" ht="15.75" customHeight="1" x14ac:dyDescent="0.3">
      <c r="B779" s="2"/>
      <c r="D779" s="42"/>
    </row>
    <row r="780" spans="2:4" ht="15.75" customHeight="1" x14ac:dyDescent="0.3">
      <c r="B780" s="2"/>
      <c r="D780" s="42"/>
    </row>
    <row r="781" spans="2:4" ht="15.75" customHeight="1" x14ac:dyDescent="0.3">
      <c r="B781" s="2"/>
      <c r="D781" s="42"/>
    </row>
    <row r="782" spans="2:4" ht="15.75" customHeight="1" x14ac:dyDescent="0.3">
      <c r="B782" s="2"/>
      <c r="D782" s="42"/>
    </row>
    <row r="783" spans="2:4" ht="15.75" customHeight="1" x14ac:dyDescent="0.3">
      <c r="B783" s="2"/>
      <c r="D783" s="42"/>
    </row>
    <row r="784" spans="2:4" ht="15.75" customHeight="1" x14ac:dyDescent="0.3">
      <c r="B784" s="2"/>
      <c r="D784" s="42"/>
    </row>
    <row r="785" spans="2:4" ht="15.75" customHeight="1" x14ac:dyDescent="0.3">
      <c r="B785" s="2"/>
      <c r="D785" s="42"/>
    </row>
    <row r="786" spans="2:4" ht="15.75" customHeight="1" x14ac:dyDescent="0.3">
      <c r="B786" s="2"/>
      <c r="D786" s="42"/>
    </row>
    <row r="787" spans="2:4" ht="15.75" customHeight="1" x14ac:dyDescent="0.3">
      <c r="B787" s="2"/>
      <c r="D787" s="42"/>
    </row>
    <row r="788" spans="2:4" ht="15.75" customHeight="1" x14ac:dyDescent="0.3">
      <c r="B788" s="2"/>
      <c r="D788" s="42"/>
    </row>
    <row r="789" spans="2:4" ht="15.75" customHeight="1" x14ac:dyDescent="0.3">
      <c r="B789" s="2"/>
      <c r="D789" s="42"/>
    </row>
    <row r="790" spans="2:4" ht="15.75" customHeight="1" x14ac:dyDescent="0.3">
      <c r="B790" s="2"/>
      <c r="D790" s="42"/>
    </row>
    <row r="791" spans="2:4" ht="15.75" customHeight="1" x14ac:dyDescent="0.3">
      <c r="B791" s="2"/>
      <c r="D791" s="42"/>
    </row>
    <row r="792" spans="2:4" ht="15.75" customHeight="1" x14ac:dyDescent="0.3">
      <c r="B792" s="2"/>
      <c r="D792" s="42"/>
    </row>
    <row r="793" spans="2:4" ht="15.75" customHeight="1" x14ac:dyDescent="0.3">
      <c r="B793" s="2"/>
      <c r="D793" s="42"/>
    </row>
    <row r="794" spans="2:4" ht="15.75" customHeight="1" x14ac:dyDescent="0.3">
      <c r="B794" s="2"/>
      <c r="D794" s="42"/>
    </row>
    <row r="795" spans="2:4" ht="15.75" customHeight="1" x14ac:dyDescent="0.3">
      <c r="B795" s="2"/>
      <c r="D795" s="42"/>
    </row>
    <row r="796" spans="2:4" ht="15.75" customHeight="1" x14ac:dyDescent="0.3">
      <c r="B796" s="2"/>
      <c r="D796" s="42"/>
    </row>
    <row r="797" spans="2:4" ht="15.75" customHeight="1" x14ac:dyDescent="0.3">
      <c r="B797" s="2"/>
      <c r="D797" s="42"/>
    </row>
    <row r="798" spans="2:4" ht="15.75" customHeight="1" x14ac:dyDescent="0.3">
      <c r="B798" s="2"/>
      <c r="D798" s="42"/>
    </row>
    <row r="799" spans="2:4" ht="15.75" customHeight="1" x14ac:dyDescent="0.3">
      <c r="B799" s="2"/>
      <c r="D799" s="42"/>
    </row>
    <row r="800" spans="2:4" ht="15.75" customHeight="1" x14ac:dyDescent="0.3">
      <c r="B800" s="2"/>
      <c r="D800" s="42"/>
    </row>
    <row r="801" spans="2:4" ht="15.75" customHeight="1" x14ac:dyDescent="0.3">
      <c r="B801" s="2"/>
      <c r="D801" s="42"/>
    </row>
    <row r="802" spans="2:4" ht="15.75" customHeight="1" x14ac:dyDescent="0.3">
      <c r="B802" s="2"/>
      <c r="D802" s="42"/>
    </row>
    <row r="803" spans="2:4" ht="15.75" customHeight="1" x14ac:dyDescent="0.3">
      <c r="B803" s="2"/>
      <c r="D803" s="42"/>
    </row>
    <row r="804" spans="2:4" ht="15.75" customHeight="1" x14ac:dyDescent="0.3">
      <c r="B804" s="2"/>
      <c r="D804" s="42"/>
    </row>
    <row r="805" spans="2:4" ht="15.75" customHeight="1" x14ac:dyDescent="0.3">
      <c r="B805" s="2"/>
      <c r="D805" s="42"/>
    </row>
    <row r="806" spans="2:4" ht="15.75" customHeight="1" x14ac:dyDescent="0.3">
      <c r="B806" s="2"/>
      <c r="D806" s="42"/>
    </row>
    <row r="807" spans="2:4" ht="15.75" customHeight="1" x14ac:dyDescent="0.3">
      <c r="B807" s="2"/>
      <c r="D807" s="42"/>
    </row>
    <row r="808" spans="2:4" ht="15.75" customHeight="1" x14ac:dyDescent="0.3">
      <c r="B808" s="2"/>
      <c r="D808" s="42"/>
    </row>
    <row r="809" spans="2:4" ht="15.75" customHeight="1" x14ac:dyDescent="0.3">
      <c r="B809" s="2"/>
      <c r="D809" s="42"/>
    </row>
    <row r="810" spans="2:4" ht="15.75" customHeight="1" x14ac:dyDescent="0.3">
      <c r="B810" s="2"/>
      <c r="D810" s="42"/>
    </row>
    <row r="811" spans="2:4" ht="15.75" customHeight="1" x14ac:dyDescent="0.3">
      <c r="B811" s="2"/>
      <c r="D811" s="42"/>
    </row>
    <row r="812" spans="2:4" ht="15.75" customHeight="1" x14ac:dyDescent="0.3">
      <c r="B812" s="2"/>
      <c r="D812" s="42"/>
    </row>
    <row r="813" spans="2:4" ht="15.75" customHeight="1" x14ac:dyDescent="0.3">
      <c r="B813" s="2"/>
      <c r="D813" s="42"/>
    </row>
    <row r="814" spans="2:4" ht="15.75" customHeight="1" x14ac:dyDescent="0.3">
      <c r="B814" s="2"/>
      <c r="D814" s="42"/>
    </row>
    <row r="815" spans="2:4" ht="15.75" customHeight="1" x14ac:dyDescent="0.3">
      <c r="B815" s="2"/>
      <c r="D815" s="42"/>
    </row>
    <row r="816" spans="2:4" ht="15.75" customHeight="1" x14ac:dyDescent="0.3">
      <c r="B816" s="2"/>
      <c r="D816" s="42"/>
    </row>
    <row r="817" spans="2:4" ht="15.75" customHeight="1" x14ac:dyDescent="0.3">
      <c r="B817" s="2"/>
      <c r="D817" s="42"/>
    </row>
    <row r="818" spans="2:4" ht="15.75" customHeight="1" x14ac:dyDescent="0.3">
      <c r="B818" s="2"/>
      <c r="D818" s="42"/>
    </row>
    <row r="819" spans="2:4" ht="15.75" customHeight="1" x14ac:dyDescent="0.3">
      <c r="B819" s="2"/>
      <c r="D819" s="42"/>
    </row>
    <row r="820" spans="2:4" ht="15.75" customHeight="1" x14ac:dyDescent="0.3">
      <c r="B820" s="2"/>
      <c r="D820" s="42"/>
    </row>
    <row r="821" spans="2:4" ht="15.75" customHeight="1" x14ac:dyDescent="0.3">
      <c r="B821" s="2"/>
      <c r="D821" s="42"/>
    </row>
    <row r="822" spans="2:4" ht="15.75" customHeight="1" x14ac:dyDescent="0.3">
      <c r="B822" s="2"/>
      <c r="D822" s="42"/>
    </row>
    <row r="823" spans="2:4" ht="15.75" customHeight="1" x14ac:dyDescent="0.3">
      <c r="B823" s="2"/>
      <c r="D823" s="42"/>
    </row>
    <row r="824" spans="2:4" ht="15.75" customHeight="1" x14ac:dyDescent="0.3">
      <c r="B824" s="2"/>
      <c r="D824" s="42"/>
    </row>
    <row r="825" spans="2:4" ht="15.75" customHeight="1" x14ac:dyDescent="0.3">
      <c r="B825" s="2"/>
      <c r="D825" s="42"/>
    </row>
    <row r="826" spans="2:4" ht="15.75" customHeight="1" x14ac:dyDescent="0.3">
      <c r="B826" s="2"/>
      <c r="D826" s="42"/>
    </row>
    <row r="827" spans="2:4" ht="15.75" customHeight="1" x14ac:dyDescent="0.3">
      <c r="B827" s="2"/>
      <c r="D827" s="42"/>
    </row>
    <row r="828" spans="2:4" ht="15.75" customHeight="1" x14ac:dyDescent="0.3">
      <c r="B828" s="2"/>
      <c r="D828" s="42"/>
    </row>
    <row r="829" spans="2:4" ht="15.75" customHeight="1" x14ac:dyDescent="0.3">
      <c r="B829" s="2"/>
      <c r="D829" s="42"/>
    </row>
    <row r="830" spans="2:4" ht="15.75" customHeight="1" x14ac:dyDescent="0.3">
      <c r="B830" s="2"/>
      <c r="D830" s="42"/>
    </row>
    <row r="831" spans="2:4" ht="15.75" customHeight="1" x14ac:dyDescent="0.3">
      <c r="B831" s="2"/>
      <c r="D831" s="42"/>
    </row>
    <row r="832" spans="2:4" ht="15.75" customHeight="1" x14ac:dyDescent="0.3">
      <c r="B832" s="2"/>
      <c r="D832" s="42"/>
    </row>
    <row r="833" spans="2:4" ht="15.75" customHeight="1" x14ac:dyDescent="0.3">
      <c r="B833" s="2"/>
      <c r="D833" s="42"/>
    </row>
    <row r="834" spans="2:4" ht="15.75" customHeight="1" x14ac:dyDescent="0.3">
      <c r="B834" s="2"/>
      <c r="D834" s="42"/>
    </row>
    <row r="835" spans="2:4" ht="15.75" customHeight="1" x14ac:dyDescent="0.3">
      <c r="B835" s="2"/>
      <c r="D835" s="42"/>
    </row>
    <row r="836" spans="2:4" ht="15.75" customHeight="1" x14ac:dyDescent="0.3">
      <c r="B836" s="2"/>
      <c r="D836" s="42"/>
    </row>
    <row r="837" spans="2:4" ht="15.75" customHeight="1" x14ac:dyDescent="0.3">
      <c r="B837" s="2"/>
      <c r="D837" s="42"/>
    </row>
    <row r="838" spans="2:4" ht="15.75" customHeight="1" x14ac:dyDescent="0.3">
      <c r="B838" s="2"/>
      <c r="D838" s="42"/>
    </row>
    <row r="839" spans="2:4" ht="15.75" customHeight="1" x14ac:dyDescent="0.3">
      <c r="B839" s="2"/>
      <c r="D839" s="42"/>
    </row>
    <row r="840" spans="2:4" ht="15.75" customHeight="1" x14ac:dyDescent="0.3">
      <c r="B840" s="2"/>
      <c r="D840" s="42"/>
    </row>
    <row r="841" spans="2:4" ht="15.75" customHeight="1" x14ac:dyDescent="0.3">
      <c r="B841" s="2"/>
      <c r="D841" s="42"/>
    </row>
    <row r="842" spans="2:4" ht="15.75" customHeight="1" x14ac:dyDescent="0.3">
      <c r="B842" s="2"/>
      <c r="D842" s="42"/>
    </row>
    <row r="843" spans="2:4" ht="15.75" customHeight="1" x14ac:dyDescent="0.3">
      <c r="B843" s="2"/>
      <c r="D843" s="42"/>
    </row>
    <row r="844" spans="2:4" ht="15.75" customHeight="1" x14ac:dyDescent="0.3">
      <c r="B844" s="2"/>
      <c r="D844" s="42"/>
    </row>
    <row r="845" spans="2:4" ht="15.75" customHeight="1" x14ac:dyDescent="0.3">
      <c r="B845" s="2"/>
      <c r="D845" s="42"/>
    </row>
    <row r="846" spans="2:4" ht="15.75" customHeight="1" x14ac:dyDescent="0.3">
      <c r="B846" s="2"/>
      <c r="D846" s="42"/>
    </row>
    <row r="847" spans="2:4" ht="15.75" customHeight="1" x14ac:dyDescent="0.3">
      <c r="B847" s="2"/>
      <c r="D847" s="42"/>
    </row>
    <row r="848" spans="2:4" ht="15.75" customHeight="1" x14ac:dyDescent="0.3">
      <c r="B848" s="2"/>
      <c r="D848" s="42"/>
    </row>
    <row r="849" spans="2:4" ht="15.75" customHeight="1" x14ac:dyDescent="0.3">
      <c r="B849" s="2"/>
      <c r="D849" s="42"/>
    </row>
    <row r="850" spans="2:4" ht="15.75" customHeight="1" x14ac:dyDescent="0.3">
      <c r="B850" s="2"/>
      <c r="D850" s="42"/>
    </row>
    <row r="851" spans="2:4" ht="15.75" customHeight="1" x14ac:dyDescent="0.3">
      <c r="B851" s="2"/>
      <c r="D851" s="42"/>
    </row>
    <row r="852" spans="2:4" ht="15.75" customHeight="1" x14ac:dyDescent="0.3">
      <c r="B852" s="2"/>
      <c r="D852" s="42"/>
    </row>
    <row r="853" spans="2:4" ht="15.75" customHeight="1" x14ac:dyDescent="0.3">
      <c r="B853" s="2"/>
      <c r="D853" s="42"/>
    </row>
    <row r="854" spans="2:4" ht="15.75" customHeight="1" x14ac:dyDescent="0.3">
      <c r="B854" s="2"/>
      <c r="D854" s="42"/>
    </row>
    <row r="855" spans="2:4" ht="15.75" customHeight="1" x14ac:dyDescent="0.3">
      <c r="B855" s="2"/>
      <c r="D855" s="42"/>
    </row>
    <row r="856" spans="2:4" ht="15.75" customHeight="1" x14ac:dyDescent="0.3">
      <c r="B856" s="2"/>
      <c r="D856" s="42"/>
    </row>
    <row r="857" spans="2:4" ht="15.75" customHeight="1" x14ac:dyDescent="0.3">
      <c r="B857" s="2"/>
      <c r="D857" s="42"/>
    </row>
    <row r="858" spans="2:4" ht="15.75" customHeight="1" x14ac:dyDescent="0.3">
      <c r="B858" s="2"/>
      <c r="D858" s="42"/>
    </row>
    <row r="859" spans="2:4" ht="15.75" customHeight="1" x14ac:dyDescent="0.3">
      <c r="B859" s="2"/>
      <c r="D859" s="42"/>
    </row>
    <row r="860" spans="2:4" ht="15.75" customHeight="1" x14ac:dyDescent="0.3">
      <c r="B860" s="2"/>
      <c r="D860" s="42"/>
    </row>
    <row r="861" spans="2:4" ht="15.75" customHeight="1" x14ac:dyDescent="0.3">
      <c r="B861" s="2"/>
      <c r="D861" s="42"/>
    </row>
    <row r="862" spans="2:4" ht="15.75" customHeight="1" x14ac:dyDescent="0.3">
      <c r="B862" s="2"/>
      <c r="D862" s="42"/>
    </row>
    <row r="863" spans="2:4" ht="15.75" customHeight="1" x14ac:dyDescent="0.3">
      <c r="B863" s="2"/>
      <c r="D863" s="42"/>
    </row>
    <row r="864" spans="2:4" ht="15.75" customHeight="1" x14ac:dyDescent="0.3">
      <c r="B864" s="2"/>
      <c r="D864" s="42"/>
    </row>
    <row r="865" spans="2:4" ht="15.75" customHeight="1" x14ac:dyDescent="0.3">
      <c r="B865" s="2"/>
      <c r="D865" s="42"/>
    </row>
    <row r="866" spans="2:4" ht="15.75" customHeight="1" x14ac:dyDescent="0.3">
      <c r="B866" s="2"/>
      <c r="D866" s="42"/>
    </row>
    <row r="867" spans="2:4" ht="15.75" customHeight="1" x14ac:dyDescent="0.3">
      <c r="B867" s="2"/>
      <c r="D867" s="42"/>
    </row>
    <row r="868" spans="2:4" ht="15.75" customHeight="1" x14ac:dyDescent="0.3">
      <c r="B868" s="2"/>
      <c r="D868" s="42"/>
    </row>
    <row r="869" spans="2:4" ht="15.75" customHeight="1" x14ac:dyDescent="0.3">
      <c r="B869" s="2"/>
      <c r="D869" s="42"/>
    </row>
    <row r="870" spans="2:4" ht="15.75" customHeight="1" x14ac:dyDescent="0.3">
      <c r="B870" s="2"/>
      <c r="D870" s="42"/>
    </row>
    <row r="871" spans="2:4" ht="15.75" customHeight="1" x14ac:dyDescent="0.3">
      <c r="B871" s="2"/>
      <c r="D871" s="42"/>
    </row>
    <row r="872" spans="2:4" ht="15.75" customHeight="1" x14ac:dyDescent="0.3">
      <c r="B872" s="2"/>
      <c r="D872" s="42"/>
    </row>
    <row r="873" spans="2:4" ht="15.75" customHeight="1" x14ac:dyDescent="0.3">
      <c r="B873" s="2"/>
      <c r="D873" s="42"/>
    </row>
    <row r="874" spans="2:4" ht="15.75" customHeight="1" x14ac:dyDescent="0.3">
      <c r="B874" s="2"/>
      <c r="D874" s="42"/>
    </row>
    <row r="875" spans="2:4" ht="15.75" customHeight="1" x14ac:dyDescent="0.3">
      <c r="B875" s="2"/>
      <c r="D875" s="42"/>
    </row>
    <row r="876" spans="2:4" ht="15.75" customHeight="1" x14ac:dyDescent="0.3">
      <c r="B876" s="2"/>
      <c r="D876" s="42"/>
    </row>
    <row r="877" spans="2:4" ht="15.75" customHeight="1" x14ac:dyDescent="0.3">
      <c r="B877" s="2"/>
      <c r="D877" s="42"/>
    </row>
    <row r="878" spans="2:4" ht="15.75" customHeight="1" x14ac:dyDescent="0.3">
      <c r="B878" s="2"/>
      <c r="D878" s="42"/>
    </row>
    <row r="879" spans="2:4" ht="15.75" customHeight="1" x14ac:dyDescent="0.3">
      <c r="B879" s="2"/>
      <c r="D879" s="42"/>
    </row>
    <row r="880" spans="2:4" ht="15.75" customHeight="1" x14ac:dyDescent="0.3">
      <c r="B880" s="2"/>
      <c r="D880" s="42"/>
    </row>
    <row r="881" spans="2:4" ht="15.75" customHeight="1" x14ac:dyDescent="0.3">
      <c r="B881" s="2"/>
      <c r="D881" s="42"/>
    </row>
    <row r="882" spans="2:4" ht="15.75" customHeight="1" x14ac:dyDescent="0.3">
      <c r="B882" s="2"/>
      <c r="D882" s="42"/>
    </row>
    <row r="883" spans="2:4" ht="15.75" customHeight="1" x14ac:dyDescent="0.3">
      <c r="B883" s="2"/>
      <c r="D883" s="42"/>
    </row>
    <row r="884" spans="2:4" ht="15.75" customHeight="1" x14ac:dyDescent="0.3">
      <c r="B884" s="2"/>
      <c r="D884" s="42"/>
    </row>
    <row r="885" spans="2:4" ht="15.75" customHeight="1" x14ac:dyDescent="0.3">
      <c r="B885" s="2"/>
      <c r="D885" s="42"/>
    </row>
    <row r="886" spans="2:4" ht="15.75" customHeight="1" x14ac:dyDescent="0.3">
      <c r="B886" s="2"/>
      <c r="D886" s="42"/>
    </row>
    <row r="887" spans="2:4" ht="15.75" customHeight="1" x14ac:dyDescent="0.3">
      <c r="B887" s="2"/>
      <c r="D887" s="42"/>
    </row>
    <row r="888" spans="2:4" ht="15.75" customHeight="1" x14ac:dyDescent="0.3">
      <c r="B888" s="2"/>
      <c r="D888" s="42"/>
    </row>
    <row r="889" spans="2:4" ht="15.75" customHeight="1" x14ac:dyDescent="0.3">
      <c r="B889" s="2"/>
      <c r="D889" s="42"/>
    </row>
    <row r="890" spans="2:4" ht="15.75" customHeight="1" x14ac:dyDescent="0.3">
      <c r="B890" s="2"/>
      <c r="D890" s="42"/>
    </row>
    <row r="891" spans="2:4" ht="15.75" customHeight="1" x14ac:dyDescent="0.3">
      <c r="B891" s="2"/>
      <c r="D891" s="42"/>
    </row>
    <row r="892" spans="2:4" ht="15.75" customHeight="1" x14ac:dyDescent="0.3">
      <c r="B892" s="2"/>
      <c r="D892" s="42"/>
    </row>
    <row r="893" spans="2:4" ht="15.75" customHeight="1" x14ac:dyDescent="0.3">
      <c r="B893" s="2"/>
      <c r="D893" s="42"/>
    </row>
    <row r="894" spans="2:4" ht="15.75" customHeight="1" x14ac:dyDescent="0.3">
      <c r="B894" s="2"/>
      <c r="D894" s="42"/>
    </row>
    <row r="895" spans="2:4" ht="15.75" customHeight="1" x14ac:dyDescent="0.3">
      <c r="B895" s="2"/>
      <c r="D895" s="42"/>
    </row>
    <row r="896" spans="2:4" ht="15.75" customHeight="1" x14ac:dyDescent="0.3">
      <c r="B896" s="2"/>
      <c r="D896" s="42"/>
    </row>
    <row r="897" spans="2:4" ht="15.75" customHeight="1" x14ac:dyDescent="0.3">
      <c r="B897" s="2"/>
      <c r="D897" s="42"/>
    </row>
    <row r="898" spans="2:4" ht="15.75" customHeight="1" x14ac:dyDescent="0.3">
      <c r="B898" s="2"/>
      <c r="D898" s="42"/>
    </row>
    <row r="899" spans="2:4" ht="15.75" customHeight="1" x14ac:dyDescent="0.3">
      <c r="B899" s="2"/>
      <c r="D899" s="42"/>
    </row>
    <row r="900" spans="2:4" ht="15.75" customHeight="1" x14ac:dyDescent="0.3">
      <c r="B900" s="2"/>
      <c r="D900" s="42"/>
    </row>
    <row r="901" spans="2:4" ht="15.75" customHeight="1" x14ac:dyDescent="0.3">
      <c r="B901" s="2"/>
      <c r="D901" s="42"/>
    </row>
    <row r="902" spans="2:4" ht="15.75" customHeight="1" x14ac:dyDescent="0.3">
      <c r="B902" s="2"/>
      <c r="D902" s="42"/>
    </row>
    <row r="903" spans="2:4" ht="15.75" customHeight="1" x14ac:dyDescent="0.3">
      <c r="B903" s="2"/>
      <c r="D903" s="42"/>
    </row>
    <row r="904" spans="2:4" ht="15.75" customHeight="1" x14ac:dyDescent="0.3">
      <c r="B904" s="2"/>
      <c r="D904" s="42"/>
    </row>
    <row r="905" spans="2:4" ht="15.75" customHeight="1" x14ac:dyDescent="0.3">
      <c r="B905" s="2"/>
      <c r="D905" s="42"/>
    </row>
    <row r="906" spans="2:4" ht="15.75" customHeight="1" x14ac:dyDescent="0.3">
      <c r="B906" s="2"/>
      <c r="D906" s="42"/>
    </row>
    <row r="907" spans="2:4" ht="15.75" customHeight="1" x14ac:dyDescent="0.3">
      <c r="B907" s="2"/>
      <c r="D907" s="42"/>
    </row>
    <row r="908" spans="2:4" ht="15.75" customHeight="1" x14ac:dyDescent="0.3">
      <c r="B908" s="2"/>
      <c r="D908" s="42"/>
    </row>
    <row r="909" spans="2:4" ht="15.75" customHeight="1" x14ac:dyDescent="0.3">
      <c r="B909" s="2"/>
      <c r="D909" s="42"/>
    </row>
    <row r="910" spans="2:4" ht="15.75" customHeight="1" x14ac:dyDescent="0.3">
      <c r="B910" s="2"/>
      <c r="D910" s="42"/>
    </row>
    <row r="911" spans="2:4" ht="15.75" customHeight="1" x14ac:dyDescent="0.3">
      <c r="B911" s="2"/>
      <c r="D911" s="42"/>
    </row>
    <row r="912" spans="2:4" ht="15.75" customHeight="1" x14ac:dyDescent="0.3">
      <c r="B912" s="2"/>
      <c r="D912" s="42"/>
    </row>
    <row r="913" spans="2:4" ht="15.75" customHeight="1" x14ac:dyDescent="0.3">
      <c r="B913" s="2"/>
      <c r="D913" s="42"/>
    </row>
    <row r="914" spans="2:4" ht="15.75" customHeight="1" x14ac:dyDescent="0.3">
      <c r="B914" s="2"/>
      <c r="D914" s="42"/>
    </row>
    <row r="915" spans="2:4" ht="15.75" customHeight="1" x14ac:dyDescent="0.3">
      <c r="B915" s="2"/>
      <c r="D915" s="42"/>
    </row>
    <row r="916" spans="2:4" ht="15.75" customHeight="1" x14ac:dyDescent="0.3">
      <c r="B916" s="2"/>
      <c r="D916" s="42"/>
    </row>
    <row r="917" spans="2:4" ht="15.75" customHeight="1" x14ac:dyDescent="0.3">
      <c r="B917" s="2"/>
      <c r="D917" s="42"/>
    </row>
    <row r="918" spans="2:4" ht="15.75" customHeight="1" x14ac:dyDescent="0.3">
      <c r="B918" s="2"/>
      <c r="D918" s="42"/>
    </row>
    <row r="919" spans="2:4" ht="15.75" customHeight="1" x14ac:dyDescent="0.3">
      <c r="B919" s="2"/>
      <c r="D919" s="42"/>
    </row>
    <row r="920" spans="2:4" ht="15.75" customHeight="1" x14ac:dyDescent="0.3">
      <c r="B920" s="2"/>
      <c r="D920" s="42"/>
    </row>
    <row r="921" spans="2:4" ht="15.75" customHeight="1" x14ac:dyDescent="0.3">
      <c r="B921" s="2"/>
      <c r="D921" s="42"/>
    </row>
    <row r="922" spans="2:4" ht="15.75" customHeight="1" x14ac:dyDescent="0.3">
      <c r="B922" s="2"/>
      <c r="D922" s="42"/>
    </row>
    <row r="923" spans="2:4" ht="15.75" customHeight="1" x14ac:dyDescent="0.3">
      <c r="B923" s="2"/>
      <c r="D923" s="42"/>
    </row>
    <row r="924" spans="2:4" ht="15.75" customHeight="1" x14ac:dyDescent="0.3">
      <c r="B924" s="2"/>
      <c r="D924" s="42"/>
    </row>
    <row r="925" spans="2:4" ht="15.75" customHeight="1" x14ac:dyDescent="0.3">
      <c r="B925" s="2"/>
      <c r="D925" s="42"/>
    </row>
    <row r="926" spans="2:4" ht="15.75" customHeight="1" x14ac:dyDescent="0.3">
      <c r="B926" s="2"/>
      <c r="D926" s="42"/>
    </row>
    <row r="927" spans="2:4" ht="15.75" customHeight="1" x14ac:dyDescent="0.3">
      <c r="B927" s="2"/>
      <c r="D927" s="42"/>
    </row>
    <row r="928" spans="2:4" ht="15.75" customHeight="1" x14ac:dyDescent="0.3">
      <c r="B928" s="2"/>
      <c r="D928" s="42"/>
    </row>
    <row r="929" spans="2:4" ht="15.75" customHeight="1" x14ac:dyDescent="0.3">
      <c r="B929" s="2"/>
      <c r="D929" s="42"/>
    </row>
    <row r="930" spans="2:4" ht="15.75" customHeight="1" x14ac:dyDescent="0.3">
      <c r="B930" s="2"/>
      <c r="D930" s="42"/>
    </row>
    <row r="931" spans="2:4" ht="15.75" customHeight="1" x14ac:dyDescent="0.3">
      <c r="B931" s="2"/>
      <c r="D931" s="42"/>
    </row>
    <row r="932" spans="2:4" ht="15.75" customHeight="1" x14ac:dyDescent="0.3">
      <c r="B932" s="2"/>
      <c r="D932" s="42"/>
    </row>
    <row r="933" spans="2:4" ht="15.75" customHeight="1" x14ac:dyDescent="0.3">
      <c r="B933" s="2"/>
      <c r="D933" s="42"/>
    </row>
    <row r="934" spans="2:4" ht="15.75" customHeight="1" x14ac:dyDescent="0.3">
      <c r="B934" s="2"/>
      <c r="D934" s="42"/>
    </row>
    <row r="935" spans="2:4" ht="15.75" customHeight="1" x14ac:dyDescent="0.3">
      <c r="B935" s="2"/>
      <c r="D935" s="42"/>
    </row>
    <row r="936" spans="2:4" ht="15.75" customHeight="1" x14ac:dyDescent="0.3">
      <c r="B936" s="2"/>
      <c r="D936" s="42"/>
    </row>
    <row r="937" spans="2:4" ht="15.75" customHeight="1" x14ac:dyDescent="0.3">
      <c r="B937" s="2"/>
      <c r="D937" s="42"/>
    </row>
    <row r="938" spans="2:4" ht="15.75" customHeight="1" x14ac:dyDescent="0.3">
      <c r="B938" s="2"/>
      <c r="D938" s="42"/>
    </row>
    <row r="939" spans="2:4" ht="15.75" customHeight="1" x14ac:dyDescent="0.3">
      <c r="B939" s="2"/>
      <c r="D939" s="42"/>
    </row>
    <row r="940" spans="2:4" ht="15.75" customHeight="1" x14ac:dyDescent="0.3">
      <c r="B940" s="2"/>
      <c r="D940" s="42"/>
    </row>
    <row r="941" spans="2:4" ht="15.75" customHeight="1" x14ac:dyDescent="0.3">
      <c r="B941" s="2"/>
      <c r="D941" s="42"/>
    </row>
    <row r="942" spans="2:4" ht="15.75" customHeight="1" x14ac:dyDescent="0.3">
      <c r="B942" s="2"/>
      <c r="D942" s="42"/>
    </row>
    <row r="943" spans="2:4" ht="15.75" customHeight="1" x14ac:dyDescent="0.3">
      <c r="B943" s="2"/>
      <c r="D943" s="42"/>
    </row>
    <row r="944" spans="2:4" ht="15.75" customHeight="1" x14ac:dyDescent="0.3">
      <c r="B944" s="2"/>
      <c r="D944" s="42"/>
    </row>
    <row r="945" spans="2:4" ht="15.75" customHeight="1" x14ac:dyDescent="0.3">
      <c r="B945" s="2"/>
      <c r="D945" s="42"/>
    </row>
    <row r="946" spans="2:4" ht="15.75" customHeight="1" x14ac:dyDescent="0.3">
      <c r="B946" s="2"/>
      <c r="D946" s="42"/>
    </row>
    <row r="947" spans="2:4" ht="15.75" customHeight="1" x14ac:dyDescent="0.3">
      <c r="B947" s="2"/>
      <c r="D947" s="42"/>
    </row>
    <row r="948" spans="2:4" ht="15.75" customHeight="1" x14ac:dyDescent="0.3">
      <c r="B948" s="2"/>
      <c r="D948" s="42"/>
    </row>
    <row r="949" spans="2:4" ht="15.75" customHeight="1" x14ac:dyDescent="0.3">
      <c r="B949" s="2"/>
      <c r="D949" s="42"/>
    </row>
    <row r="950" spans="2:4" ht="15.75" customHeight="1" x14ac:dyDescent="0.3">
      <c r="B950" s="2"/>
      <c r="D950" s="42"/>
    </row>
    <row r="951" spans="2:4" ht="15.75" customHeight="1" x14ac:dyDescent="0.3">
      <c r="B951" s="2"/>
      <c r="D951" s="42"/>
    </row>
    <row r="952" spans="2:4" ht="15.75" customHeight="1" x14ac:dyDescent="0.3">
      <c r="B952" s="2"/>
      <c r="D952" s="42"/>
    </row>
    <row r="953" spans="2:4" ht="15.75" customHeight="1" x14ac:dyDescent="0.3">
      <c r="B953" s="2"/>
      <c r="D953" s="42"/>
    </row>
    <row r="954" spans="2:4" ht="15.75" customHeight="1" x14ac:dyDescent="0.3">
      <c r="B954" s="2"/>
      <c r="D954" s="42"/>
    </row>
    <row r="955" spans="2:4" ht="15.75" customHeight="1" x14ac:dyDescent="0.3">
      <c r="B955" s="2"/>
      <c r="D955" s="42"/>
    </row>
    <row r="956" spans="2:4" ht="15.75" customHeight="1" x14ac:dyDescent="0.3">
      <c r="B956" s="2"/>
      <c r="D956" s="42"/>
    </row>
    <row r="957" spans="2:4" ht="15.75" customHeight="1" x14ac:dyDescent="0.3">
      <c r="B957" s="2"/>
      <c r="D957" s="42"/>
    </row>
    <row r="958" spans="2:4" ht="15.75" customHeight="1" x14ac:dyDescent="0.3">
      <c r="B958" s="2"/>
      <c r="D958" s="42"/>
    </row>
    <row r="959" spans="2:4" ht="15.75" customHeight="1" x14ac:dyDescent="0.3">
      <c r="B959" s="2"/>
      <c r="D959" s="42"/>
    </row>
    <row r="960" spans="2:4" ht="15.75" customHeight="1" x14ac:dyDescent="0.3">
      <c r="B960" s="2"/>
      <c r="D960" s="42"/>
    </row>
    <row r="961" spans="2:4" ht="15.75" customHeight="1" x14ac:dyDescent="0.3">
      <c r="B961" s="2"/>
      <c r="D961" s="42"/>
    </row>
    <row r="962" spans="2:4" ht="15.75" customHeight="1" x14ac:dyDescent="0.3">
      <c r="B962" s="2"/>
      <c r="D962" s="42"/>
    </row>
    <row r="963" spans="2:4" ht="15.75" customHeight="1" x14ac:dyDescent="0.3">
      <c r="B963" s="2"/>
      <c r="D963" s="42"/>
    </row>
    <row r="964" spans="2:4" ht="15.75" customHeight="1" x14ac:dyDescent="0.3">
      <c r="B964" s="2"/>
      <c r="D964" s="42"/>
    </row>
    <row r="965" spans="2:4" ht="15.75" customHeight="1" x14ac:dyDescent="0.3">
      <c r="B965" s="2"/>
      <c r="D965" s="42"/>
    </row>
    <row r="966" spans="2:4" ht="15.75" customHeight="1" x14ac:dyDescent="0.3">
      <c r="B966" s="2"/>
      <c r="D966" s="42"/>
    </row>
    <row r="967" spans="2:4" ht="15.75" customHeight="1" x14ac:dyDescent="0.3">
      <c r="B967" s="2"/>
      <c r="D967" s="42"/>
    </row>
    <row r="968" spans="2:4" ht="15.75" customHeight="1" x14ac:dyDescent="0.3">
      <c r="B968" s="2"/>
      <c r="D968" s="42"/>
    </row>
    <row r="969" spans="2:4" ht="15.75" customHeight="1" x14ac:dyDescent="0.3">
      <c r="B969" s="2"/>
      <c r="D969" s="42"/>
    </row>
    <row r="970" spans="2:4" ht="15.75" customHeight="1" x14ac:dyDescent="0.3">
      <c r="B970" s="2"/>
      <c r="D970" s="42"/>
    </row>
    <row r="971" spans="2:4" ht="15.75" customHeight="1" x14ac:dyDescent="0.3">
      <c r="B971" s="2"/>
      <c r="D971" s="42"/>
    </row>
    <row r="972" spans="2:4" ht="15.75" customHeight="1" x14ac:dyDescent="0.3">
      <c r="B972" s="2"/>
      <c r="D972" s="42"/>
    </row>
    <row r="973" spans="2:4" ht="15.75" customHeight="1" x14ac:dyDescent="0.3">
      <c r="B973" s="2"/>
      <c r="D973" s="42"/>
    </row>
    <row r="974" spans="2:4" ht="15.75" customHeight="1" x14ac:dyDescent="0.3">
      <c r="B974" s="2"/>
      <c r="D974" s="42"/>
    </row>
    <row r="975" spans="2:4" ht="15.75" customHeight="1" x14ac:dyDescent="0.3">
      <c r="B975" s="2"/>
      <c r="D975" s="42"/>
    </row>
    <row r="976" spans="2:4" ht="15.75" customHeight="1" x14ac:dyDescent="0.3">
      <c r="B976" s="2"/>
      <c r="D976" s="42"/>
    </row>
    <row r="977" spans="2:4" ht="15.75" customHeight="1" x14ac:dyDescent="0.3">
      <c r="B977" s="2"/>
      <c r="D977" s="42"/>
    </row>
    <row r="978" spans="2:4" ht="15.75" customHeight="1" x14ac:dyDescent="0.3">
      <c r="B978" s="2"/>
      <c r="D978" s="42"/>
    </row>
    <row r="979" spans="2:4" ht="15.75" customHeight="1" x14ac:dyDescent="0.3">
      <c r="B979" s="2"/>
      <c r="D979" s="42"/>
    </row>
    <row r="980" spans="2:4" ht="15.75" customHeight="1" x14ac:dyDescent="0.3">
      <c r="B980" s="2"/>
      <c r="D980" s="42"/>
    </row>
    <row r="981" spans="2:4" ht="15.75" customHeight="1" x14ac:dyDescent="0.3">
      <c r="B981" s="2"/>
      <c r="D981" s="42"/>
    </row>
    <row r="982" spans="2:4" ht="15.75" customHeight="1" x14ac:dyDescent="0.3">
      <c r="B982" s="2"/>
      <c r="D982" s="42"/>
    </row>
    <row r="983" spans="2:4" ht="15.75" customHeight="1" x14ac:dyDescent="0.3">
      <c r="B983" s="2"/>
      <c r="D983" s="42"/>
    </row>
    <row r="984" spans="2:4" ht="15.75" customHeight="1" x14ac:dyDescent="0.3">
      <c r="B984" s="2"/>
      <c r="D984" s="42"/>
    </row>
    <row r="985" spans="2:4" ht="15.75" customHeight="1" x14ac:dyDescent="0.3">
      <c r="B985" s="2"/>
      <c r="D985" s="42"/>
    </row>
    <row r="986" spans="2:4" ht="15.75" customHeight="1" x14ac:dyDescent="0.3">
      <c r="B986" s="2"/>
      <c r="D986" s="42"/>
    </row>
    <row r="987" spans="2:4" ht="15.75" customHeight="1" x14ac:dyDescent="0.3">
      <c r="B987" s="2"/>
      <c r="D987" s="42"/>
    </row>
    <row r="988" spans="2:4" ht="15.75" customHeight="1" x14ac:dyDescent="0.3">
      <c r="B988" s="2"/>
      <c r="D988" s="42"/>
    </row>
    <row r="989" spans="2:4" ht="15.75" customHeight="1" x14ac:dyDescent="0.3">
      <c r="B989" s="2"/>
      <c r="D989" s="42"/>
    </row>
    <row r="990" spans="2:4" ht="15.75" customHeight="1" x14ac:dyDescent="0.3">
      <c r="B990" s="2"/>
      <c r="D990" s="42"/>
    </row>
    <row r="991" spans="2:4" ht="15.75" customHeight="1" x14ac:dyDescent="0.3">
      <c r="B991" s="2"/>
      <c r="D991" s="42"/>
    </row>
    <row r="992" spans="2:4" ht="15.75" customHeight="1" x14ac:dyDescent="0.3">
      <c r="B992" s="2"/>
      <c r="D992" s="42"/>
    </row>
    <row r="993" spans="2:4" ht="15.75" customHeight="1" x14ac:dyDescent="0.3">
      <c r="B993" s="2"/>
      <c r="D993" s="42"/>
    </row>
    <row r="994" spans="2:4" ht="15.75" customHeight="1" x14ac:dyDescent="0.3">
      <c r="B994" s="2"/>
      <c r="D994" s="42"/>
    </row>
    <row r="995" spans="2:4" ht="15.75" customHeight="1" x14ac:dyDescent="0.3">
      <c r="B995" s="2"/>
      <c r="D995" s="42"/>
    </row>
    <row r="996" spans="2:4" ht="15.75" customHeight="1" x14ac:dyDescent="0.3">
      <c r="B996" s="2"/>
      <c r="D996" s="42"/>
    </row>
    <row r="997" spans="2:4" ht="15.75" customHeight="1" x14ac:dyDescent="0.3">
      <c r="B997" s="2"/>
      <c r="D997" s="42"/>
    </row>
    <row r="998" spans="2:4" ht="15.75" customHeight="1" x14ac:dyDescent="0.3">
      <c r="B998" s="2"/>
      <c r="D998" s="42"/>
    </row>
    <row r="999" spans="2:4" ht="15.75" customHeight="1" x14ac:dyDescent="0.3">
      <c r="B999" s="2"/>
      <c r="D999" s="42"/>
    </row>
    <row r="1000" spans="2:4" ht="15.75" customHeight="1" x14ac:dyDescent="0.3">
      <c r="B1000" s="2"/>
      <c r="D1000" s="42"/>
    </row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C089-B166-4B6F-8B2C-8A19A19DA2CC}">
  <dimension ref="A1:Z1000"/>
  <sheetViews>
    <sheetView workbookViewId="0">
      <selection activeCell="T8" sqref="T8"/>
    </sheetView>
  </sheetViews>
  <sheetFormatPr defaultColWidth="14.44140625" defaultRowHeight="14.4" x14ac:dyDescent="0.3"/>
  <cols>
    <col min="1" max="1" width="6.6640625" style="3" customWidth="1"/>
    <col min="2" max="2" width="10.6640625" style="3" customWidth="1"/>
    <col min="3" max="3" width="45.33203125" style="1" customWidth="1"/>
    <col min="4" max="4" width="9.44140625" style="1" customWidth="1"/>
    <col min="5" max="5" width="13.109375" style="1" customWidth="1"/>
    <col min="6" max="6" width="4" style="1" customWidth="1"/>
    <col min="7" max="7" width="3.88671875" style="1" customWidth="1"/>
    <col min="8" max="8" width="4.33203125" style="1" customWidth="1"/>
    <col min="9" max="9" width="3.6640625" style="1" customWidth="1"/>
    <col min="10" max="10" width="4.44140625" style="1" customWidth="1"/>
    <col min="11" max="13" width="4" style="1" customWidth="1"/>
    <col min="14" max="15" width="3.88671875" style="1" customWidth="1"/>
    <col min="16" max="16" width="4.33203125" style="1" customWidth="1"/>
    <col min="17" max="17" width="4.109375" style="1" customWidth="1"/>
    <col min="18" max="19" width="6.6640625" style="1" customWidth="1"/>
    <col min="20" max="22" width="8.88671875" style="1" customWidth="1"/>
    <col min="23" max="23" width="11.44140625" style="1" customWidth="1"/>
    <col min="24" max="26" width="8.88671875" style="1" customWidth="1"/>
    <col min="27" max="16384" width="14.44140625" style="1"/>
  </cols>
  <sheetData>
    <row r="1" spans="1:25" x14ac:dyDescent="0.3">
      <c r="B1" s="42"/>
      <c r="D1" s="2"/>
    </row>
    <row r="2" spans="1:25" ht="2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7"/>
    </row>
    <row r="3" spans="1:25" ht="21" x14ac:dyDescent="0.4">
      <c r="A3" s="4" t="s">
        <v>1</v>
      </c>
      <c r="B3" s="5"/>
      <c r="C3" s="6">
        <f>E143+R143</f>
        <v>5840</v>
      </c>
      <c r="D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V3" s="8" t="e">
        <f>#REF!</f>
        <v>#REF!</v>
      </c>
      <c r="W3" s="9" t="e">
        <f>V3-C3</f>
        <v>#REF!</v>
      </c>
      <c r="Y3" s="8">
        <v>4360</v>
      </c>
    </row>
    <row r="4" spans="1:25" x14ac:dyDescent="0.3">
      <c r="B4" s="42"/>
      <c r="D4" s="2"/>
      <c r="Y4" s="8">
        <v>408</v>
      </c>
    </row>
    <row r="5" spans="1:25" x14ac:dyDescent="0.3">
      <c r="A5" s="10" t="s">
        <v>2</v>
      </c>
      <c r="B5" s="11" t="s">
        <v>3</v>
      </c>
      <c r="C5" s="10" t="s">
        <v>4</v>
      </c>
      <c r="D5" s="11" t="s">
        <v>5</v>
      </c>
      <c r="E5" s="10" t="s">
        <v>6</v>
      </c>
      <c r="F5" s="12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43"/>
    </row>
    <row r="6" spans="1:25" x14ac:dyDescent="0.3">
      <c r="A6" s="16"/>
      <c r="B6" s="16"/>
      <c r="C6" s="15"/>
      <c r="D6" s="15"/>
      <c r="E6" s="15"/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  <c r="O6" s="17" t="s">
        <v>17</v>
      </c>
      <c r="P6" s="17" t="s">
        <v>18</v>
      </c>
      <c r="Q6" s="17" t="s">
        <v>19</v>
      </c>
      <c r="R6" s="17" t="s">
        <v>20</v>
      </c>
      <c r="S6" s="44"/>
      <c r="Y6" s="8">
        <f>Y3+Y4+Y5</f>
        <v>4768</v>
      </c>
    </row>
    <row r="7" spans="1:25" x14ac:dyDescent="0.3">
      <c r="A7" s="22">
        <v>1</v>
      </c>
      <c r="B7" s="65" t="s">
        <v>21</v>
      </c>
      <c r="C7" s="30" t="s">
        <v>22</v>
      </c>
      <c r="D7" s="21" t="s">
        <v>23</v>
      </c>
      <c r="E7" s="18"/>
      <c r="F7" s="18">
        <v>10</v>
      </c>
      <c r="G7" s="18">
        <v>10</v>
      </c>
      <c r="H7" s="18">
        <v>10</v>
      </c>
      <c r="I7" s="18">
        <v>10</v>
      </c>
      <c r="J7" s="18">
        <v>10</v>
      </c>
      <c r="K7" s="18">
        <v>10</v>
      </c>
      <c r="L7" s="18">
        <v>10</v>
      </c>
      <c r="M7" s="18">
        <v>10</v>
      </c>
      <c r="N7" s="18">
        <v>10</v>
      </c>
      <c r="O7" s="18">
        <v>10</v>
      </c>
      <c r="P7" s="18">
        <v>10</v>
      </c>
      <c r="Q7" s="18">
        <v>10</v>
      </c>
      <c r="R7" s="18">
        <f t="shared" ref="R7:R11" si="0">SUM(F7:Q7)</f>
        <v>120</v>
      </c>
      <c r="S7" s="8"/>
      <c r="U7" s="8">
        <f t="shared" ref="U7:U8" si="1">IF(R7=120,(R7+E7),0)</f>
        <v>120</v>
      </c>
      <c r="V7" s="8" t="s">
        <v>398</v>
      </c>
      <c r="Y7" s="8">
        <v>276.8</v>
      </c>
    </row>
    <row r="8" spans="1:25" x14ac:dyDescent="0.3">
      <c r="A8" s="22">
        <v>2</v>
      </c>
      <c r="B8" s="65" t="s">
        <v>25</v>
      </c>
      <c r="C8" s="18" t="s">
        <v>26</v>
      </c>
      <c r="D8" s="21" t="s">
        <v>27</v>
      </c>
      <c r="E8" s="18"/>
      <c r="F8" s="18">
        <v>10</v>
      </c>
      <c r="G8" s="18">
        <v>10</v>
      </c>
      <c r="H8" s="18">
        <v>10</v>
      </c>
      <c r="I8" s="18">
        <v>10</v>
      </c>
      <c r="J8" s="18">
        <v>10</v>
      </c>
      <c r="K8" s="18">
        <v>10</v>
      </c>
      <c r="L8" s="18">
        <v>10</v>
      </c>
      <c r="M8" s="18">
        <v>10</v>
      </c>
      <c r="N8" s="18">
        <v>10</v>
      </c>
      <c r="O8" s="18">
        <v>10</v>
      </c>
      <c r="P8" s="18">
        <v>10</v>
      </c>
      <c r="Q8" s="18">
        <v>10</v>
      </c>
      <c r="R8" s="18">
        <f t="shared" si="0"/>
        <v>120</v>
      </c>
      <c r="S8" s="8"/>
      <c r="U8" s="8">
        <f t="shared" si="1"/>
        <v>120</v>
      </c>
      <c r="V8" s="8" t="s">
        <v>399</v>
      </c>
      <c r="Y8" s="8">
        <f>Y6-Y7</f>
        <v>4491.2</v>
      </c>
    </row>
    <row r="9" spans="1:25" x14ac:dyDescent="0.3">
      <c r="A9" s="66">
        <v>3</v>
      </c>
      <c r="B9" s="67" t="s">
        <v>29</v>
      </c>
      <c r="C9" s="68" t="s">
        <v>400</v>
      </c>
      <c r="D9" s="69" t="s">
        <v>31</v>
      </c>
      <c r="E9" s="70"/>
      <c r="F9" s="70">
        <v>10</v>
      </c>
      <c r="G9" s="70">
        <v>10</v>
      </c>
      <c r="H9" s="70">
        <v>10</v>
      </c>
      <c r="I9" s="70">
        <v>10</v>
      </c>
      <c r="J9" s="70">
        <v>10</v>
      </c>
      <c r="K9" s="70">
        <v>10</v>
      </c>
      <c r="L9" s="70">
        <v>10</v>
      </c>
      <c r="M9" s="70">
        <v>10</v>
      </c>
      <c r="N9" s="70">
        <v>10</v>
      </c>
      <c r="O9" s="70">
        <v>10</v>
      </c>
      <c r="P9" s="70">
        <v>10</v>
      </c>
      <c r="Q9" s="70">
        <v>10</v>
      </c>
      <c r="R9" s="70">
        <f t="shared" si="0"/>
        <v>120</v>
      </c>
      <c r="S9" s="71"/>
      <c r="T9" s="72" t="s">
        <v>401</v>
      </c>
      <c r="U9" s="71"/>
      <c r="V9" s="73"/>
    </row>
    <row r="10" spans="1:25" x14ac:dyDescent="0.3">
      <c r="A10" s="22">
        <v>4</v>
      </c>
      <c r="B10" s="45" t="s">
        <v>32</v>
      </c>
      <c r="C10" s="18" t="s">
        <v>33</v>
      </c>
      <c r="D10" s="21" t="s">
        <v>34</v>
      </c>
      <c r="E10" s="18"/>
      <c r="F10" s="18">
        <v>10</v>
      </c>
      <c r="G10" s="18">
        <v>10</v>
      </c>
      <c r="H10" s="18">
        <v>10</v>
      </c>
      <c r="I10" s="18">
        <v>10</v>
      </c>
      <c r="J10" s="18">
        <v>10</v>
      </c>
      <c r="K10" s="18">
        <v>10</v>
      </c>
      <c r="L10" s="18">
        <v>10</v>
      </c>
      <c r="M10" s="18">
        <v>10</v>
      </c>
      <c r="N10" s="18">
        <v>10</v>
      </c>
      <c r="O10" s="18">
        <v>10</v>
      </c>
      <c r="P10" s="18">
        <v>10</v>
      </c>
      <c r="Q10" s="18">
        <v>10</v>
      </c>
      <c r="R10" s="18">
        <f t="shared" si="0"/>
        <v>120</v>
      </c>
      <c r="S10" s="8"/>
      <c r="U10" s="8">
        <f t="shared" ref="U10:U44" si="2">IF(R10=120,(R10+E10),0)</f>
        <v>120</v>
      </c>
      <c r="V10" s="8" t="s">
        <v>402</v>
      </c>
    </row>
    <row r="11" spans="1:25" x14ac:dyDescent="0.3">
      <c r="A11" s="22">
        <v>5</v>
      </c>
      <c r="B11" s="45" t="s">
        <v>36</v>
      </c>
      <c r="C11" s="30" t="s">
        <v>37</v>
      </c>
      <c r="D11" s="21" t="s">
        <v>38</v>
      </c>
      <c r="E11" s="18"/>
      <c r="F11" s="18">
        <v>10</v>
      </c>
      <c r="G11" s="18">
        <v>10</v>
      </c>
      <c r="H11" s="18">
        <v>10</v>
      </c>
      <c r="I11" s="18">
        <v>10</v>
      </c>
      <c r="J11" s="18">
        <v>10</v>
      </c>
      <c r="K11" s="18">
        <v>10</v>
      </c>
      <c r="L11" s="18">
        <v>10</v>
      </c>
      <c r="M11" s="18">
        <v>10</v>
      </c>
      <c r="N11" s="18">
        <v>10</v>
      </c>
      <c r="O11" s="18">
        <v>10</v>
      </c>
      <c r="P11" s="18">
        <v>10</v>
      </c>
      <c r="Q11" s="18">
        <v>10</v>
      </c>
      <c r="R11" s="18">
        <f t="shared" si="0"/>
        <v>120</v>
      </c>
      <c r="S11" s="8"/>
      <c r="U11" s="8">
        <f t="shared" si="2"/>
        <v>120</v>
      </c>
      <c r="V11" s="8" t="s">
        <v>403</v>
      </c>
    </row>
    <row r="12" spans="1:25" x14ac:dyDescent="0.3">
      <c r="A12" s="22">
        <v>6</v>
      </c>
      <c r="B12" s="45" t="s">
        <v>39</v>
      </c>
      <c r="C12" s="18" t="s">
        <v>40</v>
      </c>
      <c r="D12" s="21" t="s">
        <v>41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8"/>
      <c r="U12" s="8">
        <f t="shared" si="2"/>
        <v>0</v>
      </c>
    </row>
    <row r="13" spans="1:25" x14ac:dyDescent="0.3">
      <c r="A13" s="22">
        <v>7</v>
      </c>
      <c r="B13" s="45" t="s">
        <v>43</v>
      </c>
      <c r="C13" s="18" t="s">
        <v>44</v>
      </c>
      <c r="D13" s="21" t="s">
        <v>45</v>
      </c>
      <c r="E13" s="18"/>
      <c r="F13" s="18">
        <v>10</v>
      </c>
      <c r="G13" s="18">
        <v>10</v>
      </c>
      <c r="H13" s="18">
        <v>10</v>
      </c>
      <c r="I13" s="18">
        <v>10</v>
      </c>
      <c r="J13" s="18">
        <v>10</v>
      </c>
      <c r="K13" s="18">
        <v>10</v>
      </c>
      <c r="L13" s="18">
        <v>10</v>
      </c>
      <c r="M13" s="18">
        <v>10</v>
      </c>
      <c r="N13" s="18">
        <v>10</v>
      </c>
      <c r="O13" s="18">
        <v>10</v>
      </c>
      <c r="P13" s="18">
        <v>10</v>
      </c>
      <c r="Q13" s="18">
        <v>10</v>
      </c>
      <c r="R13" s="18">
        <f t="shared" ref="R13:R14" si="3">SUM(F13:Q13)</f>
        <v>120</v>
      </c>
      <c r="S13" s="8"/>
      <c r="U13" s="8">
        <f t="shared" si="2"/>
        <v>120</v>
      </c>
    </row>
    <row r="14" spans="1:25" x14ac:dyDescent="0.3">
      <c r="A14" s="22">
        <v>8</v>
      </c>
      <c r="B14" s="45" t="s">
        <v>46</v>
      </c>
      <c r="C14" s="30" t="s">
        <v>47</v>
      </c>
      <c r="D14" s="21" t="s">
        <v>48</v>
      </c>
      <c r="E14" s="18"/>
      <c r="F14" s="18">
        <v>10</v>
      </c>
      <c r="G14" s="18">
        <v>10</v>
      </c>
      <c r="H14" s="18">
        <v>10</v>
      </c>
      <c r="I14" s="18">
        <v>10</v>
      </c>
      <c r="J14" s="18">
        <v>10</v>
      </c>
      <c r="K14" s="18">
        <v>10</v>
      </c>
      <c r="L14" s="18">
        <v>10</v>
      </c>
      <c r="M14" s="18">
        <v>10</v>
      </c>
      <c r="N14" s="18">
        <v>10</v>
      </c>
      <c r="O14" s="18">
        <v>10</v>
      </c>
      <c r="P14" s="18">
        <v>10</v>
      </c>
      <c r="Q14" s="18">
        <v>10</v>
      </c>
      <c r="R14" s="18">
        <f t="shared" si="3"/>
        <v>120</v>
      </c>
      <c r="S14" s="8"/>
      <c r="U14" s="8">
        <f t="shared" si="2"/>
        <v>120</v>
      </c>
      <c r="V14" s="8" t="s">
        <v>404</v>
      </c>
    </row>
    <row r="15" spans="1:25" x14ac:dyDescent="0.3">
      <c r="A15" s="22">
        <v>9</v>
      </c>
      <c r="B15" s="45" t="s">
        <v>49</v>
      </c>
      <c r="C15" s="18" t="s">
        <v>50</v>
      </c>
      <c r="D15" s="21" t="s">
        <v>51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46"/>
      <c r="S15" s="8"/>
      <c r="U15" s="8">
        <f t="shared" si="2"/>
        <v>0</v>
      </c>
    </row>
    <row r="16" spans="1:25" x14ac:dyDescent="0.3">
      <c r="A16" s="22">
        <v>10</v>
      </c>
      <c r="B16" s="45" t="s">
        <v>52</v>
      </c>
      <c r="C16" s="30" t="s">
        <v>53</v>
      </c>
      <c r="D16" s="21" t="s">
        <v>54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8"/>
      <c r="U16" s="8">
        <f t="shared" si="2"/>
        <v>0</v>
      </c>
    </row>
    <row r="17" spans="1:25" x14ac:dyDescent="0.3">
      <c r="A17" s="22">
        <v>11</v>
      </c>
      <c r="B17" s="45" t="s">
        <v>55</v>
      </c>
      <c r="C17" s="30" t="s">
        <v>56</v>
      </c>
      <c r="D17" s="21" t="s">
        <v>57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8"/>
      <c r="U17" s="8">
        <f t="shared" si="2"/>
        <v>0</v>
      </c>
    </row>
    <row r="18" spans="1:25" x14ac:dyDescent="0.3">
      <c r="A18" s="22">
        <v>12</v>
      </c>
      <c r="B18" s="45" t="s">
        <v>58</v>
      </c>
      <c r="C18" s="30" t="s">
        <v>59</v>
      </c>
      <c r="D18" s="21" t="s">
        <v>60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46"/>
      <c r="S18" s="8"/>
      <c r="U18" s="8">
        <f t="shared" si="2"/>
        <v>0</v>
      </c>
    </row>
    <row r="19" spans="1:25" x14ac:dyDescent="0.3">
      <c r="A19" s="22">
        <v>13</v>
      </c>
      <c r="B19" s="45" t="s">
        <v>61</v>
      </c>
      <c r="C19" s="18" t="s">
        <v>62</v>
      </c>
      <c r="D19" s="21" t="s">
        <v>63</v>
      </c>
      <c r="E19" s="18"/>
      <c r="F19" s="18">
        <v>10</v>
      </c>
      <c r="G19" s="18">
        <v>10</v>
      </c>
      <c r="H19" s="18">
        <v>10</v>
      </c>
      <c r="I19" s="18">
        <v>10</v>
      </c>
      <c r="J19" s="18">
        <v>10</v>
      </c>
      <c r="K19" s="18">
        <v>10</v>
      </c>
      <c r="L19" s="18">
        <v>10</v>
      </c>
      <c r="M19" s="18">
        <v>10</v>
      </c>
      <c r="N19" s="18">
        <v>10</v>
      </c>
      <c r="O19" s="18">
        <v>10</v>
      </c>
      <c r="P19" s="18">
        <v>10</v>
      </c>
      <c r="Q19" s="18">
        <v>10</v>
      </c>
      <c r="R19" s="18">
        <f t="shared" ref="R19:R21" si="4">SUM(F19:Q19)</f>
        <v>120</v>
      </c>
      <c r="S19" s="8"/>
      <c r="U19" s="8">
        <f t="shared" si="2"/>
        <v>120</v>
      </c>
      <c r="V19" s="8" t="s">
        <v>405</v>
      </c>
    </row>
    <row r="20" spans="1:25" x14ac:dyDescent="0.3">
      <c r="A20" s="22">
        <v>14</v>
      </c>
      <c r="B20" s="45" t="s">
        <v>65</v>
      </c>
      <c r="C20" s="30" t="s">
        <v>66</v>
      </c>
      <c r="D20" s="21" t="s">
        <v>67</v>
      </c>
      <c r="E20" s="18"/>
      <c r="F20" s="18">
        <v>10</v>
      </c>
      <c r="G20" s="18">
        <v>10</v>
      </c>
      <c r="H20" s="18">
        <v>10</v>
      </c>
      <c r="I20" s="18">
        <v>10</v>
      </c>
      <c r="J20" s="18">
        <v>10</v>
      </c>
      <c r="K20" s="18">
        <v>10</v>
      </c>
      <c r="L20" s="18">
        <v>10</v>
      </c>
      <c r="M20" s="18">
        <v>10</v>
      </c>
      <c r="N20" s="18">
        <v>10</v>
      </c>
      <c r="O20" s="18">
        <v>10</v>
      </c>
      <c r="P20" s="18">
        <v>10</v>
      </c>
      <c r="Q20" s="18">
        <v>10</v>
      </c>
      <c r="R20" s="18">
        <f t="shared" si="4"/>
        <v>120</v>
      </c>
      <c r="S20" s="8"/>
      <c r="U20" s="8">
        <f t="shared" si="2"/>
        <v>120</v>
      </c>
      <c r="V20" s="8" t="s">
        <v>405</v>
      </c>
    </row>
    <row r="21" spans="1:25" ht="15.75" customHeight="1" x14ac:dyDescent="0.3">
      <c r="A21" s="22">
        <v>15</v>
      </c>
      <c r="B21" s="45" t="s">
        <v>68</v>
      </c>
      <c r="C21" s="18" t="s">
        <v>69</v>
      </c>
      <c r="D21" s="21" t="s">
        <v>70</v>
      </c>
      <c r="E21" s="18"/>
      <c r="F21" s="18">
        <v>10</v>
      </c>
      <c r="G21" s="18">
        <v>10</v>
      </c>
      <c r="H21" s="18">
        <v>10</v>
      </c>
      <c r="I21" s="18">
        <v>10</v>
      </c>
      <c r="J21" s="18">
        <v>10</v>
      </c>
      <c r="K21" s="18">
        <v>10</v>
      </c>
      <c r="L21" s="18">
        <v>10</v>
      </c>
      <c r="M21" s="18">
        <v>10</v>
      </c>
      <c r="N21" s="18">
        <v>10</v>
      </c>
      <c r="O21" s="18">
        <v>10</v>
      </c>
      <c r="P21" s="18">
        <v>10</v>
      </c>
      <c r="Q21" s="18">
        <v>10</v>
      </c>
      <c r="R21" s="18">
        <f t="shared" si="4"/>
        <v>120</v>
      </c>
      <c r="S21" s="8"/>
      <c r="U21" s="8">
        <f t="shared" si="2"/>
        <v>120</v>
      </c>
      <c r="V21" s="8" t="s">
        <v>368</v>
      </c>
    </row>
    <row r="22" spans="1:25" ht="15.75" customHeight="1" x14ac:dyDescent="0.3">
      <c r="A22" s="22">
        <v>16</v>
      </c>
      <c r="B22" s="45" t="s">
        <v>71</v>
      </c>
      <c r="C22" s="30" t="s">
        <v>72</v>
      </c>
      <c r="D22" s="21" t="s">
        <v>73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8"/>
      <c r="U22" s="8">
        <f t="shared" si="2"/>
        <v>0</v>
      </c>
    </row>
    <row r="23" spans="1:25" ht="15.75" customHeight="1" x14ac:dyDescent="0.3">
      <c r="A23" s="22">
        <v>17</v>
      </c>
      <c r="B23" s="45" t="s">
        <v>74</v>
      </c>
      <c r="C23" s="30" t="s">
        <v>75</v>
      </c>
      <c r="D23" s="21" t="s">
        <v>76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8"/>
      <c r="U23" s="8">
        <f t="shared" si="2"/>
        <v>0</v>
      </c>
    </row>
    <row r="24" spans="1:25" ht="15.75" customHeight="1" x14ac:dyDescent="0.3">
      <c r="A24" s="22">
        <v>18</v>
      </c>
      <c r="B24" s="74" t="s">
        <v>77</v>
      </c>
      <c r="C24" s="75" t="s">
        <v>78</v>
      </c>
      <c r="D24" s="76" t="s">
        <v>79</v>
      </c>
      <c r="E24" s="75"/>
      <c r="F24" s="75">
        <v>10</v>
      </c>
      <c r="G24" s="75">
        <v>10</v>
      </c>
      <c r="H24" s="75">
        <v>10</v>
      </c>
      <c r="I24" s="75">
        <v>10</v>
      </c>
      <c r="J24" s="75">
        <v>10</v>
      </c>
      <c r="K24" s="75">
        <v>10</v>
      </c>
      <c r="L24" s="75">
        <v>10</v>
      </c>
      <c r="M24" s="75">
        <v>10</v>
      </c>
      <c r="N24" s="75">
        <v>10</v>
      </c>
      <c r="O24" s="75">
        <v>10</v>
      </c>
      <c r="P24" s="75">
        <v>10</v>
      </c>
      <c r="Q24" s="75">
        <v>10</v>
      </c>
      <c r="R24" s="75">
        <f t="shared" ref="R24:R26" si="5">SUM(F24:Q24)</f>
        <v>120</v>
      </c>
      <c r="S24" s="77"/>
      <c r="T24" s="77"/>
      <c r="U24" s="77">
        <f t="shared" si="2"/>
        <v>120</v>
      </c>
      <c r="V24" s="77" t="s">
        <v>406</v>
      </c>
      <c r="W24" s="77"/>
      <c r="X24" s="59" t="s">
        <v>407</v>
      </c>
      <c r="Y24" s="59"/>
    </row>
    <row r="25" spans="1:25" ht="15.75" customHeight="1" x14ac:dyDescent="0.3">
      <c r="A25" s="22">
        <v>19</v>
      </c>
      <c r="B25" s="45" t="s">
        <v>80</v>
      </c>
      <c r="C25" s="18" t="s">
        <v>81</v>
      </c>
      <c r="D25" s="21" t="s">
        <v>82</v>
      </c>
      <c r="E25" s="18"/>
      <c r="F25" s="75">
        <v>10</v>
      </c>
      <c r="G25" s="18">
        <v>10</v>
      </c>
      <c r="H25" s="18">
        <v>10</v>
      </c>
      <c r="I25" s="18">
        <v>10</v>
      </c>
      <c r="J25" s="18">
        <v>10</v>
      </c>
      <c r="K25" s="18">
        <v>10</v>
      </c>
      <c r="L25" s="18">
        <v>10</v>
      </c>
      <c r="M25" s="18">
        <v>10</v>
      </c>
      <c r="N25" s="18">
        <v>10</v>
      </c>
      <c r="O25" s="18">
        <v>10</v>
      </c>
      <c r="P25" s="18">
        <v>10</v>
      </c>
      <c r="Q25" s="18">
        <v>10</v>
      </c>
      <c r="R25" s="18">
        <f t="shared" si="5"/>
        <v>120</v>
      </c>
      <c r="S25" s="8"/>
      <c r="U25" s="8">
        <f t="shared" si="2"/>
        <v>120</v>
      </c>
      <c r="V25" s="8" t="s">
        <v>408</v>
      </c>
    </row>
    <row r="26" spans="1:25" ht="15.75" customHeight="1" x14ac:dyDescent="0.3">
      <c r="A26" s="22">
        <v>20</v>
      </c>
      <c r="B26" s="45" t="s">
        <v>83</v>
      </c>
      <c r="C26" s="30" t="s">
        <v>84</v>
      </c>
      <c r="D26" s="21" t="s">
        <v>85</v>
      </c>
      <c r="E26" s="18"/>
      <c r="F26" s="75">
        <v>10</v>
      </c>
      <c r="G26" s="18">
        <v>10</v>
      </c>
      <c r="H26" s="18">
        <v>10</v>
      </c>
      <c r="I26" s="18">
        <v>10</v>
      </c>
      <c r="J26" s="18">
        <v>10</v>
      </c>
      <c r="K26" s="18">
        <v>10</v>
      </c>
      <c r="L26" s="18">
        <v>10</v>
      </c>
      <c r="M26" s="18">
        <v>10</v>
      </c>
      <c r="N26" s="18">
        <v>10</v>
      </c>
      <c r="O26" s="18">
        <v>10</v>
      </c>
      <c r="P26" s="18">
        <v>10</v>
      </c>
      <c r="Q26" s="18">
        <v>10</v>
      </c>
      <c r="R26" s="18">
        <f t="shared" si="5"/>
        <v>120</v>
      </c>
      <c r="S26" s="8"/>
      <c r="U26" s="8">
        <f t="shared" si="2"/>
        <v>120</v>
      </c>
      <c r="V26" s="8" t="s">
        <v>369</v>
      </c>
    </row>
    <row r="27" spans="1:25" ht="15.75" customHeight="1" x14ac:dyDescent="0.3">
      <c r="A27" s="22">
        <v>21</v>
      </c>
      <c r="B27" s="45" t="s">
        <v>86</v>
      </c>
      <c r="C27" s="30" t="s">
        <v>87</v>
      </c>
      <c r="D27" s="21" t="s">
        <v>88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46"/>
      <c r="S27" s="8"/>
      <c r="U27" s="8">
        <f t="shared" si="2"/>
        <v>0</v>
      </c>
    </row>
    <row r="28" spans="1:25" ht="15.75" customHeight="1" x14ac:dyDescent="0.3">
      <c r="A28" s="22">
        <v>22</v>
      </c>
      <c r="B28" s="45" t="s">
        <v>89</v>
      </c>
      <c r="C28" s="30" t="s">
        <v>90</v>
      </c>
      <c r="D28" s="21" t="s">
        <v>91</v>
      </c>
      <c r="E28" s="18"/>
      <c r="F28" s="18">
        <v>10</v>
      </c>
      <c r="G28" s="18">
        <v>10</v>
      </c>
      <c r="H28" s="18">
        <v>10</v>
      </c>
      <c r="I28" s="18">
        <v>10</v>
      </c>
      <c r="J28" s="18">
        <v>10</v>
      </c>
      <c r="K28" s="18">
        <v>10</v>
      </c>
      <c r="L28" s="18">
        <v>10</v>
      </c>
      <c r="M28" s="18">
        <v>10</v>
      </c>
      <c r="N28" s="18">
        <v>10</v>
      </c>
      <c r="O28" s="18">
        <v>10</v>
      </c>
      <c r="P28" s="18">
        <v>10</v>
      </c>
      <c r="Q28" s="18">
        <v>10</v>
      </c>
      <c r="R28" s="18">
        <f t="shared" ref="R28:R29" si="6">SUM(F28:Q28)</f>
        <v>120</v>
      </c>
      <c r="S28" s="8"/>
      <c r="U28" s="8">
        <f t="shared" si="2"/>
        <v>120</v>
      </c>
      <c r="V28" s="8" t="s">
        <v>405</v>
      </c>
    </row>
    <row r="29" spans="1:25" ht="15.75" customHeight="1" x14ac:dyDescent="0.3">
      <c r="A29" s="22">
        <v>23</v>
      </c>
      <c r="B29" s="45" t="s">
        <v>92</v>
      </c>
      <c r="C29" s="30" t="s">
        <v>93</v>
      </c>
      <c r="D29" s="21" t="s">
        <v>94</v>
      </c>
      <c r="E29" s="18"/>
      <c r="F29" s="18">
        <v>10</v>
      </c>
      <c r="G29" s="18">
        <v>10</v>
      </c>
      <c r="H29" s="18">
        <v>10</v>
      </c>
      <c r="I29" s="18">
        <v>10</v>
      </c>
      <c r="J29" s="18">
        <v>10</v>
      </c>
      <c r="K29" s="18">
        <v>10</v>
      </c>
      <c r="L29" s="18">
        <v>10</v>
      </c>
      <c r="M29" s="18">
        <v>10</v>
      </c>
      <c r="N29" s="18">
        <v>10</v>
      </c>
      <c r="O29" s="18">
        <v>10</v>
      </c>
      <c r="P29" s="18">
        <v>10</v>
      </c>
      <c r="Q29" s="18">
        <v>10</v>
      </c>
      <c r="R29" s="18">
        <f t="shared" si="6"/>
        <v>120</v>
      </c>
      <c r="S29" s="8"/>
      <c r="U29" s="8">
        <f t="shared" si="2"/>
        <v>120</v>
      </c>
    </row>
    <row r="30" spans="1:25" ht="15.75" customHeight="1" x14ac:dyDescent="0.3">
      <c r="A30" s="22">
        <v>24</v>
      </c>
      <c r="B30" s="45" t="s">
        <v>95</v>
      </c>
      <c r="C30" s="18" t="s">
        <v>96</v>
      </c>
      <c r="D30" s="21" t="s">
        <v>97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8"/>
      <c r="U30" s="8">
        <f t="shared" si="2"/>
        <v>0</v>
      </c>
    </row>
    <row r="31" spans="1:25" ht="15.75" customHeight="1" x14ac:dyDescent="0.3">
      <c r="A31" s="22">
        <v>25</v>
      </c>
      <c r="B31" s="45" t="s">
        <v>98</v>
      </c>
      <c r="C31" s="18" t="s">
        <v>99</v>
      </c>
      <c r="D31" s="21" t="s">
        <v>100</v>
      </c>
      <c r="E31" s="18"/>
      <c r="F31" s="18">
        <v>10</v>
      </c>
      <c r="G31" s="18">
        <v>10</v>
      </c>
      <c r="H31" s="18">
        <v>10</v>
      </c>
      <c r="I31" s="18">
        <v>10</v>
      </c>
      <c r="J31" s="18">
        <v>10</v>
      </c>
      <c r="K31" s="18">
        <v>10</v>
      </c>
      <c r="L31" s="18">
        <v>10</v>
      </c>
      <c r="M31" s="18">
        <v>10</v>
      </c>
      <c r="N31" s="18">
        <v>10</v>
      </c>
      <c r="O31" s="18">
        <v>10</v>
      </c>
      <c r="P31" s="18">
        <v>10</v>
      </c>
      <c r="Q31" s="18">
        <v>10</v>
      </c>
      <c r="R31" s="18">
        <f>SUM(F31:Q31)</f>
        <v>120</v>
      </c>
      <c r="S31" s="8"/>
      <c r="U31" s="8">
        <f t="shared" si="2"/>
        <v>120</v>
      </c>
      <c r="V31" s="8" t="s">
        <v>409</v>
      </c>
    </row>
    <row r="32" spans="1:25" ht="15.75" customHeight="1" x14ac:dyDescent="0.3">
      <c r="A32" s="22">
        <v>26</v>
      </c>
      <c r="B32" s="45" t="s">
        <v>101</v>
      </c>
      <c r="C32" s="18" t="s">
        <v>102</v>
      </c>
      <c r="D32" s="21" t="s">
        <v>103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8"/>
      <c r="U32" s="8">
        <f t="shared" si="2"/>
        <v>0</v>
      </c>
    </row>
    <row r="33" spans="1:26" ht="15.75" customHeight="1" x14ac:dyDescent="0.3">
      <c r="A33" s="22">
        <v>27</v>
      </c>
      <c r="B33" s="45" t="s">
        <v>104</v>
      </c>
      <c r="C33" s="18" t="s">
        <v>105</v>
      </c>
      <c r="D33" s="21" t="s">
        <v>106</v>
      </c>
      <c r="E33" s="18"/>
      <c r="F33" s="18">
        <v>10</v>
      </c>
      <c r="G33" s="18">
        <v>10</v>
      </c>
      <c r="H33" s="18">
        <v>10</v>
      </c>
      <c r="I33" s="18">
        <v>10</v>
      </c>
      <c r="J33" s="18">
        <v>10</v>
      </c>
      <c r="K33" s="18">
        <v>10</v>
      </c>
      <c r="L33" s="18">
        <v>10</v>
      </c>
      <c r="M33" s="18">
        <v>10</v>
      </c>
      <c r="N33" s="18">
        <v>10</v>
      </c>
      <c r="O33" s="18">
        <v>10</v>
      </c>
      <c r="P33" s="18">
        <v>10</v>
      </c>
      <c r="Q33" s="18">
        <v>10</v>
      </c>
      <c r="R33" s="18">
        <f t="shared" ref="R33:R38" si="7">SUM(F33:Q33)</f>
        <v>120</v>
      </c>
      <c r="S33" s="8"/>
      <c r="U33" s="8">
        <f t="shared" si="2"/>
        <v>120</v>
      </c>
      <c r="V33" s="8" t="s">
        <v>410</v>
      </c>
    </row>
    <row r="34" spans="1:26" ht="15.75" customHeight="1" x14ac:dyDescent="0.3">
      <c r="A34" s="22">
        <v>28</v>
      </c>
      <c r="B34" s="45" t="s">
        <v>107</v>
      </c>
      <c r="C34" s="18" t="s">
        <v>108</v>
      </c>
      <c r="D34" s="21" t="s">
        <v>109</v>
      </c>
      <c r="E34" s="18"/>
      <c r="F34" s="18">
        <v>10</v>
      </c>
      <c r="G34" s="18">
        <v>10</v>
      </c>
      <c r="H34" s="18">
        <v>10</v>
      </c>
      <c r="I34" s="18">
        <v>10</v>
      </c>
      <c r="J34" s="18">
        <v>10</v>
      </c>
      <c r="K34" s="18">
        <v>10</v>
      </c>
      <c r="L34" s="18">
        <v>10</v>
      </c>
      <c r="M34" s="18">
        <v>10</v>
      </c>
      <c r="N34" s="18">
        <v>10</v>
      </c>
      <c r="O34" s="18">
        <v>10</v>
      </c>
      <c r="P34" s="18">
        <v>10</v>
      </c>
      <c r="Q34" s="18">
        <v>10</v>
      </c>
      <c r="R34" s="18">
        <f t="shared" si="7"/>
        <v>120</v>
      </c>
      <c r="S34" s="8"/>
      <c r="U34" s="8">
        <f t="shared" si="2"/>
        <v>120</v>
      </c>
      <c r="V34" s="8" t="s">
        <v>411</v>
      </c>
    </row>
    <row r="35" spans="1:26" ht="15.75" customHeight="1" x14ac:dyDescent="0.3">
      <c r="A35" s="22">
        <v>29</v>
      </c>
      <c r="B35" s="45" t="s">
        <v>110</v>
      </c>
      <c r="C35" s="30" t="s">
        <v>111</v>
      </c>
      <c r="D35" s="21" t="s">
        <v>112</v>
      </c>
      <c r="E35" s="18"/>
      <c r="F35" s="18">
        <v>10</v>
      </c>
      <c r="G35" s="18">
        <v>10</v>
      </c>
      <c r="H35" s="18">
        <v>10</v>
      </c>
      <c r="I35" s="18">
        <v>10</v>
      </c>
      <c r="J35" s="18">
        <v>10</v>
      </c>
      <c r="K35" s="18">
        <v>10</v>
      </c>
      <c r="L35" s="18">
        <v>10</v>
      </c>
      <c r="M35" s="18">
        <v>10</v>
      </c>
      <c r="N35" s="18">
        <v>10</v>
      </c>
      <c r="O35" s="18">
        <v>10</v>
      </c>
      <c r="P35" s="18">
        <v>10</v>
      </c>
      <c r="Q35" s="18">
        <v>10</v>
      </c>
      <c r="R35" s="18">
        <f t="shared" si="7"/>
        <v>120</v>
      </c>
      <c r="S35" s="8"/>
      <c r="U35" s="8">
        <f t="shared" si="2"/>
        <v>120</v>
      </c>
    </row>
    <row r="36" spans="1:26" ht="15.75" customHeight="1" x14ac:dyDescent="0.3">
      <c r="A36" s="22">
        <v>30</v>
      </c>
      <c r="B36" s="45" t="s">
        <v>113</v>
      </c>
      <c r="C36" s="18" t="s">
        <v>114</v>
      </c>
      <c r="D36" s="21" t="s">
        <v>115</v>
      </c>
      <c r="E36" s="18"/>
      <c r="F36" s="18">
        <v>10</v>
      </c>
      <c r="G36" s="18">
        <v>10</v>
      </c>
      <c r="H36" s="18">
        <v>10</v>
      </c>
      <c r="I36" s="18">
        <v>10</v>
      </c>
      <c r="J36" s="18">
        <v>10</v>
      </c>
      <c r="K36" s="18">
        <v>10</v>
      </c>
      <c r="L36" s="18">
        <v>10</v>
      </c>
      <c r="M36" s="18">
        <v>10</v>
      </c>
      <c r="N36" s="18">
        <v>10</v>
      </c>
      <c r="O36" s="18">
        <v>10</v>
      </c>
      <c r="P36" s="18">
        <v>10</v>
      </c>
      <c r="Q36" s="18">
        <v>10</v>
      </c>
      <c r="R36" s="18">
        <f t="shared" si="7"/>
        <v>120</v>
      </c>
      <c r="S36" s="8"/>
      <c r="U36" s="8">
        <f t="shared" si="2"/>
        <v>120</v>
      </c>
      <c r="V36" s="8" t="s">
        <v>411</v>
      </c>
    </row>
    <row r="37" spans="1:26" ht="15.75" customHeight="1" x14ac:dyDescent="0.3">
      <c r="A37" s="22">
        <v>31</v>
      </c>
      <c r="B37" s="45" t="s">
        <v>116</v>
      </c>
      <c r="C37" s="30" t="s">
        <v>117</v>
      </c>
      <c r="D37" s="21" t="s">
        <v>118</v>
      </c>
      <c r="E37" s="18"/>
      <c r="F37" s="18">
        <v>10</v>
      </c>
      <c r="G37" s="18">
        <v>10</v>
      </c>
      <c r="H37" s="18">
        <v>10</v>
      </c>
      <c r="I37" s="18">
        <v>10</v>
      </c>
      <c r="J37" s="18">
        <v>10</v>
      </c>
      <c r="K37" s="18">
        <v>10</v>
      </c>
      <c r="L37" s="18">
        <v>10</v>
      </c>
      <c r="M37" s="18">
        <v>10</v>
      </c>
      <c r="N37" s="18">
        <v>10</v>
      </c>
      <c r="O37" s="18">
        <v>10</v>
      </c>
      <c r="P37" s="18">
        <v>10</v>
      </c>
      <c r="Q37" s="18">
        <v>10</v>
      </c>
      <c r="R37" s="18">
        <f t="shared" si="7"/>
        <v>120</v>
      </c>
      <c r="S37" s="8"/>
      <c r="U37" s="8">
        <f t="shared" si="2"/>
        <v>120</v>
      </c>
      <c r="V37" s="8" t="s">
        <v>412</v>
      </c>
    </row>
    <row r="38" spans="1:26" ht="15.75" customHeight="1" x14ac:dyDescent="0.3">
      <c r="A38" s="22">
        <v>32</v>
      </c>
      <c r="B38" s="45" t="s">
        <v>119</v>
      </c>
      <c r="C38" s="40" t="s">
        <v>120</v>
      </c>
      <c r="D38" s="21" t="s">
        <v>121</v>
      </c>
      <c r="E38" s="18"/>
      <c r="F38" s="18">
        <v>10</v>
      </c>
      <c r="G38" s="18">
        <v>10</v>
      </c>
      <c r="H38" s="18">
        <v>10</v>
      </c>
      <c r="I38" s="18">
        <v>10</v>
      </c>
      <c r="J38" s="18">
        <v>10</v>
      </c>
      <c r="K38" s="18">
        <v>10</v>
      </c>
      <c r="L38" s="18">
        <v>10</v>
      </c>
      <c r="M38" s="18">
        <v>10</v>
      </c>
      <c r="N38" s="18">
        <v>10</v>
      </c>
      <c r="O38" s="18">
        <v>10</v>
      </c>
      <c r="P38" s="18">
        <v>10</v>
      </c>
      <c r="Q38" s="18">
        <v>10</v>
      </c>
      <c r="R38" s="18">
        <f t="shared" si="7"/>
        <v>120</v>
      </c>
      <c r="S38" s="8"/>
      <c r="U38" s="8">
        <f t="shared" si="2"/>
        <v>120</v>
      </c>
      <c r="V38" s="8" t="s">
        <v>413</v>
      </c>
    </row>
    <row r="39" spans="1:26" ht="15.75" customHeight="1" x14ac:dyDescent="0.3">
      <c r="A39" s="22">
        <v>33</v>
      </c>
      <c r="B39" s="45" t="s">
        <v>122</v>
      </c>
      <c r="C39" s="18" t="s">
        <v>123</v>
      </c>
      <c r="D39" s="21" t="s">
        <v>124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8"/>
      <c r="U39" s="8">
        <f t="shared" si="2"/>
        <v>0</v>
      </c>
    </row>
    <row r="40" spans="1:26" ht="15.75" customHeight="1" x14ac:dyDescent="0.3">
      <c r="A40" s="22">
        <v>34</v>
      </c>
      <c r="B40" s="78" t="s">
        <v>125</v>
      </c>
      <c r="C40" s="79" t="s">
        <v>126</v>
      </c>
      <c r="D40" s="80" t="s">
        <v>127</v>
      </c>
      <c r="E40" s="79"/>
      <c r="F40" s="79">
        <v>10</v>
      </c>
      <c r="G40" s="79">
        <v>10</v>
      </c>
      <c r="H40" s="79">
        <v>10</v>
      </c>
      <c r="I40" s="79">
        <v>10</v>
      </c>
      <c r="J40" s="79">
        <v>10</v>
      </c>
      <c r="K40" s="79">
        <v>10</v>
      </c>
      <c r="L40" s="79">
        <v>10</v>
      </c>
      <c r="M40" s="79">
        <v>10</v>
      </c>
      <c r="N40" s="79">
        <v>10</v>
      </c>
      <c r="O40" s="79">
        <v>10</v>
      </c>
      <c r="P40" s="79">
        <v>10</v>
      </c>
      <c r="Q40" s="79">
        <v>10</v>
      </c>
      <c r="R40" s="79">
        <f>SUM(F40:Q40)</f>
        <v>120</v>
      </c>
      <c r="S40" s="81"/>
      <c r="T40" s="82"/>
      <c r="U40" s="81">
        <f t="shared" si="2"/>
        <v>120</v>
      </c>
      <c r="V40" s="81" t="s">
        <v>414</v>
      </c>
      <c r="W40" s="82"/>
      <c r="X40" s="82"/>
    </row>
    <row r="41" spans="1:26" ht="15.75" customHeight="1" x14ac:dyDescent="0.3">
      <c r="A41" s="22">
        <v>35</v>
      </c>
      <c r="B41" s="45" t="s">
        <v>128</v>
      </c>
      <c r="C41" s="30" t="s">
        <v>129</v>
      </c>
      <c r="D41" s="21" t="s">
        <v>130</v>
      </c>
      <c r="E41" s="18"/>
      <c r="F41" s="18">
        <v>10</v>
      </c>
      <c r="G41" s="18">
        <v>10</v>
      </c>
      <c r="H41" s="18">
        <v>10</v>
      </c>
      <c r="I41" s="18">
        <v>10</v>
      </c>
      <c r="J41" s="18">
        <v>10</v>
      </c>
      <c r="K41" s="18">
        <v>10</v>
      </c>
      <c r="L41" s="18">
        <v>10</v>
      </c>
      <c r="M41" s="18">
        <v>10</v>
      </c>
      <c r="N41" s="18">
        <v>10</v>
      </c>
      <c r="O41" s="18">
        <v>10</v>
      </c>
      <c r="P41" s="18">
        <v>10</v>
      </c>
      <c r="Q41" s="18">
        <v>10</v>
      </c>
      <c r="R41" s="18">
        <f>SUM(F41:Q41)</f>
        <v>120</v>
      </c>
      <c r="S41" s="8"/>
      <c r="U41" s="8">
        <f t="shared" si="2"/>
        <v>120</v>
      </c>
      <c r="V41" s="8" t="s">
        <v>415</v>
      </c>
    </row>
    <row r="42" spans="1:26" ht="15.75" customHeight="1" x14ac:dyDescent="0.3">
      <c r="A42" s="22">
        <v>36</v>
      </c>
      <c r="B42" s="45" t="s">
        <v>131</v>
      </c>
      <c r="C42" s="30" t="s">
        <v>132</v>
      </c>
      <c r="D42" s="21" t="s">
        <v>133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8"/>
      <c r="U42" s="8">
        <f t="shared" si="2"/>
        <v>0</v>
      </c>
    </row>
    <row r="43" spans="1:26" ht="15.75" customHeight="1" x14ac:dyDescent="0.3">
      <c r="A43" s="22">
        <v>37</v>
      </c>
      <c r="B43" s="45" t="s">
        <v>135</v>
      </c>
      <c r="C43" s="30" t="s">
        <v>136</v>
      </c>
      <c r="D43" s="21" t="s">
        <v>137</v>
      </c>
      <c r="E43" s="18"/>
      <c r="F43" s="18">
        <v>10</v>
      </c>
      <c r="G43" s="18">
        <v>10</v>
      </c>
      <c r="H43" s="18">
        <v>10</v>
      </c>
      <c r="I43" s="18">
        <v>10</v>
      </c>
      <c r="J43" s="18">
        <v>10</v>
      </c>
      <c r="K43" s="18">
        <v>10</v>
      </c>
      <c r="L43" s="18">
        <v>10</v>
      </c>
      <c r="M43" s="18">
        <v>10</v>
      </c>
      <c r="N43" s="18">
        <v>10</v>
      </c>
      <c r="O43" s="18">
        <v>10</v>
      </c>
      <c r="P43" s="18">
        <v>10</v>
      </c>
      <c r="Q43" s="18">
        <v>10</v>
      </c>
      <c r="R43" s="18">
        <f>SUM(F43:Q43)</f>
        <v>120</v>
      </c>
      <c r="S43" s="8"/>
      <c r="U43" s="8">
        <f t="shared" si="2"/>
        <v>120</v>
      </c>
      <c r="V43" s="8" t="s">
        <v>416</v>
      </c>
    </row>
    <row r="44" spans="1:26" ht="15.75" customHeight="1" x14ac:dyDescent="0.3">
      <c r="A44" s="22">
        <v>38</v>
      </c>
      <c r="B44" s="45" t="s">
        <v>138</v>
      </c>
      <c r="C44" s="30" t="s">
        <v>139</v>
      </c>
      <c r="D44" s="21" t="s">
        <v>140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8"/>
      <c r="U44" s="8">
        <f t="shared" si="2"/>
        <v>0</v>
      </c>
    </row>
    <row r="45" spans="1:26" ht="15.75" customHeight="1" x14ac:dyDescent="0.3">
      <c r="A45" s="22">
        <v>39</v>
      </c>
      <c r="B45" s="45" t="s">
        <v>141</v>
      </c>
      <c r="C45" s="30" t="s">
        <v>142</v>
      </c>
      <c r="D45" s="21" t="s">
        <v>143</v>
      </c>
      <c r="E45" s="18"/>
      <c r="F45" s="18">
        <v>10</v>
      </c>
      <c r="G45" s="18">
        <v>10</v>
      </c>
      <c r="H45" s="18">
        <v>10</v>
      </c>
      <c r="I45" s="18">
        <v>10</v>
      </c>
      <c r="J45" s="18">
        <v>10</v>
      </c>
      <c r="K45" s="18">
        <v>10</v>
      </c>
      <c r="L45" s="18">
        <v>10</v>
      </c>
      <c r="M45" s="18">
        <v>10</v>
      </c>
      <c r="N45" s="18">
        <v>10</v>
      </c>
      <c r="O45" s="18">
        <v>10</v>
      </c>
      <c r="P45" s="18">
        <v>10</v>
      </c>
      <c r="Q45" s="18">
        <v>10</v>
      </c>
      <c r="R45" s="18">
        <f t="shared" ref="R45:R46" si="8">SUM(F45:Q45)</f>
        <v>120</v>
      </c>
      <c r="S45" s="8"/>
      <c r="U45" s="8">
        <v>120</v>
      </c>
      <c r="V45" s="8" t="s">
        <v>417</v>
      </c>
    </row>
    <row r="46" spans="1:26" ht="15.75" customHeight="1" x14ac:dyDescent="0.3">
      <c r="A46" s="22">
        <v>40</v>
      </c>
      <c r="B46" s="45" t="s">
        <v>144</v>
      </c>
      <c r="C46" s="30" t="s">
        <v>145</v>
      </c>
      <c r="D46" s="21" t="s">
        <v>146</v>
      </c>
      <c r="E46" s="18"/>
      <c r="F46" s="18">
        <v>10</v>
      </c>
      <c r="G46" s="18">
        <v>10</v>
      </c>
      <c r="H46" s="18">
        <v>10</v>
      </c>
      <c r="I46" s="18"/>
      <c r="J46" s="18"/>
      <c r="K46" s="18"/>
      <c r="L46" s="18"/>
      <c r="M46" s="18"/>
      <c r="N46" s="18"/>
      <c r="O46" s="18"/>
      <c r="P46" s="18"/>
      <c r="Q46" s="18"/>
      <c r="R46" s="18">
        <f t="shared" si="8"/>
        <v>30</v>
      </c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3">
      <c r="A47" s="22">
        <v>41</v>
      </c>
      <c r="B47" s="45" t="s">
        <v>147</v>
      </c>
      <c r="C47" s="18" t="s">
        <v>148</v>
      </c>
      <c r="D47" s="21" t="s">
        <v>149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8"/>
    </row>
    <row r="48" spans="1:26" ht="15.75" customHeight="1" x14ac:dyDescent="0.3">
      <c r="A48" s="22">
        <v>42</v>
      </c>
      <c r="B48" s="45" t="s">
        <v>150</v>
      </c>
      <c r="C48" s="18" t="s">
        <v>151</v>
      </c>
      <c r="D48" s="21" t="s">
        <v>152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8"/>
    </row>
    <row r="49" spans="1:26" ht="15.75" customHeight="1" x14ac:dyDescent="0.3">
      <c r="A49" s="22">
        <v>43</v>
      </c>
      <c r="B49" s="45" t="s">
        <v>153</v>
      </c>
      <c r="C49" s="18" t="s">
        <v>154</v>
      </c>
      <c r="D49" s="21" t="s">
        <v>155</v>
      </c>
      <c r="E49" s="18"/>
      <c r="F49" s="18">
        <v>10</v>
      </c>
      <c r="G49" s="18">
        <v>10</v>
      </c>
      <c r="H49" s="18">
        <v>10</v>
      </c>
      <c r="I49" s="18">
        <v>10</v>
      </c>
      <c r="J49" s="18">
        <v>10</v>
      </c>
      <c r="K49" s="18">
        <v>10</v>
      </c>
      <c r="L49" s="18">
        <v>10</v>
      </c>
      <c r="M49" s="18">
        <v>10</v>
      </c>
      <c r="N49" s="18">
        <v>10</v>
      </c>
      <c r="O49" s="18">
        <v>10</v>
      </c>
      <c r="P49" s="18">
        <v>10</v>
      </c>
      <c r="Q49" s="18">
        <v>10</v>
      </c>
      <c r="R49" s="18">
        <f>SUM(F49:Q49)</f>
        <v>120</v>
      </c>
      <c r="S49" s="8"/>
      <c r="V49" s="8" t="s">
        <v>418</v>
      </c>
    </row>
    <row r="50" spans="1:26" ht="15.75" customHeight="1" x14ac:dyDescent="0.3">
      <c r="A50" s="22">
        <v>44</v>
      </c>
      <c r="B50" s="45" t="s">
        <v>156</v>
      </c>
      <c r="C50" s="18" t="s">
        <v>157</v>
      </c>
      <c r="D50" s="21" t="s">
        <v>158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8"/>
    </row>
    <row r="51" spans="1:26" ht="15.75" customHeight="1" x14ac:dyDescent="0.3">
      <c r="A51" s="22">
        <v>45</v>
      </c>
      <c r="B51" s="45" t="s">
        <v>159</v>
      </c>
      <c r="C51" s="32" t="s">
        <v>160</v>
      </c>
      <c r="D51" s="21" t="s">
        <v>161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8"/>
    </row>
    <row r="52" spans="1:26" ht="15.75" customHeight="1" x14ac:dyDescent="0.3">
      <c r="A52" s="22">
        <v>46</v>
      </c>
      <c r="B52" s="45" t="s">
        <v>162</v>
      </c>
      <c r="C52" s="18" t="s">
        <v>163</v>
      </c>
      <c r="D52" s="21" t="s">
        <v>164</v>
      </c>
      <c r="E52" s="18"/>
      <c r="F52" s="18">
        <v>10</v>
      </c>
      <c r="G52" s="18">
        <v>10</v>
      </c>
      <c r="H52" s="18">
        <v>10</v>
      </c>
      <c r="I52" s="18">
        <v>10</v>
      </c>
      <c r="J52" s="18">
        <v>10</v>
      </c>
      <c r="K52" s="18">
        <v>10</v>
      </c>
      <c r="L52" s="18">
        <v>10</v>
      </c>
      <c r="M52" s="18">
        <v>10</v>
      </c>
      <c r="N52" s="18">
        <v>10</v>
      </c>
      <c r="O52" s="18">
        <v>10</v>
      </c>
      <c r="P52" s="18">
        <v>10</v>
      </c>
      <c r="Q52" s="18">
        <v>10</v>
      </c>
      <c r="R52" s="18">
        <f>SUM(F52:Q52)</f>
        <v>120</v>
      </c>
      <c r="S52" s="8"/>
      <c r="V52" s="8" t="s">
        <v>419</v>
      </c>
    </row>
    <row r="53" spans="1:26" ht="15.75" customHeight="1" x14ac:dyDescent="0.3">
      <c r="A53" s="22">
        <v>47</v>
      </c>
      <c r="B53" s="45" t="s">
        <v>165</v>
      </c>
      <c r="C53" s="32" t="s">
        <v>166</v>
      </c>
      <c r="D53" s="21" t="s">
        <v>167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8"/>
    </row>
    <row r="54" spans="1:26" ht="15.75" customHeight="1" x14ac:dyDescent="0.3">
      <c r="A54" s="22">
        <v>48</v>
      </c>
      <c r="B54" s="45" t="s">
        <v>168</v>
      </c>
      <c r="C54" s="30" t="s">
        <v>169</v>
      </c>
      <c r="D54" s="21" t="s">
        <v>170</v>
      </c>
      <c r="E54" s="18"/>
      <c r="F54" s="18">
        <v>10</v>
      </c>
      <c r="G54" s="18">
        <v>10</v>
      </c>
      <c r="H54" s="18">
        <v>10</v>
      </c>
      <c r="I54" s="18">
        <v>10</v>
      </c>
      <c r="J54" s="18">
        <v>10</v>
      </c>
      <c r="K54" s="18">
        <v>10</v>
      </c>
      <c r="L54" s="18">
        <v>10</v>
      </c>
      <c r="M54" s="18">
        <v>10</v>
      </c>
      <c r="N54" s="18">
        <v>10</v>
      </c>
      <c r="O54" s="18">
        <v>10</v>
      </c>
      <c r="P54" s="18">
        <v>10</v>
      </c>
      <c r="Q54" s="18">
        <v>10</v>
      </c>
      <c r="R54" s="18">
        <f t="shared" ref="R54:R55" si="9">SUM(F54:Q54)</f>
        <v>120</v>
      </c>
      <c r="S54" s="8"/>
      <c r="V54" s="8" t="s">
        <v>420</v>
      </c>
    </row>
    <row r="55" spans="1:26" ht="15.75" customHeight="1" x14ac:dyDescent="0.3">
      <c r="A55" s="22">
        <v>49</v>
      </c>
      <c r="B55" s="45" t="s">
        <v>171</v>
      </c>
      <c r="C55" s="30" t="s">
        <v>172</v>
      </c>
      <c r="D55" s="21" t="s">
        <v>173</v>
      </c>
      <c r="E55" s="18"/>
      <c r="F55" s="18">
        <v>10</v>
      </c>
      <c r="G55" s="18">
        <v>10</v>
      </c>
      <c r="H55" s="18">
        <v>10</v>
      </c>
      <c r="I55" s="18">
        <v>10</v>
      </c>
      <c r="J55" s="18">
        <v>10</v>
      </c>
      <c r="K55" s="18">
        <v>10</v>
      </c>
      <c r="L55" s="18">
        <v>10</v>
      </c>
      <c r="M55" s="18">
        <v>10</v>
      </c>
      <c r="N55" s="18">
        <v>10</v>
      </c>
      <c r="O55" s="18">
        <v>10</v>
      </c>
      <c r="P55" s="18">
        <v>10</v>
      </c>
      <c r="Q55" s="18">
        <v>10</v>
      </c>
      <c r="R55" s="18">
        <f t="shared" si="9"/>
        <v>120</v>
      </c>
      <c r="S55" s="8"/>
      <c r="T55" s="8">
        <f>R55+E55</f>
        <v>120</v>
      </c>
      <c r="U55" s="8">
        <f>IF(R55=120,(R55+E55),0)</f>
        <v>120</v>
      </c>
      <c r="V55" s="8" t="s">
        <v>396</v>
      </c>
      <c r="W55" s="8"/>
      <c r="X55" s="8"/>
      <c r="Y55" s="8"/>
      <c r="Z55" s="8"/>
    </row>
    <row r="56" spans="1:26" ht="15.75" customHeight="1" x14ac:dyDescent="0.3">
      <c r="A56" s="22">
        <v>50</v>
      </c>
      <c r="B56" s="45" t="s">
        <v>174</v>
      </c>
      <c r="C56" s="32" t="s">
        <v>175</v>
      </c>
      <c r="D56" s="21" t="s">
        <v>176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3">
      <c r="A57" s="22">
        <v>51</v>
      </c>
      <c r="B57" s="83" t="s">
        <v>177</v>
      </c>
      <c r="C57" s="84" t="s">
        <v>178</v>
      </c>
      <c r="D57" s="85" t="s">
        <v>179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6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3">
      <c r="A58" s="22">
        <v>52</v>
      </c>
      <c r="B58" s="56" t="s">
        <v>180</v>
      </c>
      <c r="C58" s="87" t="s">
        <v>181</v>
      </c>
      <c r="D58" s="54" t="s">
        <v>182</v>
      </c>
      <c r="E58" s="57"/>
      <c r="F58" s="57">
        <v>10</v>
      </c>
      <c r="G58" s="57">
        <v>10</v>
      </c>
      <c r="H58" s="57">
        <v>10</v>
      </c>
      <c r="I58" s="57">
        <v>10</v>
      </c>
      <c r="J58" s="57">
        <v>10</v>
      </c>
      <c r="K58" s="57">
        <v>10</v>
      </c>
      <c r="L58" s="57">
        <v>10</v>
      </c>
      <c r="M58" s="57">
        <v>10</v>
      </c>
      <c r="N58" s="57">
        <v>10</v>
      </c>
      <c r="O58" s="57">
        <v>10</v>
      </c>
      <c r="P58" s="57">
        <v>10</v>
      </c>
      <c r="Q58" s="57">
        <v>10</v>
      </c>
      <c r="R58" s="57">
        <v>120</v>
      </c>
      <c r="S58" s="58"/>
      <c r="T58" s="88" t="s">
        <v>421</v>
      </c>
      <c r="U58" s="58"/>
      <c r="V58" s="58"/>
      <c r="W58" s="8"/>
      <c r="X58" s="8"/>
      <c r="Y58" s="8"/>
      <c r="Z58" s="8"/>
    </row>
    <row r="59" spans="1:26" ht="15.75" customHeight="1" x14ac:dyDescent="0.3">
      <c r="A59" s="22">
        <v>53</v>
      </c>
      <c r="B59" s="45" t="s">
        <v>183</v>
      </c>
      <c r="C59" s="30" t="s">
        <v>184</v>
      </c>
      <c r="D59" s="21" t="s">
        <v>185</v>
      </c>
      <c r="E59" s="18"/>
      <c r="F59" s="18">
        <v>10</v>
      </c>
      <c r="G59" s="18">
        <v>10</v>
      </c>
      <c r="H59" s="18">
        <v>10</v>
      </c>
      <c r="I59" s="18">
        <v>10</v>
      </c>
      <c r="J59" s="18">
        <v>10</v>
      </c>
      <c r="K59" s="18">
        <v>10</v>
      </c>
      <c r="L59" s="18">
        <v>10</v>
      </c>
      <c r="M59" s="18">
        <v>10</v>
      </c>
      <c r="N59" s="18">
        <v>10</v>
      </c>
      <c r="O59" s="18">
        <v>10</v>
      </c>
      <c r="P59" s="18">
        <v>10</v>
      </c>
      <c r="Q59" s="18">
        <v>10</v>
      </c>
      <c r="R59" s="18">
        <f>SUM(F59:Q59)</f>
        <v>120</v>
      </c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3">
      <c r="A60" s="22">
        <v>54</v>
      </c>
      <c r="B60" s="56" t="s">
        <v>186</v>
      </c>
      <c r="C60" s="57" t="s">
        <v>422</v>
      </c>
      <c r="D60" s="54" t="s">
        <v>188</v>
      </c>
      <c r="E60" s="57"/>
      <c r="F60" s="57">
        <v>10</v>
      </c>
      <c r="G60" s="57">
        <v>10</v>
      </c>
      <c r="H60" s="57">
        <v>10</v>
      </c>
      <c r="I60" s="57">
        <v>10</v>
      </c>
      <c r="J60" s="57">
        <v>10</v>
      </c>
      <c r="K60" s="57">
        <v>10</v>
      </c>
      <c r="L60" s="57">
        <v>10</v>
      </c>
      <c r="M60" s="57">
        <v>10</v>
      </c>
      <c r="N60" s="57">
        <v>10</v>
      </c>
      <c r="O60" s="57">
        <v>10</v>
      </c>
      <c r="P60" s="57">
        <v>10</v>
      </c>
      <c r="Q60" s="57">
        <v>10</v>
      </c>
      <c r="R60" s="57">
        <v>120</v>
      </c>
      <c r="S60" s="58"/>
      <c r="T60" s="58" t="s">
        <v>423</v>
      </c>
      <c r="U60" s="58"/>
      <c r="V60" s="58"/>
      <c r="W60" s="8"/>
      <c r="X60" s="8"/>
      <c r="Y60" s="8"/>
      <c r="Z60" s="8"/>
    </row>
    <row r="61" spans="1:26" ht="15.75" customHeight="1" x14ac:dyDescent="0.3">
      <c r="A61" s="22">
        <v>55</v>
      </c>
      <c r="B61" s="45" t="s">
        <v>190</v>
      </c>
      <c r="C61" s="30" t="s">
        <v>191</v>
      </c>
      <c r="D61" s="21" t="s">
        <v>192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3">
      <c r="A62" s="22">
        <v>56</v>
      </c>
      <c r="B62" s="45" t="s">
        <v>193</v>
      </c>
      <c r="C62" s="30" t="s">
        <v>194</v>
      </c>
      <c r="D62" s="21" t="s">
        <v>195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3">
      <c r="A63" s="22">
        <v>57</v>
      </c>
      <c r="B63" s="45" t="s">
        <v>198</v>
      </c>
      <c r="C63" s="30" t="s">
        <v>199</v>
      </c>
      <c r="D63" s="21" t="s">
        <v>200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3">
      <c r="A64" s="22">
        <v>58</v>
      </c>
      <c r="B64" s="45" t="s">
        <v>202</v>
      </c>
      <c r="C64" s="32" t="s">
        <v>203</v>
      </c>
      <c r="D64" s="21" t="s">
        <v>204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3">
      <c r="A65" s="22">
        <v>59</v>
      </c>
      <c r="B65" s="45" t="s">
        <v>205</v>
      </c>
      <c r="C65" s="32" t="s">
        <v>206</v>
      </c>
      <c r="D65" s="21" t="s">
        <v>207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3">
      <c r="A66" s="22">
        <v>60</v>
      </c>
      <c r="B66" s="45" t="s">
        <v>208</v>
      </c>
      <c r="C66" s="32" t="s">
        <v>209</v>
      </c>
      <c r="D66" s="21" t="s">
        <v>210</v>
      </c>
      <c r="E66" s="18"/>
      <c r="F66" s="18">
        <v>10</v>
      </c>
      <c r="G66" s="18">
        <v>10</v>
      </c>
      <c r="H66" s="18">
        <v>10</v>
      </c>
      <c r="I66" s="18">
        <v>10</v>
      </c>
      <c r="J66" s="18">
        <v>10</v>
      </c>
      <c r="K66" s="18">
        <v>10</v>
      </c>
      <c r="L66" s="18">
        <v>10</v>
      </c>
      <c r="M66" s="18">
        <v>10</v>
      </c>
      <c r="N66" s="18">
        <v>10</v>
      </c>
      <c r="O66" s="18">
        <v>10</v>
      </c>
      <c r="P66" s="18">
        <v>10</v>
      </c>
      <c r="Q66" s="18">
        <v>10</v>
      </c>
      <c r="R66" s="18">
        <f>SUM(F66:Q66)</f>
        <v>120</v>
      </c>
      <c r="S66" s="8"/>
      <c r="T66" s="8">
        <f>R66+E66</f>
        <v>120</v>
      </c>
      <c r="U66" s="8">
        <f t="shared" ref="U66:U139" si="10">IF(R66=120,(R66+E66),0)</f>
        <v>120</v>
      </c>
      <c r="V66" s="8" t="s">
        <v>369</v>
      </c>
      <c r="W66" s="8"/>
      <c r="X66" s="8"/>
      <c r="Y66" s="8"/>
      <c r="Z66" s="8"/>
    </row>
    <row r="67" spans="1:26" ht="15.75" customHeight="1" x14ac:dyDescent="0.3">
      <c r="A67" s="22">
        <v>61</v>
      </c>
      <c r="B67" s="45" t="s">
        <v>211</v>
      </c>
      <c r="C67" s="18" t="s">
        <v>212</v>
      </c>
      <c r="D67" s="21" t="s">
        <v>213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8"/>
      <c r="T67" s="8"/>
      <c r="U67" s="8">
        <f t="shared" si="10"/>
        <v>0</v>
      </c>
      <c r="V67" s="8"/>
      <c r="W67" s="8"/>
      <c r="X67" s="8"/>
      <c r="Y67" s="8"/>
      <c r="Z67" s="8"/>
    </row>
    <row r="68" spans="1:26" ht="15.75" customHeight="1" x14ac:dyDescent="0.3">
      <c r="A68" s="22">
        <v>62</v>
      </c>
      <c r="B68" s="45" t="s">
        <v>214</v>
      </c>
      <c r="C68" s="32" t="s">
        <v>215</v>
      </c>
      <c r="D68" s="21" t="s">
        <v>216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46"/>
      <c r="S68" s="8"/>
      <c r="T68" s="8"/>
      <c r="U68" s="8">
        <f t="shared" si="10"/>
        <v>0</v>
      </c>
      <c r="V68" s="8" t="s">
        <v>363</v>
      </c>
      <c r="W68" s="8"/>
      <c r="X68" s="8"/>
      <c r="Y68" s="8"/>
      <c r="Z68" s="8"/>
    </row>
    <row r="69" spans="1:26" ht="15.75" customHeight="1" x14ac:dyDescent="0.3">
      <c r="A69" s="22">
        <v>63</v>
      </c>
      <c r="B69" s="45" t="s">
        <v>217</v>
      </c>
      <c r="C69" s="32" t="s">
        <v>218</v>
      </c>
      <c r="D69" s="21" t="s">
        <v>219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8"/>
      <c r="T69" s="8">
        <f t="shared" ref="T69:T73" si="11">R69+E69</f>
        <v>0</v>
      </c>
      <c r="U69" s="8">
        <f t="shared" si="10"/>
        <v>0</v>
      </c>
      <c r="V69" s="8"/>
      <c r="W69" s="8"/>
      <c r="X69" s="8"/>
      <c r="Y69" s="8"/>
      <c r="Z69" s="8"/>
    </row>
    <row r="70" spans="1:26" ht="15.75" customHeight="1" x14ac:dyDescent="0.3">
      <c r="A70" s="22">
        <v>64</v>
      </c>
      <c r="B70" s="45" t="s">
        <v>220</v>
      </c>
      <c r="C70" s="18" t="s">
        <v>221</v>
      </c>
      <c r="D70" s="21" t="s">
        <v>222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8"/>
      <c r="T70" s="8">
        <f t="shared" si="11"/>
        <v>0</v>
      </c>
      <c r="U70" s="8">
        <f t="shared" si="10"/>
        <v>0</v>
      </c>
      <c r="V70" s="8"/>
      <c r="W70" s="8"/>
      <c r="X70" s="8"/>
      <c r="Y70" s="8"/>
      <c r="Z70" s="8"/>
    </row>
    <row r="71" spans="1:26" ht="15.75" customHeight="1" x14ac:dyDescent="0.3">
      <c r="A71" s="22">
        <v>65</v>
      </c>
      <c r="B71" s="45" t="s">
        <v>223</v>
      </c>
      <c r="C71" s="30" t="s">
        <v>224</v>
      </c>
      <c r="D71" s="21" t="s">
        <v>225</v>
      </c>
      <c r="E71" s="18"/>
      <c r="F71" s="18">
        <v>10</v>
      </c>
      <c r="G71" s="18">
        <v>10</v>
      </c>
      <c r="H71" s="18">
        <v>10</v>
      </c>
      <c r="I71" s="18">
        <v>10</v>
      </c>
      <c r="J71" s="18">
        <v>10</v>
      </c>
      <c r="K71" s="18">
        <v>10</v>
      </c>
      <c r="L71" s="18">
        <v>10</v>
      </c>
      <c r="M71" s="18">
        <v>10</v>
      </c>
      <c r="N71" s="18">
        <v>10</v>
      </c>
      <c r="O71" s="18">
        <v>10</v>
      </c>
      <c r="P71" s="18">
        <v>10</v>
      </c>
      <c r="Q71" s="18">
        <v>10</v>
      </c>
      <c r="R71" s="18">
        <f>SUM(F71:Q71)</f>
        <v>120</v>
      </c>
      <c r="S71" s="8"/>
      <c r="T71" s="8">
        <f t="shared" si="11"/>
        <v>120</v>
      </c>
      <c r="U71" s="8">
        <f t="shared" si="10"/>
        <v>120</v>
      </c>
      <c r="V71" s="8"/>
      <c r="W71" s="8"/>
      <c r="X71" s="8"/>
      <c r="Y71" s="8"/>
      <c r="Z71" s="8"/>
    </row>
    <row r="72" spans="1:26" ht="15.75" customHeight="1" x14ac:dyDescent="0.3">
      <c r="A72" s="22">
        <v>66</v>
      </c>
      <c r="B72" s="45" t="s">
        <v>226</v>
      </c>
      <c r="C72" s="18" t="s">
        <v>227</v>
      </c>
      <c r="D72" s="21" t="s">
        <v>228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8"/>
      <c r="T72" s="8">
        <f t="shared" si="11"/>
        <v>0</v>
      </c>
      <c r="U72" s="8">
        <f t="shared" si="10"/>
        <v>0</v>
      </c>
    </row>
    <row r="73" spans="1:26" ht="15.75" customHeight="1" x14ac:dyDescent="0.3">
      <c r="A73" s="22">
        <v>67</v>
      </c>
      <c r="B73" s="45" t="s">
        <v>230</v>
      </c>
      <c r="C73" s="32" t="s">
        <v>231</v>
      </c>
      <c r="D73" s="21" t="s">
        <v>232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8"/>
      <c r="T73" s="8">
        <f t="shared" si="11"/>
        <v>0</v>
      </c>
      <c r="U73" s="8">
        <f t="shared" si="10"/>
        <v>0</v>
      </c>
    </row>
    <row r="74" spans="1:26" ht="15.75" customHeight="1" x14ac:dyDescent="0.3">
      <c r="A74" s="22">
        <v>68</v>
      </c>
      <c r="B74" s="45" t="s">
        <v>233</v>
      </c>
      <c r="C74" s="18" t="s">
        <v>234</v>
      </c>
      <c r="D74" s="21" t="s">
        <v>235</v>
      </c>
      <c r="E74" s="18"/>
      <c r="F74" s="18">
        <v>10</v>
      </c>
      <c r="G74" s="18">
        <v>10</v>
      </c>
      <c r="H74" s="18">
        <v>10</v>
      </c>
      <c r="I74" s="18">
        <v>10</v>
      </c>
      <c r="J74" s="18">
        <v>10</v>
      </c>
      <c r="K74" s="18">
        <v>10</v>
      </c>
      <c r="L74" s="18">
        <v>10</v>
      </c>
      <c r="M74" s="18">
        <v>10</v>
      </c>
      <c r="N74" s="18">
        <v>10</v>
      </c>
      <c r="O74" s="18">
        <v>10</v>
      </c>
      <c r="P74" s="18">
        <v>10</v>
      </c>
      <c r="Q74" s="18">
        <v>10</v>
      </c>
      <c r="R74" s="18">
        <f>SUM(F74:Q74)</f>
        <v>120</v>
      </c>
      <c r="S74" s="8"/>
      <c r="U74" s="8">
        <f t="shared" si="10"/>
        <v>120</v>
      </c>
    </row>
    <row r="75" spans="1:26" ht="15.75" customHeight="1" x14ac:dyDescent="0.3">
      <c r="A75" s="22">
        <v>69</v>
      </c>
      <c r="B75" s="45" t="s">
        <v>236</v>
      </c>
      <c r="C75" s="18" t="s">
        <v>237</v>
      </c>
      <c r="D75" s="21" t="s">
        <v>238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8"/>
      <c r="U75" s="8">
        <f t="shared" si="10"/>
        <v>0</v>
      </c>
    </row>
    <row r="76" spans="1:26" ht="15.75" customHeight="1" x14ac:dyDescent="0.3">
      <c r="A76" s="22">
        <v>70</v>
      </c>
      <c r="B76" s="45" t="s">
        <v>239</v>
      </c>
      <c r="C76" s="32" t="s">
        <v>240</v>
      </c>
      <c r="D76" s="21" t="s">
        <v>241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8"/>
      <c r="U76" s="8">
        <f t="shared" si="10"/>
        <v>0</v>
      </c>
    </row>
    <row r="77" spans="1:26" ht="15.75" customHeight="1" x14ac:dyDescent="0.3">
      <c r="A77" s="22">
        <v>71</v>
      </c>
      <c r="B77" s="45" t="s">
        <v>242</v>
      </c>
      <c r="C77" s="18" t="s">
        <v>243</v>
      </c>
      <c r="D77" s="21" t="s">
        <v>244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8"/>
      <c r="U77" s="8">
        <f t="shared" si="10"/>
        <v>0</v>
      </c>
    </row>
    <row r="78" spans="1:26" ht="15.75" customHeight="1" x14ac:dyDescent="0.3">
      <c r="A78" s="22">
        <v>72</v>
      </c>
      <c r="B78" s="45" t="s">
        <v>245</v>
      </c>
      <c r="C78" s="18" t="s">
        <v>246</v>
      </c>
      <c r="D78" s="21" t="s">
        <v>247</v>
      </c>
      <c r="E78" s="18"/>
      <c r="F78" s="18">
        <v>10</v>
      </c>
      <c r="G78" s="18">
        <v>10</v>
      </c>
      <c r="H78" s="18">
        <v>10</v>
      </c>
      <c r="I78" s="18">
        <v>10</v>
      </c>
      <c r="J78" s="18">
        <v>10</v>
      </c>
      <c r="K78" s="18">
        <v>10</v>
      </c>
      <c r="L78" s="18">
        <v>10</v>
      </c>
      <c r="M78" s="18">
        <v>10</v>
      </c>
      <c r="N78" s="18">
        <v>10</v>
      </c>
      <c r="O78" s="18">
        <v>10</v>
      </c>
      <c r="P78" s="18">
        <v>10</v>
      </c>
      <c r="Q78" s="18">
        <v>10</v>
      </c>
      <c r="R78" s="18">
        <f t="shared" ref="R78:R79" si="12">SUM(F78:Q78)</f>
        <v>120</v>
      </c>
      <c r="S78" s="8"/>
      <c r="U78" s="8">
        <f t="shared" si="10"/>
        <v>120</v>
      </c>
    </row>
    <row r="79" spans="1:26" ht="15.75" customHeight="1" x14ac:dyDescent="0.3">
      <c r="A79" s="22">
        <v>73</v>
      </c>
      <c r="B79" s="45" t="s">
        <v>248</v>
      </c>
      <c r="C79" s="18" t="s">
        <v>249</v>
      </c>
      <c r="D79" s="21" t="s">
        <v>250</v>
      </c>
      <c r="E79" s="18"/>
      <c r="F79" s="18">
        <v>10</v>
      </c>
      <c r="G79" s="18">
        <v>10</v>
      </c>
      <c r="H79" s="18">
        <v>10</v>
      </c>
      <c r="I79" s="18">
        <v>10</v>
      </c>
      <c r="J79" s="18">
        <v>10</v>
      </c>
      <c r="K79" s="18">
        <v>10</v>
      </c>
      <c r="L79" s="18">
        <v>10</v>
      </c>
      <c r="M79" s="18">
        <v>10</v>
      </c>
      <c r="N79" s="18">
        <v>10</v>
      </c>
      <c r="O79" s="18">
        <v>10</v>
      </c>
      <c r="P79" s="18">
        <v>10</v>
      </c>
      <c r="Q79" s="18">
        <v>10</v>
      </c>
      <c r="R79" s="18">
        <f t="shared" si="12"/>
        <v>120</v>
      </c>
      <c r="S79" s="8"/>
      <c r="U79" s="8">
        <f t="shared" si="10"/>
        <v>120</v>
      </c>
    </row>
    <row r="80" spans="1:26" ht="15.75" customHeight="1" x14ac:dyDescent="0.3">
      <c r="A80" s="22">
        <v>74</v>
      </c>
      <c r="B80" s="45" t="s">
        <v>251</v>
      </c>
      <c r="C80" s="18" t="s">
        <v>252</v>
      </c>
      <c r="D80" s="21" t="s">
        <v>253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8"/>
      <c r="U80" s="8">
        <f t="shared" si="10"/>
        <v>0</v>
      </c>
    </row>
    <row r="81" spans="1:22" ht="15.75" customHeight="1" x14ac:dyDescent="0.3">
      <c r="A81" s="22">
        <v>75</v>
      </c>
      <c r="B81" s="45" t="s">
        <v>254</v>
      </c>
      <c r="C81" s="18" t="s">
        <v>255</v>
      </c>
      <c r="D81" s="21" t="s">
        <v>256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8"/>
      <c r="U81" s="8">
        <f t="shared" si="10"/>
        <v>0</v>
      </c>
    </row>
    <row r="82" spans="1:22" ht="15.75" customHeight="1" x14ac:dyDescent="0.3">
      <c r="A82" s="22">
        <v>76</v>
      </c>
      <c r="B82" s="45" t="s">
        <v>257</v>
      </c>
      <c r="C82" s="18" t="s">
        <v>258</v>
      </c>
      <c r="D82" s="21" t="s">
        <v>259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8"/>
      <c r="U82" s="8">
        <f t="shared" si="10"/>
        <v>0</v>
      </c>
    </row>
    <row r="83" spans="1:22" ht="15.75" customHeight="1" x14ac:dyDescent="0.3">
      <c r="A83" s="22">
        <v>77</v>
      </c>
      <c r="B83" s="45" t="s">
        <v>260</v>
      </c>
      <c r="C83" s="30" t="s">
        <v>261</v>
      </c>
      <c r="D83" s="21" t="s">
        <v>262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8"/>
      <c r="U83" s="8">
        <f t="shared" si="10"/>
        <v>0</v>
      </c>
    </row>
    <row r="84" spans="1:22" ht="15.75" customHeight="1" x14ac:dyDescent="0.3">
      <c r="A84" s="22">
        <v>78</v>
      </c>
      <c r="B84" s="45" t="s">
        <v>263</v>
      </c>
      <c r="C84" s="18" t="s">
        <v>264</v>
      </c>
      <c r="D84" s="21" t="s">
        <v>265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8"/>
      <c r="U84" s="8">
        <f t="shared" si="10"/>
        <v>0</v>
      </c>
    </row>
    <row r="85" spans="1:22" ht="15.75" customHeight="1" x14ac:dyDescent="0.3">
      <c r="A85" s="22">
        <v>79</v>
      </c>
      <c r="B85" s="45" t="s">
        <v>266</v>
      </c>
      <c r="C85" s="32" t="s">
        <v>267</v>
      </c>
      <c r="D85" s="21" t="s">
        <v>45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8"/>
      <c r="U85" s="8">
        <f t="shared" si="10"/>
        <v>0</v>
      </c>
    </row>
    <row r="86" spans="1:22" ht="15.75" customHeight="1" x14ac:dyDescent="0.3">
      <c r="A86" s="22">
        <v>80</v>
      </c>
      <c r="B86" s="45" t="s">
        <v>268</v>
      </c>
      <c r="C86" s="30" t="s">
        <v>269</v>
      </c>
      <c r="D86" s="21" t="s">
        <v>270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8"/>
      <c r="U86" s="8">
        <f t="shared" si="10"/>
        <v>0</v>
      </c>
    </row>
    <row r="87" spans="1:22" ht="15.75" customHeight="1" x14ac:dyDescent="0.3">
      <c r="A87" s="22">
        <v>81</v>
      </c>
      <c r="B87" s="45" t="s">
        <v>272</v>
      </c>
      <c r="C87" s="18" t="s">
        <v>381</v>
      </c>
      <c r="D87" s="21" t="s">
        <v>382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8"/>
      <c r="U87" s="8">
        <f t="shared" si="10"/>
        <v>0</v>
      </c>
    </row>
    <row r="88" spans="1:22" ht="15.75" customHeight="1" x14ac:dyDescent="0.3">
      <c r="A88" s="22">
        <v>82</v>
      </c>
      <c r="B88" s="45" t="s">
        <v>273</v>
      </c>
      <c r="C88" s="18" t="s">
        <v>383</v>
      </c>
      <c r="D88" s="21" t="s">
        <v>384</v>
      </c>
      <c r="E88" s="18">
        <v>20</v>
      </c>
      <c r="F88" s="18">
        <v>10</v>
      </c>
      <c r="G88" s="18">
        <v>10</v>
      </c>
      <c r="H88" s="18">
        <v>10</v>
      </c>
      <c r="I88" s="18">
        <v>10</v>
      </c>
      <c r="J88" s="18">
        <v>10</v>
      </c>
      <c r="K88" s="18">
        <v>10</v>
      </c>
      <c r="L88" s="18">
        <v>10</v>
      </c>
      <c r="M88" s="18">
        <v>10</v>
      </c>
      <c r="N88" s="18">
        <v>10</v>
      </c>
      <c r="O88" s="18">
        <v>10</v>
      </c>
      <c r="P88" s="18">
        <v>10</v>
      </c>
      <c r="Q88" s="18">
        <v>10</v>
      </c>
      <c r="R88" s="18">
        <f t="shared" ref="R88:R89" si="13">SUM(F88:Q88)</f>
        <v>120</v>
      </c>
      <c r="S88" s="8"/>
      <c r="U88" s="8">
        <f t="shared" si="10"/>
        <v>140</v>
      </c>
      <c r="V88" s="8" t="s">
        <v>424</v>
      </c>
    </row>
    <row r="89" spans="1:22" ht="15.75" customHeight="1" x14ac:dyDescent="0.3">
      <c r="A89" s="22">
        <v>83</v>
      </c>
      <c r="B89" s="45" t="s">
        <v>274</v>
      </c>
      <c r="C89" s="30" t="s">
        <v>275</v>
      </c>
      <c r="D89" s="21" t="s">
        <v>276</v>
      </c>
      <c r="E89" s="18"/>
      <c r="F89" s="18">
        <v>10</v>
      </c>
      <c r="G89" s="18">
        <v>10</v>
      </c>
      <c r="H89" s="18">
        <v>10</v>
      </c>
      <c r="I89" s="18">
        <v>10</v>
      </c>
      <c r="J89" s="18">
        <v>10</v>
      </c>
      <c r="K89" s="18">
        <v>10</v>
      </c>
      <c r="L89" s="18">
        <v>10</v>
      </c>
      <c r="M89" s="18">
        <v>10</v>
      </c>
      <c r="N89" s="18">
        <v>10</v>
      </c>
      <c r="O89" s="18">
        <v>10</v>
      </c>
      <c r="P89" s="18">
        <v>10</v>
      </c>
      <c r="Q89" s="18">
        <v>10</v>
      </c>
      <c r="R89" s="18">
        <f t="shared" si="13"/>
        <v>120</v>
      </c>
      <c r="S89" s="8"/>
      <c r="U89" s="8">
        <f t="shared" si="10"/>
        <v>120</v>
      </c>
      <c r="V89" s="8" t="s">
        <v>425</v>
      </c>
    </row>
    <row r="90" spans="1:22" ht="15.75" customHeight="1" x14ac:dyDescent="0.3">
      <c r="A90" s="22">
        <v>84</v>
      </c>
      <c r="B90" s="45" t="s">
        <v>277</v>
      </c>
      <c r="C90" s="32" t="s">
        <v>385</v>
      </c>
      <c r="D90" s="21" t="s">
        <v>386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8"/>
      <c r="U90" s="8">
        <f t="shared" si="10"/>
        <v>0</v>
      </c>
      <c r="V90" s="8" t="s">
        <v>426</v>
      </c>
    </row>
    <row r="91" spans="1:22" ht="15.75" customHeight="1" x14ac:dyDescent="0.3">
      <c r="A91" s="22">
        <v>85</v>
      </c>
      <c r="B91" s="45" t="s">
        <v>278</v>
      </c>
      <c r="C91" s="46" t="s">
        <v>388</v>
      </c>
      <c r="D91" s="19" t="s">
        <v>354</v>
      </c>
      <c r="E91" s="18">
        <v>20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>
        <v>10</v>
      </c>
      <c r="R91" s="18">
        <f>SUM(F91:Q91)</f>
        <v>10</v>
      </c>
      <c r="S91" s="8"/>
      <c r="U91" s="8">
        <f t="shared" si="10"/>
        <v>0</v>
      </c>
    </row>
    <row r="92" spans="1:22" ht="15.75" customHeight="1" x14ac:dyDescent="0.3">
      <c r="A92" s="22">
        <v>86</v>
      </c>
      <c r="B92" s="45" t="s">
        <v>279</v>
      </c>
      <c r="C92" s="32" t="s">
        <v>389</v>
      </c>
      <c r="D92" s="21" t="s">
        <v>390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8"/>
      <c r="U92" s="8">
        <f t="shared" si="10"/>
        <v>0</v>
      </c>
    </row>
    <row r="93" spans="1:22" ht="15.75" customHeight="1" x14ac:dyDescent="0.3">
      <c r="A93" s="22">
        <v>87</v>
      </c>
      <c r="B93" s="45" t="s">
        <v>280</v>
      </c>
      <c r="C93" s="18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8"/>
      <c r="U93" s="8">
        <f t="shared" si="10"/>
        <v>0</v>
      </c>
    </row>
    <row r="94" spans="1:22" ht="15.75" customHeight="1" x14ac:dyDescent="0.3">
      <c r="A94" s="22">
        <v>88</v>
      </c>
      <c r="B94" s="45" t="s">
        <v>281</v>
      </c>
      <c r="C94" s="30" t="s">
        <v>282</v>
      </c>
      <c r="D94" s="21" t="s">
        <v>283</v>
      </c>
      <c r="E94" s="18"/>
      <c r="F94" s="18">
        <v>10</v>
      </c>
      <c r="G94" s="18">
        <v>10</v>
      </c>
      <c r="H94" s="18">
        <v>10</v>
      </c>
      <c r="I94" s="18">
        <v>10</v>
      </c>
      <c r="J94" s="18">
        <v>10</v>
      </c>
      <c r="K94" s="18">
        <v>10</v>
      </c>
      <c r="L94" s="18">
        <v>10</v>
      </c>
      <c r="M94" s="18">
        <v>10</v>
      </c>
      <c r="N94" s="18">
        <v>10</v>
      </c>
      <c r="O94" s="18">
        <v>10</v>
      </c>
      <c r="P94" s="18">
        <v>10</v>
      </c>
      <c r="Q94" s="18">
        <v>10</v>
      </c>
      <c r="R94" s="18">
        <f>SUM(F94:Q94)</f>
        <v>120</v>
      </c>
      <c r="S94" s="8"/>
      <c r="U94" s="8">
        <f t="shared" si="10"/>
        <v>120</v>
      </c>
    </row>
    <row r="95" spans="1:22" ht="15.75" customHeight="1" x14ac:dyDescent="0.3">
      <c r="A95" s="22">
        <v>89</v>
      </c>
      <c r="B95" s="45" t="s">
        <v>284</v>
      </c>
      <c r="C95" s="18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8"/>
      <c r="U95" s="8">
        <f t="shared" si="10"/>
        <v>0</v>
      </c>
    </row>
    <row r="96" spans="1:22" ht="15.75" customHeight="1" x14ac:dyDescent="0.3">
      <c r="A96" s="22">
        <v>90</v>
      </c>
      <c r="B96" s="45" t="s">
        <v>285</v>
      </c>
      <c r="C96" s="18"/>
      <c r="D96" s="21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8"/>
      <c r="U96" s="8">
        <f t="shared" si="10"/>
        <v>0</v>
      </c>
    </row>
    <row r="97" spans="1:22" ht="15.75" customHeight="1" x14ac:dyDescent="0.3">
      <c r="A97" s="22">
        <v>91</v>
      </c>
      <c r="B97" s="45" t="s">
        <v>286</v>
      </c>
      <c r="C97" s="18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8"/>
      <c r="U97" s="8">
        <f t="shared" si="10"/>
        <v>0</v>
      </c>
    </row>
    <row r="98" spans="1:22" ht="15.75" customHeight="1" x14ac:dyDescent="0.3">
      <c r="A98" s="22">
        <v>92</v>
      </c>
      <c r="B98" s="45" t="s">
        <v>287</v>
      </c>
      <c r="C98" s="18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8"/>
      <c r="U98" s="8">
        <f t="shared" si="10"/>
        <v>0</v>
      </c>
    </row>
    <row r="99" spans="1:22" ht="15.75" customHeight="1" x14ac:dyDescent="0.3">
      <c r="A99" s="22">
        <v>93</v>
      </c>
      <c r="B99" s="45" t="s">
        <v>288</v>
      </c>
      <c r="C99" s="18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8"/>
      <c r="U99" s="8">
        <f t="shared" si="10"/>
        <v>0</v>
      </c>
    </row>
    <row r="100" spans="1:22" ht="15.75" customHeight="1" x14ac:dyDescent="0.3">
      <c r="A100" s="22">
        <v>94</v>
      </c>
      <c r="B100" s="45" t="s">
        <v>289</v>
      </c>
      <c r="C100" s="18"/>
      <c r="D100" s="21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8"/>
      <c r="U100" s="8">
        <f t="shared" si="10"/>
        <v>0</v>
      </c>
    </row>
    <row r="101" spans="1:22" ht="15.75" customHeight="1" x14ac:dyDescent="0.3">
      <c r="A101" s="22">
        <v>95</v>
      </c>
      <c r="B101" s="45" t="s">
        <v>290</v>
      </c>
      <c r="C101" s="18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8"/>
      <c r="U101" s="8">
        <f t="shared" si="10"/>
        <v>0</v>
      </c>
    </row>
    <row r="102" spans="1:22" ht="15.75" customHeight="1" x14ac:dyDescent="0.3">
      <c r="A102" s="22">
        <v>96</v>
      </c>
      <c r="B102" s="45" t="s">
        <v>291</v>
      </c>
      <c r="C102" s="18"/>
      <c r="D102" s="21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8"/>
      <c r="U102" s="8">
        <f t="shared" si="10"/>
        <v>0</v>
      </c>
    </row>
    <row r="103" spans="1:22" ht="15.75" customHeight="1" x14ac:dyDescent="0.3">
      <c r="A103" s="22">
        <v>97</v>
      </c>
      <c r="B103" s="45" t="s">
        <v>292</v>
      </c>
      <c r="C103" s="18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8"/>
      <c r="U103" s="8">
        <f t="shared" si="10"/>
        <v>0</v>
      </c>
    </row>
    <row r="104" spans="1:22" ht="15.75" customHeight="1" x14ac:dyDescent="0.3">
      <c r="A104" s="22">
        <v>98</v>
      </c>
      <c r="B104" s="45" t="s">
        <v>293</v>
      </c>
      <c r="C104" s="18"/>
      <c r="D104" s="21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8"/>
      <c r="U104" s="8">
        <f t="shared" si="10"/>
        <v>0</v>
      </c>
    </row>
    <row r="105" spans="1:22" ht="15.75" customHeight="1" x14ac:dyDescent="0.3">
      <c r="A105" s="22">
        <v>99</v>
      </c>
      <c r="B105" s="45" t="s">
        <v>294</v>
      </c>
      <c r="C105" s="18"/>
      <c r="D105" s="21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8"/>
      <c r="U105" s="8">
        <f t="shared" si="10"/>
        <v>0</v>
      </c>
    </row>
    <row r="106" spans="1:22" ht="15.75" customHeight="1" x14ac:dyDescent="0.3">
      <c r="A106" s="22">
        <v>100</v>
      </c>
      <c r="B106" s="45" t="s">
        <v>295</v>
      </c>
      <c r="C106" s="18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8"/>
      <c r="U106" s="8">
        <f t="shared" si="10"/>
        <v>0</v>
      </c>
    </row>
    <row r="107" spans="1:22" ht="15.75" customHeight="1" x14ac:dyDescent="0.3">
      <c r="A107" s="22">
        <v>101</v>
      </c>
      <c r="B107" s="45" t="s">
        <v>296</v>
      </c>
      <c r="C107" s="18"/>
      <c r="D107" s="21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8"/>
      <c r="U107" s="8">
        <f t="shared" si="10"/>
        <v>0</v>
      </c>
    </row>
    <row r="108" spans="1:22" ht="15.75" customHeight="1" x14ac:dyDescent="0.3">
      <c r="A108" s="22">
        <v>102</v>
      </c>
      <c r="B108" s="45" t="s">
        <v>297</v>
      </c>
      <c r="C108" s="18"/>
      <c r="D108" s="21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8"/>
      <c r="U108" s="8">
        <f t="shared" si="10"/>
        <v>0</v>
      </c>
    </row>
    <row r="109" spans="1:22" ht="15.75" customHeight="1" x14ac:dyDescent="0.3">
      <c r="A109" s="22">
        <v>103</v>
      </c>
      <c r="B109" s="45" t="s">
        <v>298</v>
      </c>
      <c r="C109" s="18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8"/>
      <c r="U109" s="8">
        <f t="shared" si="10"/>
        <v>0</v>
      </c>
    </row>
    <row r="110" spans="1:22" ht="15.75" customHeight="1" x14ac:dyDescent="0.3">
      <c r="A110" s="22">
        <v>104</v>
      </c>
      <c r="B110" s="45" t="s">
        <v>299</v>
      </c>
      <c r="C110" s="18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8"/>
      <c r="U110" s="8">
        <f t="shared" si="10"/>
        <v>0</v>
      </c>
    </row>
    <row r="111" spans="1:22" ht="15.75" customHeight="1" x14ac:dyDescent="0.3">
      <c r="A111" s="22">
        <v>105</v>
      </c>
      <c r="B111" s="45" t="s">
        <v>300</v>
      </c>
      <c r="C111" s="18" t="s">
        <v>301</v>
      </c>
      <c r="D111" s="21" t="s">
        <v>302</v>
      </c>
      <c r="E111" s="18"/>
      <c r="F111" s="18">
        <v>10</v>
      </c>
      <c r="G111" s="18">
        <v>10</v>
      </c>
      <c r="H111" s="18">
        <v>10</v>
      </c>
      <c r="I111" s="18">
        <v>10</v>
      </c>
      <c r="J111" s="18">
        <v>10</v>
      </c>
      <c r="K111" s="18">
        <v>10</v>
      </c>
      <c r="L111" s="18">
        <v>10</v>
      </c>
      <c r="M111" s="18">
        <v>10</v>
      </c>
      <c r="N111" s="18">
        <v>10</v>
      </c>
      <c r="O111" s="18">
        <v>10</v>
      </c>
      <c r="P111" s="18">
        <v>10</v>
      </c>
      <c r="Q111" s="18">
        <v>10</v>
      </c>
      <c r="R111" s="18">
        <f>SUM(F111:Q111)</f>
        <v>120</v>
      </c>
      <c r="S111" s="8"/>
      <c r="U111" s="8">
        <f t="shared" si="10"/>
        <v>120</v>
      </c>
      <c r="V111" s="8" t="s">
        <v>391</v>
      </c>
    </row>
    <row r="112" spans="1:22" ht="15.75" customHeight="1" x14ac:dyDescent="0.3">
      <c r="A112" s="22">
        <v>106</v>
      </c>
      <c r="B112" s="45" t="s">
        <v>303</v>
      </c>
      <c r="C112" s="18"/>
      <c r="D112" s="21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8"/>
      <c r="U112" s="8">
        <f t="shared" si="10"/>
        <v>0</v>
      </c>
    </row>
    <row r="113" spans="1:22" ht="15.75" customHeight="1" x14ac:dyDescent="0.3">
      <c r="A113" s="22">
        <v>107</v>
      </c>
      <c r="B113" s="45" t="s">
        <v>304</v>
      </c>
      <c r="C113" s="18"/>
      <c r="D113" s="21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8"/>
      <c r="U113" s="8">
        <f t="shared" si="10"/>
        <v>0</v>
      </c>
    </row>
    <row r="114" spans="1:22" ht="15.75" customHeight="1" x14ac:dyDescent="0.3">
      <c r="A114" s="22">
        <v>108</v>
      </c>
      <c r="B114" s="45" t="s">
        <v>305</v>
      </c>
      <c r="C114" s="18"/>
      <c r="D114" s="21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8"/>
      <c r="U114" s="8">
        <f t="shared" si="10"/>
        <v>0</v>
      </c>
    </row>
    <row r="115" spans="1:22" ht="15.75" customHeight="1" x14ac:dyDescent="0.3">
      <c r="A115" s="22">
        <v>109</v>
      </c>
      <c r="B115" s="45" t="s">
        <v>306</v>
      </c>
      <c r="C115" s="18"/>
      <c r="D115" s="21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8"/>
      <c r="U115" s="8">
        <f t="shared" si="10"/>
        <v>0</v>
      </c>
    </row>
    <row r="116" spans="1:22" ht="15.75" customHeight="1" x14ac:dyDescent="0.3">
      <c r="A116" s="22">
        <v>110</v>
      </c>
      <c r="B116" s="45" t="s">
        <v>307</v>
      </c>
      <c r="C116" s="18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8"/>
      <c r="U116" s="8">
        <f t="shared" si="10"/>
        <v>0</v>
      </c>
    </row>
    <row r="117" spans="1:22" ht="15.75" customHeight="1" x14ac:dyDescent="0.3">
      <c r="A117" s="22">
        <v>111</v>
      </c>
      <c r="B117" s="45" t="s">
        <v>308</v>
      </c>
      <c r="C117" s="30" t="s">
        <v>309</v>
      </c>
      <c r="D117" s="21" t="s">
        <v>310</v>
      </c>
      <c r="E117" s="18"/>
      <c r="F117" s="18">
        <v>10</v>
      </c>
      <c r="G117" s="18">
        <v>10</v>
      </c>
      <c r="H117" s="18">
        <v>10</v>
      </c>
      <c r="I117" s="18">
        <v>10</v>
      </c>
      <c r="J117" s="18">
        <v>10</v>
      </c>
      <c r="K117" s="18">
        <v>10</v>
      </c>
      <c r="L117" s="18">
        <v>10</v>
      </c>
      <c r="M117" s="18">
        <v>10</v>
      </c>
      <c r="N117" s="18">
        <v>10</v>
      </c>
      <c r="O117" s="18">
        <v>10</v>
      </c>
      <c r="P117" s="18">
        <v>10</v>
      </c>
      <c r="Q117" s="18">
        <v>10</v>
      </c>
      <c r="R117" s="18">
        <f>SUM(F117:Q117)</f>
        <v>120</v>
      </c>
      <c r="S117" s="8"/>
      <c r="U117" s="8">
        <f t="shared" si="10"/>
        <v>120</v>
      </c>
      <c r="V117" s="8" t="s">
        <v>392</v>
      </c>
    </row>
    <row r="118" spans="1:22" ht="15.75" customHeight="1" x14ac:dyDescent="0.3">
      <c r="A118" s="22">
        <v>112</v>
      </c>
      <c r="B118" s="45" t="s">
        <v>311</v>
      </c>
      <c r="C118" s="18"/>
      <c r="D118" s="21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8"/>
      <c r="U118" s="8">
        <f t="shared" si="10"/>
        <v>0</v>
      </c>
    </row>
    <row r="119" spans="1:22" ht="15.75" customHeight="1" x14ac:dyDescent="0.3">
      <c r="A119" s="22">
        <v>113</v>
      </c>
      <c r="B119" s="45" t="s">
        <v>312</v>
      </c>
      <c r="C119" s="18"/>
      <c r="D119" s="21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8"/>
      <c r="U119" s="8">
        <f t="shared" si="10"/>
        <v>0</v>
      </c>
    </row>
    <row r="120" spans="1:22" ht="15.75" customHeight="1" x14ac:dyDescent="0.3">
      <c r="A120" s="22">
        <v>114</v>
      </c>
      <c r="B120" s="45" t="s">
        <v>313</v>
      </c>
      <c r="C120" s="18"/>
      <c r="D120" s="21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8"/>
      <c r="U120" s="8">
        <f t="shared" si="10"/>
        <v>0</v>
      </c>
    </row>
    <row r="121" spans="1:22" ht="15.75" customHeight="1" x14ac:dyDescent="0.3">
      <c r="A121" s="22">
        <v>115</v>
      </c>
      <c r="B121" s="45" t="s">
        <v>314</v>
      </c>
      <c r="C121" s="18"/>
      <c r="D121" s="21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8"/>
      <c r="U121" s="8">
        <f t="shared" si="10"/>
        <v>0</v>
      </c>
    </row>
    <row r="122" spans="1:22" ht="15.75" customHeight="1" x14ac:dyDescent="0.3">
      <c r="A122" s="22">
        <v>116</v>
      </c>
      <c r="B122" s="45" t="s">
        <v>315</v>
      </c>
      <c r="C122" s="18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8"/>
      <c r="U122" s="8">
        <f t="shared" si="10"/>
        <v>0</v>
      </c>
    </row>
    <row r="123" spans="1:22" ht="15.75" customHeight="1" x14ac:dyDescent="0.3">
      <c r="A123" s="22">
        <v>117</v>
      </c>
      <c r="B123" s="45" t="s">
        <v>316</v>
      </c>
      <c r="C123" s="18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8"/>
      <c r="U123" s="8">
        <f t="shared" si="10"/>
        <v>0</v>
      </c>
    </row>
    <row r="124" spans="1:22" ht="15.75" customHeight="1" x14ac:dyDescent="0.3">
      <c r="A124" s="22">
        <v>118</v>
      </c>
      <c r="B124" s="45" t="s">
        <v>317</v>
      </c>
      <c r="C124" s="18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8"/>
      <c r="U124" s="8">
        <f t="shared" si="10"/>
        <v>0</v>
      </c>
    </row>
    <row r="125" spans="1:22" ht="15.75" customHeight="1" x14ac:dyDescent="0.3">
      <c r="A125" s="22">
        <v>119</v>
      </c>
      <c r="B125" s="45" t="s">
        <v>318</v>
      </c>
      <c r="C125" s="18"/>
      <c r="D125" s="21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8"/>
      <c r="U125" s="8">
        <f t="shared" si="10"/>
        <v>0</v>
      </c>
    </row>
    <row r="126" spans="1:22" ht="15.75" customHeight="1" x14ac:dyDescent="0.3">
      <c r="A126" s="22">
        <v>120</v>
      </c>
      <c r="B126" s="45" t="s">
        <v>319</v>
      </c>
      <c r="C126" s="18"/>
      <c r="D126" s="21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8"/>
      <c r="U126" s="8">
        <f t="shared" si="10"/>
        <v>0</v>
      </c>
    </row>
    <row r="127" spans="1:22" ht="15.75" customHeight="1" x14ac:dyDescent="0.3">
      <c r="A127" s="22">
        <v>121</v>
      </c>
      <c r="B127" s="45" t="s">
        <v>320</v>
      </c>
      <c r="C127" s="18" t="s">
        <v>321</v>
      </c>
      <c r="D127" s="21" t="s">
        <v>322</v>
      </c>
      <c r="E127" s="18"/>
      <c r="F127" s="18">
        <v>10</v>
      </c>
      <c r="G127" s="18">
        <v>10</v>
      </c>
      <c r="H127" s="18">
        <v>10</v>
      </c>
      <c r="I127" s="18">
        <v>10</v>
      </c>
      <c r="J127" s="18">
        <v>10</v>
      </c>
      <c r="K127" s="18">
        <v>10</v>
      </c>
      <c r="L127" s="18">
        <v>10</v>
      </c>
      <c r="M127" s="18">
        <v>10</v>
      </c>
      <c r="N127" s="18">
        <v>10</v>
      </c>
      <c r="O127" s="18">
        <v>10</v>
      </c>
      <c r="P127" s="18">
        <v>10</v>
      </c>
      <c r="Q127" s="18">
        <v>10</v>
      </c>
      <c r="R127" s="18">
        <f>SUM(F127:Q127)</f>
        <v>120</v>
      </c>
      <c r="S127" s="8"/>
      <c r="U127" s="8">
        <f t="shared" si="10"/>
        <v>120</v>
      </c>
      <c r="V127" s="8" t="s">
        <v>393</v>
      </c>
    </row>
    <row r="128" spans="1:22" ht="15.75" customHeight="1" x14ac:dyDescent="0.3">
      <c r="A128" s="22">
        <v>122</v>
      </c>
      <c r="B128" s="45" t="s">
        <v>323</v>
      </c>
      <c r="C128" s="18"/>
      <c r="D128" s="21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8"/>
      <c r="U128" s="8">
        <f t="shared" si="10"/>
        <v>0</v>
      </c>
    </row>
    <row r="129" spans="1:26" ht="15.75" customHeight="1" x14ac:dyDescent="0.3">
      <c r="A129" s="22">
        <v>123</v>
      </c>
      <c r="B129" s="45" t="s">
        <v>324</v>
      </c>
      <c r="C129" s="30" t="s">
        <v>325</v>
      </c>
      <c r="D129" s="21" t="s">
        <v>326</v>
      </c>
      <c r="E129" s="18"/>
      <c r="F129" s="18">
        <v>10</v>
      </c>
      <c r="G129" s="18">
        <v>10</v>
      </c>
      <c r="H129" s="18">
        <v>10</v>
      </c>
      <c r="I129" s="18">
        <v>10</v>
      </c>
      <c r="J129" s="18">
        <v>10</v>
      </c>
      <c r="K129" s="18">
        <v>10</v>
      </c>
      <c r="L129" s="18">
        <v>10</v>
      </c>
      <c r="M129" s="18">
        <v>10</v>
      </c>
      <c r="N129" s="18">
        <v>10</v>
      </c>
      <c r="O129" s="18">
        <v>10</v>
      </c>
      <c r="P129" s="18">
        <v>10</v>
      </c>
      <c r="Q129" s="18">
        <v>10</v>
      </c>
      <c r="R129" s="18">
        <f>SUM(F129:Q129)</f>
        <v>120</v>
      </c>
      <c r="S129" s="8"/>
      <c r="U129" s="8">
        <f t="shared" si="10"/>
        <v>120</v>
      </c>
    </row>
    <row r="130" spans="1:26" ht="15.75" customHeight="1" x14ac:dyDescent="0.3">
      <c r="A130" s="22">
        <v>124</v>
      </c>
      <c r="B130" s="45" t="s">
        <v>327</v>
      </c>
      <c r="C130" s="18"/>
      <c r="D130" s="21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8"/>
      <c r="U130" s="8">
        <f t="shared" si="10"/>
        <v>0</v>
      </c>
    </row>
    <row r="131" spans="1:26" ht="15.75" customHeight="1" x14ac:dyDescent="0.3">
      <c r="A131" s="22">
        <v>125</v>
      </c>
      <c r="B131" s="45" t="s">
        <v>328</v>
      </c>
      <c r="C131" s="30" t="s">
        <v>329</v>
      </c>
      <c r="D131" s="21" t="s">
        <v>330</v>
      </c>
      <c r="E131" s="18"/>
      <c r="F131" s="18">
        <v>10</v>
      </c>
      <c r="G131" s="18">
        <v>10</v>
      </c>
      <c r="H131" s="18">
        <v>10</v>
      </c>
      <c r="I131" s="18">
        <v>10</v>
      </c>
      <c r="J131" s="18">
        <v>10</v>
      </c>
      <c r="K131" s="18">
        <v>10</v>
      </c>
      <c r="L131" s="18">
        <v>10</v>
      </c>
      <c r="M131" s="18">
        <v>10</v>
      </c>
      <c r="N131" s="18">
        <v>10</v>
      </c>
      <c r="O131" s="18">
        <v>10</v>
      </c>
      <c r="P131" s="18">
        <v>10</v>
      </c>
      <c r="Q131" s="18">
        <v>10</v>
      </c>
      <c r="R131" s="18">
        <f>SUM(F131:Q131)</f>
        <v>120</v>
      </c>
      <c r="S131" s="8"/>
      <c r="U131" s="8">
        <f t="shared" si="10"/>
        <v>120</v>
      </c>
      <c r="V131" s="8" t="s">
        <v>427</v>
      </c>
    </row>
    <row r="132" spans="1:26" ht="15.75" customHeight="1" x14ac:dyDescent="0.3">
      <c r="A132" s="22"/>
      <c r="B132" s="45" t="s">
        <v>331</v>
      </c>
      <c r="C132" s="30" t="s">
        <v>332</v>
      </c>
      <c r="D132" s="21" t="s">
        <v>333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8"/>
      <c r="U132" s="8">
        <f t="shared" si="10"/>
        <v>0</v>
      </c>
    </row>
    <row r="133" spans="1:26" ht="15.75" customHeight="1" x14ac:dyDescent="0.3">
      <c r="A133" s="22"/>
      <c r="B133" s="45" t="s">
        <v>334</v>
      </c>
      <c r="C133" s="30" t="s">
        <v>335</v>
      </c>
      <c r="D133" s="21" t="s">
        <v>336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8"/>
      <c r="U133" s="8">
        <f t="shared" si="10"/>
        <v>0</v>
      </c>
      <c r="W133" s="8" t="s">
        <v>337</v>
      </c>
    </row>
    <row r="134" spans="1:26" ht="15.75" customHeight="1" x14ac:dyDescent="0.3">
      <c r="A134" s="22"/>
      <c r="B134" s="45" t="s">
        <v>338</v>
      </c>
      <c r="C134" s="30" t="s">
        <v>339</v>
      </c>
      <c r="D134" s="21" t="s">
        <v>340</v>
      </c>
      <c r="E134" s="18"/>
      <c r="F134" s="18">
        <v>10</v>
      </c>
      <c r="G134" s="18">
        <v>10</v>
      </c>
      <c r="H134" s="18">
        <v>10</v>
      </c>
      <c r="I134" s="18">
        <v>10</v>
      </c>
      <c r="J134" s="18">
        <v>10</v>
      </c>
      <c r="K134" s="18">
        <v>10</v>
      </c>
      <c r="L134" s="18">
        <v>10</v>
      </c>
      <c r="M134" s="18">
        <v>10</v>
      </c>
      <c r="N134" s="18">
        <v>10</v>
      </c>
      <c r="O134" s="18">
        <v>10</v>
      </c>
      <c r="P134" s="18">
        <v>10</v>
      </c>
      <c r="Q134" s="18">
        <v>10</v>
      </c>
      <c r="R134" s="18">
        <f>SUM(F134:Q134)</f>
        <v>120</v>
      </c>
      <c r="S134" s="8"/>
      <c r="U134" s="8">
        <f t="shared" si="10"/>
        <v>120</v>
      </c>
      <c r="V134" s="8" t="s">
        <v>369</v>
      </c>
    </row>
    <row r="135" spans="1:26" ht="15.75" customHeight="1" x14ac:dyDescent="0.3">
      <c r="A135" s="22"/>
      <c r="B135" s="45" t="s">
        <v>342</v>
      </c>
      <c r="C135" s="18" t="s">
        <v>343</v>
      </c>
      <c r="D135" s="21" t="s">
        <v>344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8"/>
      <c r="U135" s="8">
        <f t="shared" si="10"/>
        <v>0</v>
      </c>
    </row>
    <row r="136" spans="1:26" ht="15.75" customHeight="1" x14ac:dyDescent="0.3">
      <c r="A136" s="22"/>
      <c r="B136" s="45" t="s">
        <v>345</v>
      </c>
      <c r="C136" s="18" t="s">
        <v>346</v>
      </c>
      <c r="D136" s="21"/>
      <c r="E136" s="18"/>
      <c r="F136" s="18">
        <v>10</v>
      </c>
      <c r="G136" s="18">
        <v>10</v>
      </c>
      <c r="H136" s="18">
        <v>10</v>
      </c>
      <c r="I136" s="18">
        <v>10</v>
      </c>
      <c r="J136" s="18">
        <v>10</v>
      </c>
      <c r="K136" s="18">
        <v>10</v>
      </c>
      <c r="L136" s="18">
        <v>10</v>
      </c>
      <c r="M136" s="18">
        <v>10</v>
      </c>
      <c r="N136" s="18">
        <v>10</v>
      </c>
      <c r="O136" s="18">
        <v>10</v>
      </c>
      <c r="P136" s="18">
        <v>10</v>
      </c>
      <c r="Q136" s="18">
        <v>10</v>
      </c>
      <c r="R136" s="18">
        <f>SUM(F136:Q136)</f>
        <v>120</v>
      </c>
      <c r="S136" s="8"/>
      <c r="U136" s="8">
        <f t="shared" si="10"/>
        <v>120</v>
      </c>
      <c r="V136" s="8" t="s">
        <v>396</v>
      </c>
    </row>
    <row r="137" spans="1:26" ht="15.75" customHeight="1" x14ac:dyDescent="0.3">
      <c r="A137" s="22"/>
      <c r="B137" s="45" t="s">
        <v>347</v>
      </c>
      <c r="C137" s="32" t="s">
        <v>348</v>
      </c>
      <c r="D137" s="21" t="s">
        <v>349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8"/>
      <c r="U137" s="8">
        <f t="shared" si="10"/>
        <v>0</v>
      </c>
    </row>
    <row r="138" spans="1:26" ht="15.75" customHeight="1" x14ac:dyDescent="0.3">
      <c r="A138" s="22"/>
      <c r="B138" s="45" t="s">
        <v>350</v>
      </c>
      <c r="C138" s="32" t="s">
        <v>397</v>
      </c>
      <c r="D138" s="21" t="s">
        <v>82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8"/>
      <c r="T138" s="8">
        <f>R138+E138</f>
        <v>0</v>
      </c>
      <c r="U138" s="8">
        <f t="shared" si="10"/>
        <v>0</v>
      </c>
      <c r="V138" s="8"/>
      <c r="W138" s="8"/>
      <c r="X138" s="8"/>
      <c r="Y138" s="8"/>
      <c r="Z138" s="8"/>
    </row>
    <row r="139" spans="1:26" ht="15.75" customHeight="1" x14ac:dyDescent="0.3">
      <c r="A139" s="22"/>
      <c r="B139" s="45" t="s">
        <v>352</v>
      </c>
      <c r="C139" s="32" t="s">
        <v>353</v>
      </c>
      <c r="D139" s="21" t="s">
        <v>354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8"/>
      <c r="T139" s="8"/>
      <c r="U139" s="8">
        <f t="shared" si="10"/>
        <v>0</v>
      </c>
      <c r="V139" s="8"/>
      <c r="W139" s="8"/>
      <c r="X139" s="8"/>
      <c r="Y139" s="8"/>
      <c r="Z139" s="8"/>
    </row>
    <row r="140" spans="1:26" ht="15.75" customHeight="1" x14ac:dyDescent="0.3">
      <c r="A140" s="22"/>
      <c r="B140" s="45" t="s">
        <v>355</v>
      </c>
      <c r="C140" s="32" t="s">
        <v>356</v>
      </c>
      <c r="D140" s="21" t="s">
        <v>357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22"/>
      <c r="B141" s="45"/>
      <c r="C141" s="30"/>
      <c r="D141" s="21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8"/>
    </row>
    <row r="142" spans="1:26" ht="15.75" customHeight="1" x14ac:dyDescent="0.3">
      <c r="A142" s="41"/>
      <c r="B142" s="42"/>
      <c r="C142" s="40"/>
      <c r="D142" s="2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26" ht="15.75" customHeight="1" x14ac:dyDescent="0.3">
      <c r="B143" s="42"/>
      <c r="D143" s="2" t="s">
        <v>358</v>
      </c>
      <c r="E143" s="8">
        <f t="shared" ref="E143:U143" si="14">SUM(E7:E141)</f>
        <v>40</v>
      </c>
      <c r="F143" s="8">
        <f t="shared" si="14"/>
        <v>490</v>
      </c>
      <c r="G143" s="8">
        <f t="shared" si="14"/>
        <v>490</v>
      </c>
      <c r="H143" s="8">
        <f t="shared" si="14"/>
        <v>490</v>
      </c>
      <c r="I143" s="8">
        <f t="shared" si="14"/>
        <v>480</v>
      </c>
      <c r="J143" s="8">
        <f t="shared" si="14"/>
        <v>480</v>
      </c>
      <c r="K143" s="8">
        <f t="shared" si="14"/>
        <v>480</v>
      </c>
      <c r="L143" s="8">
        <f t="shared" si="14"/>
        <v>480</v>
      </c>
      <c r="M143" s="8">
        <f t="shared" si="14"/>
        <v>480</v>
      </c>
      <c r="N143" s="8">
        <f t="shared" si="14"/>
        <v>480</v>
      </c>
      <c r="O143" s="8">
        <f t="shared" si="14"/>
        <v>480</v>
      </c>
      <c r="P143" s="8">
        <f t="shared" si="14"/>
        <v>480</v>
      </c>
      <c r="Q143" s="8">
        <f t="shared" si="14"/>
        <v>490</v>
      </c>
      <c r="R143" s="8">
        <f t="shared" si="14"/>
        <v>5800</v>
      </c>
      <c r="S143" s="8">
        <f t="shared" si="14"/>
        <v>0</v>
      </c>
      <c r="T143" s="8">
        <f t="shared" si="14"/>
        <v>360</v>
      </c>
      <c r="U143" s="8">
        <f t="shared" si="14"/>
        <v>4940</v>
      </c>
    </row>
    <row r="144" spans="1:26" ht="15.75" customHeight="1" x14ac:dyDescent="0.3">
      <c r="B144" s="42"/>
      <c r="D144" s="2"/>
      <c r="E144" s="8">
        <f>E143/20</f>
        <v>2</v>
      </c>
    </row>
    <row r="145" spans="2:19" ht="15.75" customHeight="1" x14ac:dyDescent="0.3">
      <c r="B145" s="42"/>
      <c r="D145" s="2"/>
    </row>
    <row r="146" spans="2:19" ht="15.75" customHeight="1" x14ac:dyDescent="0.3">
      <c r="B146" s="42"/>
      <c r="D146" s="2"/>
      <c r="S146" s="8">
        <f>S143-110</f>
        <v>-110</v>
      </c>
    </row>
    <row r="147" spans="2:19" ht="15.75" customHeight="1" x14ac:dyDescent="0.3">
      <c r="B147" s="42"/>
      <c r="D147" s="2"/>
      <c r="S147" s="8">
        <f>S146/120</f>
        <v>-0.91666666666666663</v>
      </c>
    </row>
    <row r="148" spans="2:19" ht="15.75" customHeight="1" x14ac:dyDescent="0.3">
      <c r="B148" s="42"/>
      <c r="D148" s="2"/>
    </row>
    <row r="149" spans="2:19" ht="15.75" customHeight="1" x14ac:dyDescent="0.3">
      <c r="B149" s="42"/>
      <c r="D149" s="2"/>
    </row>
    <row r="150" spans="2:19" ht="15.75" customHeight="1" x14ac:dyDescent="0.3">
      <c r="B150" s="42"/>
      <c r="D150" s="2"/>
    </row>
    <row r="151" spans="2:19" ht="15.75" customHeight="1" x14ac:dyDescent="0.3">
      <c r="B151" s="42"/>
      <c r="D151" s="2"/>
    </row>
    <row r="152" spans="2:19" ht="15.75" customHeight="1" x14ac:dyDescent="0.3">
      <c r="B152" s="42"/>
      <c r="D152" s="2"/>
    </row>
    <row r="153" spans="2:19" ht="15.75" customHeight="1" x14ac:dyDescent="0.3">
      <c r="B153" s="42"/>
      <c r="D153" s="2"/>
    </row>
    <row r="154" spans="2:19" ht="15.75" customHeight="1" x14ac:dyDescent="0.3">
      <c r="B154" s="42"/>
      <c r="D154" s="2"/>
    </row>
    <row r="155" spans="2:19" ht="15.75" customHeight="1" x14ac:dyDescent="0.3">
      <c r="B155" s="42"/>
      <c r="D155" s="2"/>
    </row>
    <row r="156" spans="2:19" ht="15.75" customHeight="1" x14ac:dyDescent="0.3">
      <c r="B156" s="42"/>
      <c r="D156" s="2"/>
    </row>
    <row r="157" spans="2:19" ht="15.75" customHeight="1" x14ac:dyDescent="0.3">
      <c r="B157" s="42"/>
      <c r="D157" s="2"/>
    </row>
    <row r="158" spans="2:19" ht="15.75" customHeight="1" x14ac:dyDescent="0.3">
      <c r="B158" s="42"/>
      <c r="D158" s="2"/>
    </row>
    <row r="159" spans="2:19" ht="15.75" customHeight="1" x14ac:dyDescent="0.3">
      <c r="B159" s="42"/>
      <c r="D159" s="2"/>
    </row>
    <row r="160" spans="2:19" ht="15.75" customHeight="1" x14ac:dyDescent="0.3">
      <c r="B160" s="42"/>
      <c r="D160" s="2"/>
    </row>
    <row r="161" spans="2:4" ht="15.75" customHeight="1" x14ac:dyDescent="0.3">
      <c r="B161" s="42"/>
      <c r="D161" s="2"/>
    </row>
    <row r="162" spans="2:4" ht="15.75" customHeight="1" x14ac:dyDescent="0.3">
      <c r="B162" s="42"/>
      <c r="D162" s="2"/>
    </row>
    <row r="163" spans="2:4" ht="15.75" customHeight="1" x14ac:dyDescent="0.3">
      <c r="B163" s="42"/>
      <c r="D163" s="2"/>
    </row>
    <row r="164" spans="2:4" ht="15.75" customHeight="1" x14ac:dyDescent="0.3">
      <c r="B164" s="42"/>
      <c r="D164" s="2"/>
    </row>
    <row r="165" spans="2:4" ht="15.75" customHeight="1" x14ac:dyDescent="0.3">
      <c r="B165" s="42"/>
      <c r="D165" s="2"/>
    </row>
    <row r="166" spans="2:4" ht="15.75" customHeight="1" x14ac:dyDescent="0.3">
      <c r="B166" s="42"/>
      <c r="D166" s="2"/>
    </row>
    <row r="167" spans="2:4" ht="15.75" customHeight="1" x14ac:dyDescent="0.3">
      <c r="B167" s="42"/>
      <c r="D167" s="2"/>
    </row>
    <row r="168" spans="2:4" ht="15.75" customHeight="1" x14ac:dyDescent="0.3">
      <c r="B168" s="42"/>
      <c r="D168" s="2"/>
    </row>
    <row r="169" spans="2:4" ht="15.75" customHeight="1" x14ac:dyDescent="0.3">
      <c r="B169" s="42"/>
      <c r="D169" s="2"/>
    </row>
    <row r="170" spans="2:4" ht="15.75" customHeight="1" x14ac:dyDescent="0.3">
      <c r="B170" s="42"/>
      <c r="D170" s="2"/>
    </row>
    <row r="171" spans="2:4" ht="15.75" customHeight="1" x14ac:dyDescent="0.3">
      <c r="B171" s="42"/>
      <c r="D171" s="2"/>
    </row>
    <row r="172" spans="2:4" ht="15.75" customHeight="1" x14ac:dyDescent="0.3">
      <c r="B172" s="42"/>
      <c r="D172" s="2"/>
    </row>
    <row r="173" spans="2:4" ht="15.75" customHeight="1" x14ac:dyDescent="0.3">
      <c r="B173" s="42"/>
      <c r="D173" s="2"/>
    </row>
    <row r="174" spans="2:4" ht="15.75" customHeight="1" x14ac:dyDescent="0.3">
      <c r="B174" s="42"/>
      <c r="D174" s="2"/>
    </row>
    <row r="175" spans="2:4" ht="15.75" customHeight="1" x14ac:dyDescent="0.3">
      <c r="B175" s="42"/>
      <c r="D175" s="2"/>
    </row>
    <row r="176" spans="2:4" ht="15.75" customHeight="1" x14ac:dyDescent="0.3">
      <c r="B176" s="42"/>
      <c r="D176" s="2"/>
    </row>
    <row r="177" spans="2:4" ht="15.75" customHeight="1" x14ac:dyDescent="0.3">
      <c r="B177" s="42"/>
      <c r="D177" s="2"/>
    </row>
    <row r="178" spans="2:4" ht="15.75" customHeight="1" x14ac:dyDescent="0.3">
      <c r="B178" s="42"/>
      <c r="D178" s="2"/>
    </row>
    <row r="179" spans="2:4" ht="15.75" customHeight="1" x14ac:dyDescent="0.3">
      <c r="B179" s="42"/>
      <c r="D179" s="2"/>
    </row>
    <row r="180" spans="2:4" ht="15.75" customHeight="1" x14ac:dyDescent="0.3">
      <c r="B180" s="42"/>
      <c r="D180" s="2"/>
    </row>
    <row r="181" spans="2:4" ht="15.75" customHeight="1" x14ac:dyDescent="0.3">
      <c r="B181" s="42"/>
      <c r="D181" s="2"/>
    </row>
    <row r="182" spans="2:4" ht="15.75" customHeight="1" x14ac:dyDescent="0.3">
      <c r="B182" s="42"/>
      <c r="D182" s="2"/>
    </row>
    <row r="183" spans="2:4" ht="15.75" customHeight="1" x14ac:dyDescent="0.3">
      <c r="B183" s="42"/>
      <c r="D183" s="2"/>
    </row>
    <row r="184" spans="2:4" ht="15.75" customHeight="1" x14ac:dyDescent="0.3">
      <c r="B184" s="42"/>
      <c r="D184" s="2"/>
    </row>
    <row r="185" spans="2:4" ht="15.75" customHeight="1" x14ac:dyDescent="0.3">
      <c r="B185" s="42"/>
      <c r="D185" s="2"/>
    </row>
    <row r="186" spans="2:4" ht="15.75" customHeight="1" x14ac:dyDescent="0.3">
      <c r="B186" s="42"/>
      <c r="D186" s="2"/>
    </row>
    <row r="187" spans="2:4" ht="15.75" customHeight="1" x14ac:dyDescent="0.3">
      <c r="B187" s="42"/>
      <c r="D187" s="2"/>
    </row>
    <row r="188" spans="2:4" ht="15.75" customHeight="1" x14ac:dyDescent="0.3">
      <c r="B188" s="42"/>
      <c r="D188" s="2"/>
    </row>
    <row r="189" spans="2:4" ht="15.75" customHeight="1" x14ac:dyDescent="0.3">
      <c r="B189" s="42"/>
      <c r="D189" s="2"/>
    </row>
    <row r="190" spans="2:4" ht="15.75" customHeight="1" x14ac:dyDescent="0.3">
      <c r="B190" s="42"/>
      <c r="D190" s="2"/>
    </row>
    <row r="191" spans="2:4" ht="15.75" customHeight="1" x14ac:dyDescent="0.3">
      <c r="B191" s="42"/>
      <c r="D191" s="2"/>
    </row>
    <row r="192" spans="2:4" ht="15.75" customHeight="1" x14ac:dyDescent="0.3">
      <c r="B192" s="42"/>
      <c r="D192" s="2"/>
    </row>
    <row r="193" spans="2:4" ht="15.75" customHeight="1" x14ac:dyDescent="0.3">
      <c r="B193" s="42"/>
      <c r="D193" s="2"/>
    </row>
    <row r="194" spans="2:4" ht="15.75" customHeight="1" x14ac:dyDescent="0.3">
      <c r="B194" s="42"/>
      <c r="D194" s="2"/>
    </row>
    <row r="195" spans="2:4" ht="15.75" customHeight="1" x14ac:dyDescent="0.3">
      <c r="B195" s="42"/>
      <c r="D195" s="2"/>
    </row>
    <row r="196" spans="2:4" ht="15.75" customHeight="1" x14ac:dyDescent="0.3">
      <c r="B196" s="42"/>
      <c r="D196" s="2"/>
    </row>
    <row r="197" spans="2:4" ht="15.75" customHeight="1" x14ac:dyDescent="0.3">
      <c r="B197" s="42"/>
      <c r="D197" s="2"/>
    </row>
    <row r="198" spans="2:4" ht="15.75" customHeight="1" x14ac:dyDescent="0.3">
      <c r="B198" s="42"/>
      <c r="D198" s="2"/>
    </row>
    <row r="199" spans="2:4" ht="15.75" customHeight="1" x14ac:dyDescent="0.3">
      <c r="B199" s="42"/>
      <c r="D199" s="2"/>
    </row>
    <row r="200" spans="2:4" ht="15.75" customHeight="1" x14ac:dyDescent="0.3">
      <c r="B200" s="42"/>
      <c r="D200" s="2"/>
    </row>
    <row r="201" spans="2:4" ht="15.75" customHeight="1" x14ac:dyDescent="0.3">
      <c r="B201" s="42"/>
      <c r="D201" s="2"/>
    </row>
    <row r="202" spans="2:4" ht="15.75" customHeight="1" x14ac:dyDescent="0.3">
      <c r="B202" s="42"/>
      <c r="D202" s="2"/>
    </row>
    <row r="203" spans="2:4" ht="15.75" customHeight="1" x14ac:dyDescent="0.3">
      <c r="B203" s="42"/>
      <c r="D203" s="2"/>
    </row>
    <row r="204" spans="2:4" ht="15.75" customHeight="1" x14ac:dyDescent="0.3">
      <c r="B204" s="42"/>
      <c r="D204" s="2"/>
    </row>
    <row r="205" spans="2:4" ht="15.75" customHeight="1" x14ac:dyDescent="0.3">
      <c r="B205" s="42"/>
      <c r="D205" s="2"/>
    </row>
    <row r="206" spans="2:4" ht="15.75" customHeight="1" x14ac:dyDescent="0.3">
      <c r="B206" s="42"/>
      <c r="D206" s="2"/>
    </row>
    <row r="207" spans="2:4" ht="15.75" customHeight="1" x14ac:dyDescent="0.3">
      <c r="B207" s="42"/>
      <c r="D207" s="2"/>
    </row>
    <row r="208" spans="2:4" ht="15.75" customHeight="1" x14ac:dyDescent="0.3">
      <c r="B208" s="42"/>
      <c r="D208" s="2"/>
    </row>
    <row r="209" spans="2:4" ht="15.75" customHeight="1" x14ac:dyDescent="0.3">
      <c r="B209" s="42"/>
      <c r="D209" s="2"/>
    </row>
    <row r="210" spans="2:4" ht="15.75" customHeight="1" x14ac:dyDescent="0.3">
      <c r="B210" s="42"/>
      <c r="D210" s="2"/>
    </row>
    <row r="211" spans="2:4" ht="15.75" customHeight="1" x14ac:dyDescent="0.3">
      <c r="B211" s="42"/>
      <c r="D211" s="2"/>
    </row>
    <row r="212" spans="2:4" ht="15.75" customHeight="1" x14ac:dyDescent="0.3">
      <c r="B212" s="42"/>
      <c r="D212" s="2"/>
    </row>
    <row r="213" spans="2:4" ht="15.75" customHeight="1" x14ac:dyDescent="0.3">
      <c r="B213" s="42"/>
      <c r="D213" s="2"/>
    </row>
    <row r="214" spans="2:4" ht="15.75" customHeight="1" x14ac:dyDescent="0.3">
      <c r="B214" s="42"/>
      <c r="D214" s="2"/>
    </row>
    <row r="215" spans="2:4" ht="15.75" customHeight="1" x14ac:dyDescent="0.3">
      <c r="B215" s="42"/>
      <c r="D215" s="2"/>
    </row>
    <row r="216" spans="2:4" ht="15.75" customHeight="1" x14ac:dyDescent="0.3">
      <c r="B216" s="42"/>
      <c r="D216" s="2"/>
    </row>
    <row r="217" spans="2:4" ht="15.75" customHeight="1" x14ac:dyDescent="0.3">
      <c r="B217" s="42"/>
      <c r="D217" s="2"/>
    </row>
    <row r="218" spans="2:4" ht="15.75" customHeight="1" x14ac:dyDescent="0.3">
      <c r="B218" s="42"/>
      <c r="D218" s="2"/>
    </row>
    <row r="219" spans="2:4" ht="15.75" customHeight="1" x14ac:dyDescent="0.3">
      <c r="B219" s="42"/>
      <c r="D219" s="2"/>
    </row>
    <row r="220" spans="2:4" ht="15.75" customHeight="1" x14ac:dyDescent="0.3">
      <c r="B220" s="42"/>
      <c r="D220" s="2"/>
    </row>
    <row r="221" spans="2:4" ht="15.75" customHeight="1" x14ac:dyDescent="0.3">
      <c r="B221" s="42"/>
      <c r="D221" s="2"/>
    </row>
    <row r="222" spans="2:4" ht="15.75" customHeight="1" x14ac:dyDescent="0.3">
      <c r="B222" s="42"/>
      <c r="D222" s="2"/>
    </row>
    <row r="223" spans="2:4" ht="15.75" customHeight="1" x14ac:dyDescent="0.3">
      <c r="B223" s="42"/>
      <c r="D223" s="2"/>
    </row>
    <row r="224" spans="2:4" ht="15.75" customHeight="1" x14ac:dyDescent="0.3">
      <c r="B224" s="42"/>
      <c r="D224" s="2"/>
    </row>
    <row r="225" spans="2:4" ht="15.75" customHeight="1" x14ac:dyDescent="0.3">
      <c r="B225" s="42"/>
      <c r="D225" s="2"/>
    </row>
    <row r="226" spans="2:4" ht="15.75" customHeight="1" x14ac:dyDescent="0.3">
      <c r="B226" s="42"/>
      <c r="D226" s="2"/>
    </row>
    <row r="227" spans="2:4" ht="15.75" customHeight="1" x14ac:dyDescent="0.3">
      <c r="B227" s="42"/>
      <c r="D227" s="2"/>
    </row>
    <row r="228" spans="2:4" ht="15.75" customHeight="1" x14ac:dyDescent="0.3">
      <c r="B228" s="42"/>
      <c r="D228" s="2"/>
    </row>
    <row r="229" spans="2:4" ht="15.75" customHeight="1" x14ac:dyDescent="0.3">
      <c r="B229" s="42"/>
      <c r="D229" s="2"/>
    </row>
    <row r="230" spans="2:4" ht="15.75" customHeight="1" x14ac:dyDescent="0.3">
      <c r="B230" s="42"/>
      <c r="D230" s="2"/>
    </row>
    <row r="231" spans="2:4" ht="15.75" customHeight="1" x14ac:dyDescent="0.3">
      <c r="B231" s="42"/>
      <c r="D231" s="2"/>
    </row>
    <row r="232" spans="2:4" ht="15.75" customHeight="1" x14ac:dyDescent="0.3">
      <c r="B232" s="42"/>
      <c r="D232" s="2"/>
    </row>
    <row r="233" spans="2:4" ht="15.75" customHeight="1" x14ac:dyDescent="0.3">
      <c r="B233" s="42"/>
      <c r="D233" s="2"/>
    </row>
    <row r="234" spans="2:4" ht="15.75" customHeight="1" x14ac:dyDescent="0.3">
      <c r="B234" s="42"/>
      <c r="D234" s="2"/>
    </row>
    <row r="235" spans="2:4" ht="15.75" customHeight="1" x14ac:dyDescent="0.3">
      <c r="B235" s="42"/>
      <c r="D235" s="2"/>
    </row>
    <row r="236" spans="2:4" ht="15.75" customHeight="1" x14ac:dyDescent="0.3">
      <c r="B236" s="42"/>
      <c r="D236" s="2"/>
    </row>
    <row r="237" spans="2:4" ht="15.75" customHeight="1" x14ac:dyDescent="0.3">
      <c r="B237" s="42"/>
      <c r="D237" s="2"/>
    </row>
    <row r="238" spans="2:4" ht="15.75" customHeight="1" x14ac:dyDescent="0.3">
      <c r="B238" s="42"/>
      <c r="D238" s="2"/>
    </row>
    <row r="239" spans="2:4" ht="15.75" customHeight="1" x14ac:dyDescent="0.3">
      <c r="B239" s="42"/>
      <c r="D239" s="2"/>
    </row>
    <row r="240" spans="2:4" ht="15.75" customHeight="1" x14ac:dyDescent="0.3">
      <c r="B240" s="42"/>
      <c r="D240" s="2"/>
    </row>
    <row r="241" spans="2:4" ht="15.75" customHeight="1" x14ac:dyDescent="0.3">
      <c r="B241" s="42"/>
      <c r="D241" s="2"/>
    </row>
    <row r="242" spans="2:4" ht="15.75" customHeight="1" x14ac:dyDescent="0.3">
      <c r="B242" s="42"/>
      <c r="D242" s="2"/>
    </row>
    <row r="243" spans="2:4" ht="15.75" customHeight="1" x14ac:dyDescent="0.3">
      <c r="B243" s="42"/>
      <c r="D243" s="2"/>
    </row>
    <row r="244" spans="2:4" ht="15.75" customHeight="1" x14ac:dyDescent="0.3">
      <c r="B244" s="42"/>
      <c r="D244" s="2"/>
    </row>
    <row r="245" spans="2:4" ht="15.75" customHeight="1" x14ac:dyDescent="0.3">
      <c r="B245" s="42"/>
      <c r="D245" s="2"/>
    </row>
    <row r="246" spans="2:4" ht="15.75" customHeight="1" x14ac:dyDescent="0.3">
      <c r="B246" s="42"/>
      <c r="D246" s="2"/>
    </row>
    <row r="247" spans="2:4" ht="15.75" customHeight="1" x14ac:dyDescent="0.3">
      <c r="B247" s="42"/>
      <c r="D247" s="2"/>
    </row>
    <row r="248" spans="2:4" ht="15.75" customHeight="1" x14ac:dyDescent="0.3">
      <c r="B248" s="42"/>
      <c r="D248" s="2"/>
    </row>
    <row r="249" spans="2:4" ht="15.75" customHeight="1" x14ac:dyDescent="0.3">
      <c r="B249" s="42"/>
      <c r="D249" s="2"/>
    </row>
    <row r="250" spans="2:4" ht="15.75" customHeight="1" x14ac:dyDescent="0.3">
      <c r="B250" s="42"/>
      <c r="D250" s="2"/>
    </row>
    <row r="251" spans="2:4" ht="15.75" customHeight="1" x14ac:dyDescent="0.3">
      <c r="B251" s="42"/>
      <c r="D251" s="2"/>
    </row>
    <row r="252" spans="2:4" ht="15.75" customHeight="1" x14ac:dyDescent="0.3">
      <c r="B252" s="42"/>
      <c r="D252" s="2"/>
    </row>
    <row r="253" spans="2:4" ht="15.75" customHeight="1" x14ac:dyDescent="0.3">
      <c r="B253" s="42"/>
      <c r="D253" s="2"/>
    </row>
    <row r="254" spans="2:4" ht="15.75" customHeight="1" x14ac:dyDescent="0.3">
      <c r="B254" s="42"/>
      <c r="D254" s="2"/>
    </row>
    <row r="255" spans="2:4" ht="15.75" customHeight="1" x14ac:dyDescent="0.3">
      <c r="B255" s="42"/>
      <c r="D255" s="2"/>
    </row>
    <row r="256" spans="2:4" ht="15.75" customHeight="1" x14ac:dyDescent="0.3">
      <c r="B256" s="42"/>
      <c r="D256" s="2"/>
    </row>
    <row r="257" spans="2:4" ht="15.75" customHeight="1" x14ac:dyDescent="0.3">
      <c r="B257" s="42"/>
      <c r="D257" s="2"/>
    </row>
    <row r="258" spans="2:4" ht="15.75" customHeight="1" x14ac:dyDescent="0.3">
      <c r="B258" s="42"/>
      <c r="D258" s="2"/>
    </row>
    <row r="259" spans="2:4" ht="15.75" customHeight="1" x14ac:dyDescent="0.3">
      <c r="B259" s="42"/>
      <c r="D259" s="2"/>
    </row>
    <row r="260" spans="2:4" ht="15.75" customHeight="1" x14ac:dyDescent="0.3">
      <c r="B260" s="42"/>
      <c r="D260" s="2"/>
    </row>
    <row r="261" spans="2:4" ht="15.75" customHeight="1" x14ac:dyDescent="0.3">
      <c r="B261" s="42"/>
      <c r="D261" s="2"/>
    </row>
    <row r="262" spans="2:4" ht="15.75" customHeight="1" x14ac:dyDescent="0.3">
      <c r="B262" s="42"/>
      <c r="D262" s="2"/>
    </row>
    <row r="263" spans="2:4" ht="15.75" customHeight="1" x14ac:dyDescent="0.3">
      <c r="B263" s="42"/>
      <c r="D263" s="2"/>
    </row>
    <row r="264" spans="2:4" ht="15.75" customHeight="1" x14ac:dyDescent="0.3">
      <c r="B264" s="42"/>
      <c r="D264" s="2"/>
    </row>
    <row r="265" spans="2:4" ht="15.75" customHeight="1" x14ac:dyDescent="0.3">
      <c r="B265" s="42"/>
      <c r="D265" s="2"/>
    </row>
    <row r="266" spans="2:4" ht="15.75" customHeight="1" x14ac:dyDescent="0.3">
      <c r="B266" s="42"/>
      <c r="D266" s="2"/>
    </row>
    <row r="267" spans="2:4" ht="15.75" customHeight="1" x14ac:dyDescent="0.3">
      <c r="B267" s="42"/>
      <c r="D267" s="2"/>
    </row>
    <row r="268" spans="2:4" ht="15.75" customHeight="1" x14ac:dyDescent="0.3">
      <c r="B268" s="42"/>
      <c r="D268" s="2"/>
    </row>
    <row r="269" spans="2:4" ht="15.75" customHeight="1" x14ac:dyDescent="0.3">
      <c r="B269" s="42"/>
      <c r="D269" s="2"/>
    </row>
    <row r="270" spans="2:4" ht="15.75" customHeight="1" x14ac:dyDescent="0.3">
      <c r="B270" s="42"/>
      <c r="D270" s="2"/>
    </row>
    <row r="271" spans="2:4" ht="15.75" customHeight="1" x14ac:dyDescent="0.3">
      <c r="B271" s="42"/>
      <c r="D271" s="2"/>
    </row>
    <row r="272" spans="2:4" ht="15.75" customHeight="1" x14ac:dyDescent="0.3">
      <c r="B272" s="42"/>
      <c r="D272" s="2"/>
    </row>
    <row r="273" spans="2:4" ht="15.75" customHeight="1" x14ac:dyDescent="0.3">
      <c r="B273" s="42"/>
      <c r="D273" s="2"/>
    </row>
    <row r="274" spans="2:4" ht="15.75" customHeight="1" x14ac:dyDescent="0.3">
      <c r="B274" s="42"/>
      <c r="D274" s="2"/>
    </row>
    <row r="275" spans="2:4" ht="15.75" customHeight="1" x14ac:dyDescent="0.3">
      <c r="B275" s="42"/>
      <c r="D275" s="2"/>
    </row>
    <row r="276" spans="2:4" ht="15.75" customHeight="1" x14ac:dyDescent="0.3">
      <c r="B276" s="42"/>
      <c r="D276" s="2"/>
    </row>
    <row r="277" spans="2:4" ht="15.75" customHeight="1" x14ac:dyDescent="0.3">
      <c r="B277" s="42"/>
      <c r="D277" s="2"/>
    </row>
    <row r="278" spans="2:4" ht="15.75" customHeight="1" x14ac:dyDescent="0.3">
      <c r="B278" s="42"/>
      <c r="D278" s="2"/>
    </row>
    <row r="279" spans="2:4" ht="15.75" customHeight="1" x14ac:dyDescent="0.3">
      <c r="B279" s="42"/>
      <c r="D279" s="2"/>
    </row>
    <row r="280" spans="2:4" ht="15.75" customHeight="1" x14ac:dyDescent="0.3">
      <c r="B280" s="42"/>
      <c r="D280" s="2"/>
    </row>
    <row r="281" spans="2:4" ht="15.75" customHeight="1" x14ac:dyDescent="0.3">
      <c r="B281" s="42"/>
      <c r="D281" s="2"/>
    </row>
    <row r="282" spans="2:4" ht="15.75" customHeight="1" x14ac:dyDescent="0.3">
      <c r="B282" s="42"/>
      <c r="D282" s="2"/>
    </row>
    <row r="283" spans="2:4" ht="15.75" customHeight="1" x14ac:dyDescent="0.3">
      <c r="B283" s="42"/>
      <c r="D283" s="2"/>
    </row>
    <row r="284" spans="2:4" ht="15.75" customHeight="1" x14ac:dyDescent="0.3">
      <c r="B284" s="42"/>
      <c r="D284" s="2"/>
    </row>
    <row r="285" spans="2:4" ht="15.75" customHeight="1" x14ac:dyDescent="0.3">
      <c r="B285" s="42"/>
      <c r="D285" s="2"/>
    </row>
    <row r="286" spans="2:4" ht="15.75" customHeight="1" x14ac:dyDescent="0.3">
      <c r="B286" s="42"/>
      <c r="D286" s="2"/>
    </row>
    <row r="287" spans="2:4" ht="15.75" customHeight="1" x14ac:dyDescent="0.3">
      <c r="B287" s="42"/>
      <c r="D287" s="2"/>
    </row>
    <row r="288" spans="2:4" ht="15.75" customHeight="1" x14ac:dyDescent="0.3">
      <c r="B288" s="42"/>
      <c r="D288" s="2"/>
    </row>
    <row r="289" spans="2:4" ht="15.75" customHeight="1" x14ac:dyDescent="0.3">
      <c r="B289" s="42"/>
      <c r="D289" s="2"/>
    </row>
    <row r="290" spans="2:4" ht="15.75" customHeight="1" x14ac:dyDescent="0.3">
      <c r="B290" s="42"/>
      <c r="D290" s="2"/>
    </row>
    <row r="291" spans="2:4" ht="15.75" customHeight="1" x14ac:dyDescent="0.3">
      <c r="B291" s="42"/>
      <c r="D291" s="2"/>
    </row>
    <row r="292" spans="2:4" ht="15.75" customHeight="1" x14ac:dyDescent="0.3">
      <c r="B292" s="42"/>
      <c r="D292" s="2"/>
    </row>
    <row r="293" spans="2:4" ht="15.75" customHeight="1" x14ac:dyDescent="0.3">
      <c r="B293" s="42"/>
      <c r="D293" s="2"/>
    </row>
    <row r="294" spans="2:4" ht="15.75" customHeight="1" x14ac:dyDescent="0.3">
      <c r="B294" s="42"/>
      <c r="D294" s="2"/>
    </row>
    <row r="295" spans="2:4" ht="15.75" customHeight="1" x14ac:dyDescent="0.3">
      <c r="B295" s="42"/>
      <c r="D295" s="2"/>
    </row>
    <row r="296" spans="2:4" ht="15.75" customHeight="1" x14ac:dyDescent="0.3">
      <c r="B296" s="42"/>
      <c r="D296" s="2"/>
    </row>
    <row r="297" spans="2:4" ht="15.75" customHeight="1" x14ac:dyDescent="0.3">
      <c r="B297" s="42"/>
      <c r="D297" s="2"/>
    </row>
    <row r="298" spans="2:4" ht="15.75" customHeight="1" x14ac:dyDescent="0.3">
      <c r="B298" s="42"/>
      <c r="D298" s="2"/>
    </row>
    <row r="299" spans="2:4" ht="15.75" customHeight="1" x14ac:dyDescent="0.3">
      <c r="B299" s="42"/>
      <c r="D299" s="2"/>
    </row>
    <row r="300" spans="2:4" ht="15.75" customHeight="1" x14ac:dyDescent="0.3">
      <c r="B300" s="42"/>
      <c r="D300" s="2"/>
    </row>
    <row r="301" spans="2:4" ht="15.75" customHeight="1" x14ac:dyDescent="0.3">
      <c r="B301" s="42"/>
      <c r="D301" s="2"/>
    </row>
    <row r="302" spans="2:4" ht="15.75" customHeight="1" x14ac:dyDescent="0.3">
      <c r="B302" s="42"/>
      <c r="D302" s="2"/>
    </row>
    <row r="303" spans="2:4" ht="15.75" customHeight="1" x14ac:dyDescent="0.3">
      <c r="B303" s="42"/>
      <c r="D303" s="2"/>
    </row>
    <row r="304" spans="2:4" ht="15.75" customHeight="1" x14ac:dyDescent="0.3">
      <c r="B304" s="42"/>
      <c r="D304" s="2"/>
    </row>
    <row r="305" spans="2:4" ht="15.75" customHeight="1" x14ac:dyDescent="0.3">
      <c r="B305" s="42"/>
      <c r="D305" s="2"/>
    </row>
    <row r="306" spans="2:4" ht="15.75" customHeight="1" x14ac:dyDescent="0.3">
      <c r="B306" s="42"/>
      <c r="D306" s="2"/>
    </row>
    <row r="307" spans="2:4" ht="15.75" customHeight="1" x14ac:dyDescent="0.3">
      <c r="B307" s="42"/>
      <c r="D307" s="2"/>
    </row>
    <row r="308" spans="2:4" ht="15.75" customHeight="1" x14ac:dyDescent="0.3">
      <c r="B308" s="42"/>
      <c r="D308" s="2"/>
    </row>
    <row r="309" spans="2:4" ht="15.75" customHeight="1" x14ac:dyDescent="0.3">
      <c r="B309" s="42"/>
      <c r="D309" s="2"/>
    </row>
    <row r="310" spans="2:4" ht="15.75" customHeight="1" x14ac:dyDescent="0.3">
      <c r="B310" s="42"/>
      <c r="D310" s="2"/>
    </row>
    <row r="311" spans="2:4" ht="15.75" customHeight="1" x14ac:dyDescent="0.3">
      <c r="B311" s="42"/>
      <c r="D311" s="2"/>
    </row>
    <row r="312" spans="2:4" ht="15.75" customHeight="1" x14ac:dyDescent="0.3">
      <c r="B312" s="42"/>
      <c r="D312" s="2"/>
    </row>
    <row r="313" spans="2:4" ht="15.75" customHeight="1" x14ac:dyDescent="0.3">
      <c r="B313" s="42"/>
      <c r="D313" s="2"/>
    </row>
    <row r="314" spans="2:4" ht="15.75" customHeight="1" x14ac:dyDescent="0.3">
      <c r="B314" s="42"/>
      <c r="D314" s="2"/>
    </row>
    <row r="315" spans="2:4" ht="15.75" customHeight="1" x14ac:dyDescent="0.3">
      <c r="B315" s="42"/>
      <c r="D315" s="2"/>
    </row>
    <row r="316" spans="2:4" ht="15.75" customHeight="1" x14ac:dyDescent="0.3">
      <c r="B316" s="42"/>
      <c r="D316" s="2"/>
    </row>
    <row r="317" spans="2:4" ht="15.75" customHeight="1" x14ac:dyDescent="0.3">
      <c r="B317" s="42"/>
      <c r="D317" s="2"/>
    </row>
    <row r="318" spans="2:4" ht="15.75" customHeight="1" x14ac:dyDescent="0.3">
      <c r="B318" s="42"/>
      <c r="D318" s="2"/>
    </row>
    <row r="319" spans="2:4" ht="15.75" customHeight="1" x14ac:dyDescent="0.3">
      <c r="B319" s="42"/>
      <c r="D319" s="2"/>
    </row>
    <row r="320" spans="2:4" ht="15.75" customHeight="1" x14ac:dyDescent="0.3">
      <c r="B320" s="42"/>
      <c r="D320" s="2"/>
    </row>
    <row r="321" spans="2:4" ht="15.75" customHeight="1" x14ac:dyDescent="0.3">
      <c r="B321" s="42"/>
      <c r="D321" s="2"/>
    </row>
    <row r="322" spans="2:4" ht="15.75" customHeight="1" x14ac:dyDescent="0.3">
      <c r="B322" s="42"/>
      <c r="D322" s="2"/>
    </row>
    <row r="323" spans="2:4" ht="15.75" customHeight="1" x14ac:dyDescent="0.3">
      <c r="B323" s="42"/>
      <c r="D323" s="2"/>
    </row>
    <row r="324" spans="2:4" ht="15.75" customHeight="1" x14ac:dyDescent="0.3">
      <c r="B324" s="42"/>
      <c r="D324" s="2"/>
    </row>
    <row r="325" spans="2:4" ht="15.75" customHeight="1" x14ac:dyDescent="0.3">
      <c r="B325" s="42"/>
      <c r="D325" s="2"/>
    </row>
    <row r="326" spans="2:4" ht="15.75" customHeight="1" x14ac:dyDescent="0.3">
      <c r="B326" s="42"/>
      <c r="D326" s="2"/>
    </row>
    <row r="327" spans="2:4" ht="15.75" customHeight="1" x14ac:dyDescent="0.3">
      <c r="B327" s="42"/>
      <c r="D327" s="2"/>
    </row>
    <row r="328" spans="2:4" ht="15.75" customHeight="1" x14ac:dyDescent="0.3">
      <c r="B328" s="42"/>
      <c r="D328" s="2"/>
    </row>
    <row r="329" spans="2:4" ht="15.75" customHeight="1" x14ac:dyDescent="0.3">
      <c r="B329" s="42"/>
      <c r="D329" s="2"/>
    </row>
    <row r="330" spans="2:4" ht="15.75" customHeight="1" x14ac:dyDescent="0.3">
      <c r="B330" s="42"/>
      <c r="D330" s="2"/>
    </row>
    <row r="331" spans="2:4" ht="15.75" customHeight="1" x14ac:dyDescent="0.3">
      <c r="B331" s="42"/>
      <c r="D331" s="2"/>
    </row>
    <row r="332" spans="2:4" ht="15.75" customHeight="1" x14ac:dyDescent="0.3">
      <c r="B332" s="42"/>
      <c r="D332" s="2"/>
    </row>
    <row r="333" spans="2:4" ht="15.75" customHeight="1" x14ac:dyDescent="0.3">
      <c r="B333" s="42"/>
      <c r="D333" s="2"/>
    </row>
    <row r="334" spans="2:4" ht="15.75" customHeight="1" x14ac:dyDescent="0.3">
      <c r="B334" s="42"/>
      <c r="D334" s="2"/>
    </row>
    <row r="335" spans="2:4" ht="15.75" customHeight="1" x14ac:dyDescent="0.3">
      <c r="B335" s="42"/>
      <c r="D335" s="2"/>
    </row>
    <row r="336" spans="2:4" ht="15.75" customHeight="1" x14ac:dyDescent="0.3">
      <c r="B336" s="42"/>
      <c r="D336" s="2"/>
    </row>
    <row r="337" spans="2:4" ht="15.75" customHeight="1" x14ac:dyDescent="0.3">
      <c r="B337" s="42"/>
      <c r="D337" s="2"/>
    </row>
    <row r="338" spans="2:4" ht="15.75" customHeight="1" x14ac:dyDescent="0.3">
      <c r="B338" s="42"/>
      <c r="D338" s="2"/>
    </row>
    <row r="339" spans="2:4" ht="15.75" customHeight="1" x14ac:dyDescent="0.3">
      <c r="B339" s="42"/>
      <c r="D339" s="2"/>
    </row>
    <row r="340" spans="2:4" ht="15.75" customHeight="1" x14ac:dyDescent="0.3">
      <c r="B340" s="42"/>
      <c r="D340" s="2"/>
    </row>
    <row r="341" spans="2:4" ht="15.75" customHeight="1" x14ac:dyDescent="0.3">
      <c r="B341" s="42"/>
      <c r="D341" s="2"/>
    </row>
    <row r="342" spans="2:4" ht="15.75" customHeight="1" x14ac:dyDescent="0.3">
      <c r="B342" s="42"/>
      <c r="D342" s="2"/>
    </row>
    <row r="343" spans="2:4" ht="15.75" customHeight="1" x14ac:dyDescent="0.3">
      <c r="B343" s="42"/>
      <c r="D343" s="2"/>
    </row>
    <row r="344" spans="2:4" ht="15.75" customHeight="1" x14ac:dyDescent="0.3">
      <c r="B344" s="42"/>
      <c r="D344" s="2"/>
    </row>
    <row r="345" spans="2:4" ht="15.75" customHeight="1" x14ac:dyDescent="0.3">
      <c r="B345" s="42"/>
      <c r="D345" s="2"/>
    </row>
    <row r="346" spans="2:4" ht="15.75" customHeight="1" x14ac:dyDescent="0.3">
      <c r="B346" s="42"/>
      <c r="D346" s="2"/>
    </row>
    <row r="347" spans="2:4" ht="15.75" customHeight="1" x14ac:dyDescent="0.3">
      <c r="B347" s="42"/>
      <c r="D347" s="2"/>
    </row>
    <row r="348" spans="2:4" ht="15.75" customHeight="1" x14ac:dyDescent="0.3">
      <c r="B348" s="42"/>
      <c r="D348" s="2"/>
    </row>
    <row r="349" spans="2:4" ht="15.75" customHeight="1" x14ac:dyDescent="0.3">
      <c r="B349" s="42"/>
      <c r="D349" s="2"/>
    </row>
    <row r="350" spans="2:4" ht="15.75" customHeight="1" x14ac:dyDescent="0.3">
      <c r="B350" s="42"/>
      <c r="D350" s="2"/>
    </row>
    <row r="351" spans="2:4" ht="15.75" customHeight="1" x14ac:dyDescent="0.3">
      <c r="B351" s="42"/>
      <c r="D351" s="2"/>
    </row>
    <row r="352" spans="2:4" ht="15.75" customHeight="1" x14ac:dyDescent="0.3">
      <c r="B352" s="42"/>
      <c r="D352" s="2"/>
    </row>
    <row r="353" spans="2:4" ht="15.75" customHeight="1" x14ac:dyDescent="0.3">
      <c r="B353" s="42"/>
      <c r="D353" s="2"/>
    </row>
    <row r="354" spans="2:4" ht="15.75" customHeight="1" x14ac:dyDescent="0.3">
      <c r="B354" s="42"/>
      <c r="D354" s="2"/>
    </row>
    <row r="355" spans="2:4" ht="15.75" customHeight="1" x14ac:dyDescent="0.3">
      <c r="B355" s="42"/>
      <c r="D355" s="2"/>
    </row>
    <row r="356" spans="2:4" ht="15.75" customHeight="1" x14ac:dyDescent="0.3">
      <c r="B356" s="42"/>
      <c r="D356" s="2"/>
    </row>
    <row r="357" spans="2:4" ht="15.75" customHeight="1" x14ac:dyDescent="0.3">
      <c r="B357" s="42"/>
      <c r="D357" s="2"/>
    </row>
    <row r="358" spans="2:4" ht="15.75" customHeight="1" x14ac:dyDescent="0.3">
      <c r="B358" s="42"/>
      <c r="D358" s="2"/>
    </row>
    <row r="359" spans="2:4" ht="15.75" customHeight="1" x14ac:dyDescent="0.3">
      <c r="B359" s="42"/>
      <c r="D359" s="2"/>
    </row>
    <row r="360" spans="2:4" ht="15.75" customHeight="1" x14ac:dyDescent="0.3">
      <c r="B360" s="42"/>
      <c r="D360" s="2"/>
    </row>
    <row r="361" spans="2:4" ht="15.75" customHeight="1" x14ac:dyDescent="0.3">
      <c r="B361" s="42"/>
      <c r="D361" s="2"/>
    </row>
    <row r="362" spans="2:4" ht="15.75" customHeight="1" x14ac:dyDescent="0.3">
      <c r="B362" s="42"/>
      <c r="D362" s="2"/>
    </row>
    <row r="363" spans="2:4" ht="15.75" customHeight="1" x14ac:dyDescent="0.3">
      <c r="B363" s="42"/>
      <c r="D363" s="2"/>
    </row>
    <row r="364" spans="2:4" ht="15.75" customHeight="1" x14ac:dyDescent="0.3">
      <c r="B364" s="42"/>
      <c r="D364" s="2"/>
    </row>
    <row r="365" spans="2:4" ht="15.75" customHeight="1" x14ac:dyDescent="0.3">
      <c r="B365" s="42"/>
      <c r="D365" s="2"/>
    </row>
    <row r="366" spans="2:4" ht="15.75" customHeight="1" x14ac:dyDescent="0.3">
      <c r="B366" s="42"/>
      <c r="D366" s="2"/>
    </row>
    <row r="367" spans="2:4" ht="15.75" customHeight="1" x14ac:dyDescent="0.3">
      <c r="B367" s="42"/>
      <c r="D367" s="2"/>
    </row>
    <row r="368" spans="2:4" ht="15.75" customHeight="1" x14ac:dyDescent="0.3">
      <c r="B368" s="42"/>
      <c r="D368" s="2"/>
    </row>
    <row r="369" spans="2:4" ht="15.75" customHeight="1" x14ac:dyDescent="0.3">
      <c r="B369" s="42"/>
      <c r="D369" s="2"/>
    </row>
    <row r="370" spans="2:4" ht="15.75" customHeight="1" x14ac:dyDescent="0.3">
      <c r="B370" s="42"/>
      <c r="D370" s="2"/>
    </row>
    <row r="371" spans="2:4" ht="15.75" customHeight="1" x14ac:dyDescent="0.3">
      <c r="B371" s="42"/>
      <c r="D371" s="2"/>
    </row>
    <row r="372" spans="2:4" ht="15.75" customHeight="1" x14ac:dyDescent="0.3">
      <c r="B372" s="42"/>
      <c r="D372" s="2"/>
    </row>
    <row r="373" spans="2:4" ht="15.75" customHeight="1" x14ac:dyDescent="0.3">
      <c r="B373" s="42"/>
      <c r="D373" s="2"/>
    </row>
    <row r="374" spans="2:4" ht="15.75" customHeight="1" x14ac:dyDescent="0.3">
      <c r="B374" s="42"/>
      <c r="D374" s="2"/>
    </row>
    <row r="375" spans="2:4" ht="15.75" customHeight="1" x14ac:dyDescent="0.3">
      <c r="B375" s="42"/>
      <c r="D375" s="2"/>
    </row>
    <row r="376" spans="2:4" ht="15.75" customHeight="1" x14ac:dyDescent="0.3">
      <c r="B376" s="42"/>
      <c r="D376" s="2"/>
    </row>
    <row r="377" spans="2:4" ht="15.75" customHeight="1" x14ac:dyDescent="0.3">
      <c r="B377" s="42"/>
      <c r="D377" s="2"/>
    </row>
    <row r="378" spans="2:4" ht="15.75" customHeight="1" x14ac:dyDescent="0.3">
      <c r="B378" s="42"/>
      <c r="D378" s="2"/>
    </row>
    <row r="379" spans="2:4" ht="15.75" customHeight="1" x14ac:dyDescent="0.3">
      <c r="B379" s="42"/>
      <c r="D379" s="2"/>
    </row>
    <row r="380" spans="2:4" ht="15.75" customHeight="1" x14ac:dyDescent="0.3">
      <c r="B380" s="42"/>
      <c r="D380" s="2"/>
    </row>
    <row r="381" spans="2:4" ht="15.75" customHeight="1" x14ac:dyDescent="0.3">
      <c r="B381" s="42"/>
      <c r="D381" s="2"/>
    </row>
    <row r="382" spans="2:4" ht="15.75" customHeight="1" x14ac:dyDescent="0.3">
      <c r="B382" s="42"/>
      <c r="D382" s="2"/>
    </row>
    <row r="383" spans="2:4" ht="15.75" customHeight="1" x14ac:dyDescent="0.3">
      <c r="B383" s="42"/>
      <c r="D383" s="2"/>
    </row>
    <row r="384" spans="2:4" ht="15.75" customHeight="1" x14ac:dyDescent="0.3">
      <c r="B384" s="42"/>
      <c r="D384" s="2"/>
    </row>
    <row r="385" spans="2:4" ht="15.75" customHeight="1" x14ac:dyDescent="0.3">
      <c r="B385" s="42"/>
      <c r="D385" s="2"/>
    </row>
    <row r="386" spans="2:4" ht="15.75" customHeight="1" x14ac:dyDescent="0.3">
      <c r="B386" s="42"/>
      <c r="D386" s="2"/>
    </row>
    <row r="387" spans="2:4" ht="15.75" customHeight="1" x14ac:dyDescent="0.3">
      <c r="B387" s="42"/>
      <c r="D387" s="2"/>
    </row>
    <row r="388" spans="2:4" ht="15.75" customHeight="1" x14ac:dyDescent="0.3">
      <c r="B388" s="42"/>
      <c r="D388" s="2"/>
    </row>
    <row r="389" spans="2:4" ht="15.75" customHeight="1" x14ac:dyDescent="0.3">
      <c r="B389" s="42"/>
      <c r="D389" s="2"/>
    </row>
    <row r="390" spans="2:4" ht="15.75" customHeight="1" x14ac:dyDescent="0.3">
      <c r="B390" s="42"/>
      <c r="D390" s="2"/>
    </row>
    <row r="391" spans="2:4" ht="15.75" customHeight="1" x14ac:dyDescent="0.3">
      <c r="B391" s="42"/>
      <c r="D391" s="2"/>
    </row>
    <row r="392" spans="2:4" ht="15.75" customHeight="1" x14ac:dyDescent="0.3">
      <c r="B392" s="42"/>
      <c r="D392" s="2"/>
    </row>
    <row r="393" spans="2:4" ht="15.75" customHeight="1" x14ac:dyDescent="0.3">
      <c r="B393" s="42"/>
      <c r="D393" s="2"/>
    </row>
    <row r="394" spans="2:4" ht="15.75" customHeight="1" x14ac:dyDescent="0.3">
      <c r="B394" s="42"/>
      <c r="D394" s="2"/>
    </row>
    <row r="395" spans="2:4" ht="15.75" customHeight="1" x14ac:dyDescent="0.3">
      <c r="B395" s="42"/>
      <c r="D395" s="2"/>
    </row>
    <row r="396" spans="2:4" ht="15.75" customHeight="1" x14ac:dyDescent="0.3">
      <c r="B396" s="42"/>
      <c r="D396" s="2"/>
    </row>
    <row r="397" spans="2:4" ht="15.75" customHeight="1" x14ac:dyDescent="0.3">
      <c r="B397" s="42"/>
      <c r="D397" s="2"/>
    </row>
    <row r="398" spans="2:4" ht="15.75" customHeight="1" x14ac:dyDescent="0.3">
      <c r="B398" s="42"/>
      <c r="D398" s="2"/>
    </row>
    <row r="399" spans="2:4" ht="15.75" customHeight="1" x14ac:dyDescent="0.3">
      <c r="B399" s="42"/>
      <c r="D399" s="2"/>
    </row>
    <row r="400" spans="2:4" ht="15.75" customHeight="1" x14ac:dyDescent="0.3">
      <c r="B400" s="42"/>
      <c r="D400" s="2"/>
    </row>
    <row r="401" spans="2:4" ht="15.75" customHeight="1" x14ac:dyDescent="0.3">
      <c r="B401" s="42"/>
      <c r="D401" s="2"/>
    </row>
    <row r="402" spans="2:4" ht="15.75" customHeight="1" x14ac:dyDescent="0.3">
      <c r="B402" s="42"/>
      <c r="D402" s="2"/>
    </row>
    <row r="403" spans="2:4" ht="15.75" customHeight="1" x14ac:dyDescent="0.3">
      <c r="B403" s="42"/>
      <c r="D403" s="2"/>
    </row>
    <row r="404" spans="2:4" ht="15.75" customHeight="1" x14ac:dyDescent="0.3">
      <c r="B404" s="42"/>
      <c r="D404" s="2"/>
    </row>
    <row r="405" spans="2:4" ht="15.75" customHeight="1" x14ac:dyDescent="0.3">
      <c r="B405" s="42"/>
      <c r="D405" s="2"/>
    </row>
    <row r="406" spans="2:4" ht="15.75" customHeight="1" x14ac:dyDescent="0.3">
      <c r="B406" s="42"/>
      <c r="D406" s="2"/>
    </row>
    <row r="407" spans="2:4" ht="15.75" customHeight="1" x14ac:dyDescent="0.3">
      <c r="B407" s="42"/>
      <c r="D407" s="2"/>
    </row>
    <row r="408" spans="2:4" ht="15.75" customHeight="1" x14ac:dyDescent="0.3">
      <c r="B408" s="42"/>
      <c r="D408" s="2"/>
    </row>
    <row r="409" spans="2:4" ht="15.75" customHeight="1" x14ac:dyDescent="0.3">
      <c r="B409" s="42"/>
      <c r="D409" s="2"/>
    </row>
    <row r="410" spans="2:4" ht="15.75" customHeight="1" x14ac:dyDescent="0.3">
      <c r="B410" s="42"/>
      <c r="D410" s="2"/>
    </row>
    <row r="411" spans="2:4" ht="15.75" customHeight="1" x14ac:dyDescent="0.3">
      <c r="B411" s="42"/>
      <c r="D411" s="2"/>
    </row>
    <row r="412" spans="2:4" ht="15.75" customHeight="1" x14ac:dyDescent="0.3">
      <c r="B412" s="42"/>
      <c r="D412" s="2"/>
    </row>
    <row r="413" spans="2:4" ht="15.75" customHeight="1" x14ac:dyDescent="0.3">
      <c r="B413" s="42"/>
      <c r="D413" s="2"/>
    </row>
    <row r="414" spans="2:4" ht="15.75" customHeight="1" x14ac:dyDescent="0.3">
      <c r="B414" s="42"/>
      <c r="D414" s="2"/>
    </row>
    <row r="415" spans="2:4" ht="15.75" customHeight="1" x14ac:dyDescent="0.3">
      <c r="B415" s="42"/>
      <c r="D415" s="2"/>
    </row>
    <row r="416" spans="2:4" ht="15.75" customHeight="1" x14ac:dyDescent="0.3">
      <c r="B416" s="42"/>
      <c r="D416" s="2"/>
    </row>
    <row r="417" spans="2:4" ht="15.75" customHeight="1" x14ac:dyDescent="0.3">
      <c r="B417" s="42"/>
      <c r="D417" s="2"/>
    </row>
    <row r="418" spans="2:4" ht="15.75" customHeight="1" x14ac:dyDescent="0.3">
      <c r="B418" s="42"/>
      <c r="D418" s="2"/>
    </row>
    <row r="419" spans="2:4" ht="15.75" customHeight="1" x14ac:dyDescent="0.3">
      <c r="B419" s="42"/>
      <c r="D419" s="2"/>
    </row>
    <row r="420" spans="2:4" ht="15.75" customHeight="1" x14ac:dyDescent="0.3">
      <c r="B420" s="42"/>
      <c r="D420" s="2"/>
    </row>
    <row r="421" spans="2:4" ht="15.75" customHeight="1" x14ac:dyDescent="0.3">
      <c r="B421" s="42"/>
      <c r="D421" s="2"/>
    </row>
    <row r="422" spans="2:4" ht="15.75" customHeight="1" x14ac:dyDescent="0.3">
      <c r="B422" s="42"/>
      <c r="D422" s="2"/>
    </row>
    <row r="423" spans="2:4" ht="15.75" customHeight="1" x14ac:dyDescent="0.3">
      <c r="B423" s="42"/>
      <c r="D423" s="2"/>
    </row>
    <row r="424" spans="2:4" ht="15.75" customHeight="1" x14ac:dyDescent="0.3">
      <c r="B424" s="42"/>
      <c r="D424" s="2"/>
    </row>
    <row r="425" spans="2:4" ht="15.75" customHeight="1" x14ac:dyDescent="0.3">
      <c r="B425" s="42"/>
      <c r="D425" s="2"/>
    </row>
    <row r="426" spans="2:4" ht="15.75" customHeight="1" x14ac:dyDescent="0.3">
      <c r="B426" s="42"/>
      <c r="D426" s="2"/>
    </row>
    <row r="427" spans="2:4" ht="15.75" customHeight="1" x14ac:dyDescent="0.3">
      <c r="B427" s="42"/>
      <c r="D427" s="2"/>
    </row>
    <row r="428" spans="2:4" ht="15.75" customHeight="1" x14ac:dyDescent="0.3">
      <c r="B428" s="42"/>
      <c r="D428" s="2"/>
    </row>
    <row r="429" spans="2:4" ht="15.75" customHeight="1" x14ac:dyDescent="0.3">
      <c r="B429" s="42"/>
      <c r="D429" s="2"/>
    </row>
    <row r="430" spans="2:4" ht="15.75" customHeight="1" x14ac:dyDescent="0.3">
      <c r="B430" s="42"/>
      <c r="D430" s="2"/>
    </row>
    <row r="431" spans="2:4" ht="15.75" customHeight="1" x14ac:dyDescent="0.3">
      <c r="B431" s="42"/>
      <c r="D431" s="2"/>
    </row>
    <row r="432" spans="2:4" ht="15.75" customHeight="1" x14ac:dyDescent="0.3">
      <c r="B432" s="42"/>
      <c r="D432" s="2"/>
    </row>
    <row r="433" spans="2:4" ht="15.75" customHeight="1" x14ac:dyDescent="0.3">
      <c r="B433" s="42"/>
      <c r="D433" s="2"/>
    </row>
    <row r="434" spans="2:4" ht="15.75" customHeight="1" x14ac:dyDescent="0.3">
      <c r="B434" s="42"/>
      <c r="D434" s="2"/>
    </row>
    <row r="435" spans="2:4" ht="15.75" customHeight="1" x14ac:dyDescent="0.3">
      <c r="B435" s="42"/>
      <c r="D435" s="2"/>
    </row>
    <row r="436" spans="2:4" ht="15.75" customHeight="1" x14ac:dyDescent="0.3">
      <c r="B436" s="42"/>
      <c r="D436" s="2"/>
    </row>
    <row r="437" spans="2:4" ht="15.75" customHeight="1" x14ac:dyDescent="0.3">
      <c r="B437" s="42"/>
      <c r="D437" s="2"/>
    </row>
    <row r="438" spans="2:4" ht="15.75" customHeight="1" x14ac:dyDescent="0.3">
      <c r="B438" s="42"/>
      <c r="D438" s="2"/>
    </row>
    <row r="439" spans="2:4" ht="15.75" customHeight="1" x14ac:dyDescent="0.3">
      <c r="B439" s="42"/>
      <c r="D439" s="2"/>
    </row>
    <row r="440" spans="2:4" ht="15.75" customHeight="1" x14ac:dyDescent="0.3">
      <c r="B440" s="42"/>
      <c r="D440" s="2"/>
    </row>
    <row r="441" spans="2:4" ht="15.75" customHeight="1" x14ac:dyDescent="0.3">
      <c r="B441" s="42"/>
      <c r="D441" s="2"/>
    </row>
    <row r="442" spans="2:4" ht="15.75" customHeight="1" x14ac:dyDescent="0.3">
      <c r="B442" s="42"/>
      <c r="D442" s="2"/>
    </row>
    <row r="443" spans="2:4" ht="15.75" customHeight="1" x14ac:dyDescent="0.3">
      <c r="B443" s="42"/>
      <c r="D443" s="2"/>
    </row>
    <row r="444" spans="2:4" ht="15.75" customHeight="1" x14ac:dyDescent="0.3">
      <c r="B444" s="42"/>
      <c r="D444" s="2"/>
    </row>
    <row r="445" spans="2:4" ht="15.75" customHeight="1" x14ac:dyDescent="0.3">
      <c r="B445" s="42"/>
      <c r="D445" s="2"/>
    </row>
    <row r="446" spans="2:4" ht="15.75" customHeight="1" x14ac:dyDescent="0.3">
      <c r="B446" s="42"/>
      <c r="D446" s="2"/>
    </row>
    <row r="447" spans="2:4" ht="15.75" customHeight="1" x14ac:dyDescent="0.3">
      <c r="B447" s="42"/>
      <c r="D447" s="2"/>
    </row>
    <row r="448" spans="2:4" ht="15.75" customHeight="1" x14ac:dyDescent="0.3">
      <c r="B448" s="42"/>
      <c r="D448" s="2"/>
    </row>
    <row r="449" spans="2:4" ht="15.75" customHeight="1" x14ac:dyDescent="0.3">
      <c r="B449" s="42"/>
      <c r="D449" s="2"/>
    </row>
    <row r="450" spans="2:4" ht="15.75" customHeight="1" x14ac:dyDescent="0.3">
      <c r="B450" s="42"/>
      <c r="D450" s="2"/>
    </row>
    <row r="451" spans="2:4" ht="15.75" customHeight="1" x14ac:dyDescent="0.3">
      <c r="B451" s="42"/>
      <c r="D451" s="2"/>
    </row>
    <row r="452" spans="2:4" ht="15.75" customHeight="1" x14ac:dyDescent="0.3">
      <c r="B452" s="42"/>
      <c r="D452" s="2"/>
    </row>
    <row r="453" spans="2:4" ht="15.75" customHeight="1" x14ac:dyDescent="0.3">
      <c r="B453" s="42"/>
      <c r="D453" s="2"/>
    </row>
    <row r="454" spans="2:4" ht="15.75" customHeight="1" x14ac:dyDescent="0.3">
      <c r="B454" s="42"/>
      <c r="D454" s="2"/>
    </row>
    <row r="455" spans="2:4" ht="15.75" customHeight="1" x14ac:dyDescent="0.3">
      <c r="B455" s="42"/>
      <c r="D455" s="2"/>
    </row>
    <row r="456" spans="2:4" ht="15.75" customHeight="1" x14ac:dyDescent="0.3">
      <c r="B456" s="42"/>
      <c r="D456" s="2"/>
    </row>
    <row r="457" spans="2:4" ht="15.75" customHeight="1" x14ac:dyDescent="0.3">
      <c r="B457" s="42"/>
      <c r="D457" s="2"/>
    </row>
    <row r="458" spans="2:4" ht="15.75" customHeight="1" x14ac:dyDescent="0.3">
      <c r="B458" s="42"/>
      <c r="D458" s="2"/>
    </row>
    <row r="459" spans="2:4" ht="15.75" customHeight="1" x14ac:dyDescent="0.3">
      <c r="B459" s="42"/>
      <c r="D459" s="2"/>
    </row>
    <row r="460" spans="2:4" ht="15.75" customHeight="1" x14ac:dyDescent="0.3">
      <c r="B460" s="42"/>
      <c r="D460" s="2"/>
    </row>
    <row r="461" spans="2:4" ht="15.75" customHeight="1" x14ac:dyDescent="0.3">
      <c r="B461" s="42"/>
      <c r="D461" s="2"/>
    </row>
    <row r="462" spans="2:4" ht="15.75" customHeight="1" x14ac:dyDescent="0.3">
      <c r="B462" s="42"/>
      <c r="D462" s="2"/>
    </row>
    <row r="463" spans="2:4" ht="15.75" customHeight="1" x14ac:dyDescent="0.3">
      <c r="B463" s="42"/>
      <c r="D463" s="2"/>
    </row>
    <row r="464" spans="2:4" ht="15.75" customHeight="1" x14ac:dyDescent="0.3">
      <c r="B464" s="42"/>
      <c r="D464" s="2"/>
    </row>
    <row r="465" spans="2:4" ht="15.75" customHeight="1" x14ac:dyDescent="0.3">
      <c r="B465" s="42"/>
      <c r="D465" s="2"/>
    </row>
    <row r="466" spans="2:4" ht="15.75" customHeight="1" x14ac:dyDescent="0.3">
      <c r="B466" s="42"/>
      <c r="D466" s="2"/>
    </row>
    <row r="467" spans="2:4" ht="15.75" customHeight="1" x14ac:dyDescent="0.3">
      <c r="B467" s="42"/>
      <c r="D467" s="2"/>
    </row>
    <row r="468" spans="2:4" ht="15.75" customHeight="1" x14ac:dyDescent="0.3">
      <c r="B468" s="42"/>
      <c r="D468" s="2"/>
    </row>
    <row r="469" spans="2:4" ht="15.75" customHeight="1" x14ac:dyDescent="0.3">
      <c r="B469" s="42"/>
      <c r="D469" s="2"/>
    </row>
    <row r="470" spans="2:4" ht="15.75" customHeight="1" x14ac:dyDescent="0.3">
      <c r="B470" s="42"/>
      <c r="D470" s="2"/>
    </row>
    <row r="471" spans="2:4" ht="15.75" customHeight="1" x14ac:dyDescent="0.3">
      <c r="B471" s="42"/>
      <c r="D471" s="2"/>
    </row>
    <row r="472" spans="2:4" ht="15.75" customHeight="1" x14ac:dyDescent="0.3">
      <c r="B472" s="42"/>
      <c r="D472" s="2"/>
    </row>
    <row r="473" spans="2:4" ht="15.75" customHeight="1" x14ac:dyDescent="0.3">
      <c r="B473" s="42"/>
      <c r="D473" s="2"/>
    </row>
    <row r="474" spans="2:4" ht="15.75" customHeight="1" x14ac:dyDescent="0.3">
      <c r="B474" s="42"/>
      <c r="D474" s="2"/>
    </row>
    <row r="475" spans="2:4" ht="15.75" customHeight="1" x14ac:dyDescent="0.3">
      <c r="B475" s="42"/>
      <c r="D475" s="2"/>
    </row>
    <row r="476" spans="2:4" ht="15.75" customHeight="1" x14ac:dyDescent="0.3">
      <c r="B476" s="42"/>
      <c r="D476" s="2"/>
    </row>
    <row r="477" spans="2:4" ht="15.75" customHeight="1" x14ac:dyDescent="0.3">
      <c r="B477" s="42"/>
      <c r="D477" s="2"/>
    </row>
    <row r="478" spans="2:4" ht="15.75" customHeight="1" x14ac:dyDescent="0.3">
      <c r="B478" s="42"/>
      <c r="D478" s="2"/>
    </row>
    <row r="479" spans="2:4" ht="15.75" customHeight="1" x14ac:dyDescent="0.3">
      <c r="B479" s="42"/>
      <c r="D479" s="2"/>
    </row>
    <row r="480" spans="2:4" ht="15.75" customHeight="1" x14ac:dyDescent="0.3">
      <c r="B480" s="42"/>
      <c r="D480" s="2"/>
    </row>
    <row r="481" spans="2:4" ht="15.75" customHeight="1" x14ac:dyDescent="0.3">
      <c r="B481" s="42"/>
      <c r="D481" s="2"/>
    </row>
    <row r="482" spans="2:4" ht="15.75" customHeight="1" x14ac:dyDescent="0.3">
      <c r="B482" s="42"/>
      <c r="D482" s="2"/>
    </row>
    <row r="483" spans="2:4" ht="15.75" customHeight="1" x14ac:dyDescent="0.3">
      <c r="B483" s="42"/>
      <c r="D483" s="2"/>
    </row>
    <row r="484" spans="2:4" ht="15.75" customHeight="1" x14ac:dyDescent="0.3">
      <c r="B484" s="42"/>
      <c r="D484" s="2"/>
    </row>
    <row r="485" spans="2:4" ht="15.75" customHeight="1" x14ac:dyDescent="0.3">
      <c r="B485" s="42"/>
      <c r="D485" s="2"/>
    </row>
    <row r="486" spans="2:4" ht="15.75" customHeight="1" x14ac:dyDescent="0.3">
      <c r="B486" s="42"/>
      <c r="D486" s="2"/>
    </row>
    <row r="487" spans="2:4" ht="15.75" customHeight="1" x14ac:dyDescent="0.3">
      <c r="B487" s="42"/>
      <c r="D487" s="2"/>
    </row>
    <row r="488" spans="2:4" ht="15.75" customHeight="1" x14ac:dyDescent="0.3">
      <c r="B488" s="42"/>
      <c r="D488" s="2"/>
    </row>
    <row r="489" spans="2:4" ht="15.75" customHeight="1" x14ac:dyDescent="0.3">
      <c r="B489" s="42"/>
      <c r="D489" s="2"/>
    </row>
    <row r="490" spans="2:4" ht="15.75" customHeight="1" x14ac:dyDescent="0.3">
      <c r="B490" s="42"/>
      <c r="D490" s="2"/>
    </row>
    <row r="491" spans="2:4" ht="15.75" customHeight="1" x14ac:dyDescent="0.3">
      <c r="B491" s="42"/>
      <c r="D491" s="2"/>
    </row>
    <row r="492" spans="2:4" ht="15.75" customHeight="1" x14ac:dyDescent="0.3">
      <c r="B492" s="42"/>
      <c r="D492" s="2"/>
    </row>
    <row r="493" spans="2:4" ht="15.75" customHeight="1" x14ac:dyDescent="0.3">
      <c r="B493" s="42"/>
      <c r="D493" s="2"/>
    </row>
    <row r="494" spans="2:4" ht="15.75" customHeight="1" x14ac:dyDescent="0.3">
      <c r="B494" s="42"/>
      <c r="D494" s="2"/>
    </row>
    <row r="495" spans="2:4" ht="15.75" customHeight="1" x14ac:dyDescent="0.3">
      <c r="B495" s="42"/>
      <c r="D495" s="2"/>
    </row>
    <row r="496" spans="2:4" ht="15.75" customHeight="1" x14ac:dyDescent="0.3">
      <c r="B496" s="42"/>
      <c r="D496" s="2"/>
    </row>
    <row r="497" spans="2:4" ht="15.75" customHeight="1" x14ac:dyDescent="0.3">
      <c r="B497" s="42"/>
      <c r="D497" s="2"/>
    </row>
    <row r="498" spans="2:4" ht="15.75" customHeight="1" x14ac:dyDescent="0.3">
      <c r="B498" s="42"/>
      <c r="D498" s="2"/>
    </row>
    <row r="499" spans="2:4" ht="15.75" customHeight="1" x14ac:dyDescent="0.3">
      <c r="B499" s="42"/>
      <c r="D499" s="2"/>
    </row>
    <row r="500" spans="2:4" ht="15.75" customHeight="1" x14ac:dyDescent="0.3">
      <c r="B500" s="42"/>
      <c r="D500" s="2"/>
    </row>
    <row r="501" spans="2:4" ht="15.75" customHeight="1" x14ac:dyDescent="0.3">
      <c r="B501" s="42"/>
      <c r="D501" s="2"/>
    </row>
    <row r="502" spans="2:4" ht="15.75" customHeight="1" x14ac:dyDescent="0.3">
      <c r="B502" s="42"/>
      <c r="D502" s="2"/>
    </row>
    <row r="503" spans="2:4" ht="15.75" customHeight="1" x14ac:dyDescent="0.3">
      <c r="B503" s="42"/>
      <c r="D503" s="2"/>
    </row>
    <row r="504" spans="2:4" ht="15.75" customHeight="1" x14ac:dyDescent="0.3">
      <c r="B504" s="42"/>
      <c r="D504" s="2"/>
    </row>
    <row r="505" spans="2:4" ht="15.75" customHeight="1" x14ac:dyDescent="0.3">
      <c r="B505" s="42"/>
      <c r="D505" s="2"/>
    </row>
    <row r="506" spans="2:4" ht="15.75" customHeight="1" x14ac:dyDescent="0.3">
      <c r="B506" s="42"/>
      <c r="D506" s="2"/>
    </row>
    <row r="507" spans="2:4" ht="15.75" customHeight="1" x14ac:dyDescent="0.3">
      <c r="B507" s="42"/>
      <c r="D507" s="2"/>
    </row>
    <row r="508" spans="2:4" ht="15.75" customHeight="1" x14ac:dyDescent="0.3">
      <c r="B508" s="42"/>
      <c r="D508" s="2"/>
    </row>
    <row r="509" spans="2:4" ht="15.75" customHeight="1" x14ac:dyDescent="0.3">
      <c r="B509" s="42"/>
      <c r="D509" s="2"/>
    </row>
    <row r="510" spans="2:4" ht="15.75" customHeight="1" x14ac:dyDescent="0.3">
      <c r="B510" s="42"/>
      <c r="D510" s="2"/>
    </row>
    <row r="511" spans="2:4" ht="15.75" customHeight="1" x14ac:dyDescent="0.3">
      <c r="B511" s="42"/>
      <c r="D511" s="2"/>
    </row>
    <row r="512" spans="2:4" ht="15.75" customHeight="1" x14ac:dyDescent="0.3">
      <c r="B512" s="42"/>
      <c r="D512" s="2"/>
    </row>
    <row r="513" spans="2:4" ht="15.75" customHeight="1" x14ac:dyDescent="0.3">
      <c r="B513" s="42"/>
      <c r="D513" s="2"/>
    </row>
    <row r="514" spans="2:4" ht="15.75" customHeight="1" x14ac:dyDescent="0.3">
      <c r="B514" s="42"/>
      <c r="D514" s="2"/>
    </row>
    <row r="515" spans="2:4" ht="15.75" customHeight="1" x14ac:dyDescent="0.3">
      <c r="B515" s="42"/>
      <c r="D515" s="2"/>
    </row>
    <row r="516" spans="2:4" ht="15.75" customHeight="1" x14ac:dyDescent="0.3">
      <c r="B516" s="42"/>
      <c r="D516" s="2"/>
    </row>
    <row r="517" spans="2:4" ht="15.75" customHeight="1" x14ac:dyDescent="0.3">
      <c r="B517" s="42"/>
      <c r="D517" s="2"/>
    </row>
    <row r="518" spans="2:4" ht="15.75" customHeight="1" x14ac:dyDescent="0.3">
      <c r="B518" s="42"/>
      <c r="D518" s="2"/>
    </row>
    <row r="519" spans="2:4" ht="15.75" customHeight="1" x14ac:dyDescent="0.3">
      <c r="B519" s="42"/>
      <c r="D519" s="2"/>
    </row>
    <row r="520" spans="2:4" ht="15.75" customHeight="1" x14ac:dyDescent="0.3">
      <c r="B520" s="42"/>
      <c r="D520" s="2"/>
    </row>
    <row r="521" spans="2:4" ht="15.75" customHeight="1" x14ac:dyDescent="0.3">
      <c r="B521" s="42"/>
      <c r="D521" s="2"/>
    </row>
    <row r="522" spans="2:4" ht="15.75" customHeight="1" x14ac:dyDescent="0.3">
      <c r="B522" s="42"/>
      <c r="D522" s="2"/>
    </row>
    <row r="523" spans="2:4" ht="15.75" customHeight="1" x14ac:dyDescent="0.3">
      <c r="B523" s="42"/>
      <c r="D523" s="2"/>
    </row>
    <row r="524" spans="2:4" ht="15.75" customHeight="1" x14ac:dyDescent="0.3">
      <c r="B524" s="42"/>
      <c r="D524" s="2"/>
    </row>
    <row r="525" spans="2:4" ht="15.75" customHeight="1" x14ac:dyDescent="0.3">
      <c r="B525" s="42"/>
      <c r="D525" s="2"/>
    </row>
    <row r="526" spans="2:4" ht="15.75" customHeight="1" x14ac:dyDescent="0.3">
      <c r="B526" s="42"/>
      <c r="D526" s="2"/>
    </row>
    <row r="527" spans="2:4" ht="15.75" customHeight="1" x14ac:dyDescent="0.3">
      <c r="B527" s="42"/>
      <c r="D527" s="2"/>
    </row>
    <row r="528" spans="2:4" ht="15.75" customHeight="1" x14ac:dyDescent="0.3">
      <c r="B528" s="42"/>
      <c r="D528" s="2"/>
    </row>
    <row r="529" spans="2:4" ht="15.75" customHeight="1" x14ac:dyDescent="0.3">
      <c r="B529" s="42"/>
      <c r="D529" s="2"/>
    </row>
    <row r="530" spans="2:4" ht="15.75" customHeight="1" x14ac:dyDescent="0.3">
      <c r="B530" s="42"/>
      <c r="D530" s="2"/>
    </row>
    <row r="531" spans="2:4" ht="15.75" customHeight="1" x14ac:dyDescent="0.3">
      <c r="B531" s="42"/>
      <c r="D531" s="2"/>
    </row>
    <row r="532" spans="2:4" ht="15.75" customHeight="1" x14ac:dyDescent="0.3">
      <c r="B532" s="42"/>
      <c r="D532" s="2"/>
    </row>
    <row r="533" spans="2:4" ht="15.75" customHeight="1" x14ac:dyDescent="0.3">
      <c r="B533" s="42"/>
      <c r="D533" s="2"/>
    </row>
    <row r="534" spans="2:4" ht="15.75" customHeight="1" x14ac:dyDescent="0.3">
      <c r="B534" s="42"/>
      <c r="D534" s="2"/>
    </row>
    <row r="535" spans="2:4" ht="15.75" customHeight="1" x14ac:dyDescent="0.3">
      <c r="B535" s="42"/>
      <c r="D535" s="2"/>
    </row>
    <row r="536" spans="2:4" ht="15.75" customHeight="1" x14ac:dyDescent="0.3">
      <c r="B536" s="42"/>
      <c r="D536" s="2"/>
    </row>
    <row r="537" spans="2:4" ht="15.75" customHeight="1" x14ac:dyDescent="0.3">
      <c r="B537" s="42"/>
      <c r="D537" s="2"/>
    </row>
    <row r="538" spans="2:4" ht="15.75" customHeight="1" x14ac:dyDescent="0.3">
      <c r="B538" s="42"/>
      <c r="D538" s="2"/>
    </row>
    <row r="539" spans="2:4" ht="15.75" customHeight="1" x14ac:dyDescent="0.3">
      <c r="B539" s="42"/>
      <c r="D539" s="2"/>
    </row>
    <row r="540" spans="2:4" ht="15.75" customHeight="1" x14ac:dyDescent="0.3">
      <c r="B540" s="42"/>
      <c r="D540" s="2"/>
    </row>
    <row r="541" spans="2:4" ht="15.75" customHeight="1" x14ac:dyDescent="0.3">
      <c r="B541" s="42"/>
      <c r="D541" s="2"/>
    </row>
    <row r="542" spans="2:4" ht="15.75" customHeight="1" x14ac:dyDescent="0.3">
      <c r="B542" s="42"/>
      <c r="D542" s="2"/>
    </row>
    <row r="543" spans="2:4" ht="15.75" customHeight="1" x14ac:dyDescent="0.3">
      <c r="B543" s="42"/>
      <c r="D543" s="2"/>
    </row>
    <row r="544" spans="2:4" ht="15.75" customHeight="1" x14ac:dyDescent="0.3">
      <c r="B544" s="42"/>
      <c r="D544" s="2"/>
    </row>
    <row r="545" spans="2:4" ht="15.75" customHeight="1" x14ac:dyDescent="0.3">
      <c r="B545" s="42"/>
      <c r="D545" s="2"/>
    </row>
    <row r="546" spans="2:4" ht="15.75" customHeight="1" x14ac:dyDescent="0.3">
      <c r="B546" s="42"/>
      <c r="D546" s="2"/>
    </row>
    <row r="547" spans="2:4" ht="15.75" customHeight="1" x14ac:dyDescent="0.3">
      <c r="B547" s="42"/>
      <c r="D547" s="2"/>
    </row>
    <row r="548" spans="2:4" ht="15.75" customHeight="1" x14ac:dyDescent="0.3">
      <c r="B548" s="42"/>
      <c r="D548" s="2"/>
    </row>
    <row r="549" spans="2:4" ht="15.75" customHeight="1" x14ac:dyDescent="0.3">
      <c r="B549" s="42"/>
      <c r="D549" s="2"/>
    </row>
    <row r="550" spans="2:4" ht="15.75" customHeight="1" x14ac:dyDescent="0.3">
      <c r="B550" s="42"/>
      <c r="D550" s="2"/>
    </row>
    <row r="551" spans="2:4" ht="15.75" customHeight="1" x14ac:dyDescent="0.3">
      <c r="B551" s="42"/>
      <c r="D551" s="2"/>
    </row>
    <row r="552" spans="2:4" ht="15.75" customHeight="1" x14ac:dyDescent="0.3">
      <c r="B552" s="42"/>
      <c r="D552" s="2"/>
    </row>
    <row r="553" spans="2:4" ht="15.75" customHeight="1" x14ac:dyDescent="0.3">
      <c r="B553" s="42"/>
      <c r="D553" s="2"/>
    </row>
    <row r="554" spans="2:4" ht="15.75" customHeight="1" x14ac:dyDescent="0.3">
      <c r="B554" s="42"/>
      <c r="D554" s="2"/>
    </row>
    <row r="555" spans="2:4" ht="15.75" customHeight="1" x14ac:dyDescent="0.3">
      <c r="B555" s="42"/>
      <c r="D555" s="2"/>
    </row>
    <row r="556" spans="2:4" ht="15.75" customHeight="1" x14ac:dyDescent="0.3">
      <c r="B556" s="42"/>
      <c r="D556" s="2"/>
    </row>
    <row r="557" spans="2:4" ht="15.75" customHeight="1" x14ac:dyDescent="0.3">
      <c r="B557" s="42"/>
      <c r="D557" s="2"/>
    </row>
    <row r="558" spans="2:4" ht="15.75" customHeight="1" x14ac:dyDescent="0.3">
      <c r="B558" s="42"/>
      <c r="D558" s="2"/>
    </row>
    <row r="559" spans="2:4" ht="15.75" customHeight="1" x14ac:dyDescent="0.3">
      <c r="B559" s="42"/>
      <c r="D559" s="2"/>
    </row>
    <row r="560" spans="2:4" ht="15.75" customHeight="1" x14ac:dyDescent="0.3">
      <c r="B560" s="42"/>
      <c r="D560" s="2"/>
    </row>
    <row r="561" spans="2:4" ht="15.75" customHeight="1" x14ac:dyDescent="0.3">
      <c r="B561" s="42"/>
      <c r="D561" s="2"/>
    </row>
    <row r="562" spans="2:4" ht="15.75" customHeight="1" x14ac:dyDescent="0.3">
      <c r="B562" s="42"/>
      <c r="D562" s="2"/>
    </row>
    <row r="563" spans="2:4" ht="15.75" customHeight="1" x14ac:dyDescent="0.3">
      <c r="B563" s="42"/>
      <c r="D563" s="2"/>
    </row>
    <row r="564" spans="2:4" ht="15.75" customHeight="1" x14ac:dyDescent="0.3">
      <c r="B564" s="42"/>
      <c r="D564" s="2"/>
    </row>
    <row r="565" spans="2:4" ht="15.75" customHeight="1" x14ac:dyDescent="0.3">
      <c r="B565" s="42"/>
      <c r="D565" s="2"/>
    </row>
    <row r="566" spans="2:4" ht="15.75" customHeight="1" x14ac:dyDescent="0.3">
      <c r="B566" s="42"/>
      <c r="D566" s="2"/>
    </row>
    <row r="567" spans="2:4" ht="15.75" customHeight="1" x14ac:dyDescent="0.3">
      <c r="B567" s="42"/>
      <c r="D567" s="2"/>
    </row>
    <row r="568" spans="2:4" ht="15.75" customHeight="1" x14ac:dyDescent="0.3">
      <c r="B568" s="42"/>
      <c r="D568" s="2"/>
    </row>
    <row r="569" spans="2:4" ht="15.75" customHeight="1" x14ac:dyDescent="0.3">
      <c r="B569" s="42"/>
      <c r="D569" s="2"/>
    </row>
    <row r="570" spans="2:4" ht="15.75" customHeight="1" x14ac:dyDescent="0.3">
      <c r="B570" s="42"/>
      <c r="D570" s="2"/>
    </row>
    <row r="571" spans="2:4" ht="15.75" customHeight="1" x14ac:dyDescent="0.3">
      <c r="B571" s="42"/>
      <c r="D571" s="2"/>
    </row>
    <row r="572" spans="2:4" ht="15.75" customHeight="1" x14ac:dyDescent="0.3">
      <c r="B572" s="42"/>
      <c r="D572" s="2"/>
    </row>
    <row r="573" spans="2:4" ht="15.75" customHeight="1" x14ac:dyDescent="0.3">
      <c r="B573" s="42"/>
      <c r="D573" s="2"/>
    </row>
    <row r="574" spans="2:4" ht="15.75" customHeight="1" x14ac:dyDescent="0.3">
      <c r="B574" s="42"/>
      <c r="D574" s="2"/>
    </row>
    <row r="575" spans="2:4" ht="15.75" customHeight="1" x14ac:dyDescent="0.3">
      <c r="B575" s="42"/>
      <c r="D575" s="2"/>
    </row>
    <row r="576" spans="2:4" ht="15.75" customHeight="1" x14ac:dyDescent="0.3">
      <c r="B576" s="42"/>
      <c r="D576" s="2"/>
    </row>
    <row r="577" spans="2:4" ht="15.75" customHeight="1" x14ac:dyDescent="0.3">
      <c r="B577" s="42"/>
      <c r="D577" s="2"/>
    </row>
    <row r="578" spans="2:4" ht="15.75" customHeight="1" x14ac:dyDescent="0.3">
      <c r="B578" s="42"/>
      <c r="D578" s="2"/>
    </row>
    <row r="579" spans="2:4" ht="15.75" customHeight="1" x14ac:dyDescent="0.3">
      <c r="B579" s="42"/>
      <c r="D579" s="2"/>
    </row>
    <row r="580" spans="2:4" ht="15.75" customHeight="1" x14ac:dyDescent="0.3">
      <c r="B580" s="42"/>
      <c r="D580" s="2"/>
    </row>
    <row r="581" spans="2:4" ht="15.75" customHeight="1" x14ac:dyDescent="0.3">
      <c r="B581" s="42"/>
      <c r="D581" s="2"/>
    </row>
    <row r="582" spans="2:4" ht="15.75" customHeight="1" x14ac:dyDescent="0.3">
      <c r="B582" s="42"/>
      <c r="D582" s="2"/>
    </row>
    <row r="583" spans="2:4" ht="15.75" customHeight="1" x14ac:dyDescent="0.3">
      <c r="B583" s="42"/>
      <c r="D583" s="2"/>
    </row>
    <row r="584" spans="2:4" ht="15.75" customHeight="1" x14ac:dyDescent="0.3">
      <c r="B584" s="42"/>
      <c r="D584" s="2"/>
    </row>
    <row r="585" spans="2:4" ht="15.75" customHeight="1" x14ac:dyDescent="0.3">
      <c r="B585" s="42"/>
      <c r="D585" s="2"/>
    </row>
    <row r="586" spans="2:4" ht="15.75" customHeight="1" x14ac:dyDescent="0.3">
      <c r="B586" s="42"/>
      <c r="D586" s="2"/>
    </row>
    <row r="587" spans="2:4" ht="15.75" customHeight="1" x14ac:dyDescent="0.3">
      <c r="B587" s="42"/>
      <c r="D587" s="2"/>
    </row>
    <row r="588" spans="2:4" ht="15.75" customHeight="1" x14ac:dyDescent="0.3">
      <c r="B588" s="42"/>
      <c r="D588" s="2"/>
    </row>
    <row r="589" spans="2:4" ht="15.75" customHeight="1" x14ac:dyDescent="0.3">
      <c r="B589" s="42"/>
      <c r="D589" s="2"/>
    </row>
    <row r="590" spans="2:4" ht="15.75" customHeight="1" x14ac:dyDescent="0.3">
      <c r="B590" s="42"/>
      <c r="D590" s="2"/>
    </row>
    <row r="591" spans="2:4" ht="15.75" customHeight="1" x14ac:dyDescent="0.3">
      <c r="B591" s="42"/>
      <c r="D591" s="2"/>
    </row>
    <row r="592" spans="2:4" ht="15.75" customHeight="1" x14ac:dyDescent="0.3">
      <c r="B592" s="42"/>
      <c r="D592" s="2"/>
    </row>
    <row r="593" spans="2:4" ht="15.75" customHeight="1" x14ac:dyDescent="0.3">
      <c r="B593" s="42"/>
      <c r="D593" s="2"/>
    </row>
    <row r="594" spans="2:4" ht="15.75" customHeight="1" x14ac:dyDescent="0.3">
      <c r="B594" s="42"/>
      <c r="D594" s="2"/>
    </row>
    <row r="595" spans="2:4" ht="15.75" customHeight="1" x14ac:dyDescent="0.3">
      <c r="B595" s="42"/>
      <c r="D595" s="2"/>
    </row>
    <row r="596" spans="2:4" ht="15.75" customHeight="1" x14ac:dyDescent="0.3">
      <c r="B596" s="42"/>
      <c r="D596" s="2"/>
    </row>
    <row r="597" spans="2:4" ht="15.75" customHeight="1" x14ac:dyDescent="0.3">
      <c r="B597" s="42"/>
      <c r="D597" s="2"/>
    </row>
    <row r="598" spans="2:4" ht="15.75" customHeight="1" x14ac:dyDescent="0.3">
      <c r="B598" s="42"/>
      <c r="D598" s="2"/>
    </row>
    <row r="599" spans="2:4" ht="15.75" customHeight="1" x14ac:dyDescent="0.3">
      <c r="B599" s="42"/>
      <c r="D599" s="2"/>
    </row>
    <row r="600" spans="2:4" ht="15.75" customHeight="1" x14ac:dyDescent="0.3">
      <c r="B600" s="42"/>
      <c r="D600" s="2"/>
    </row>
    <row r="601" spans="2:4" ht="15.75" customHeight="1" x14ac:dyDescent="0.3">
      <c r="B601" s="42"/>
      <c r="D601" s="2"/>
    </row>
    <row r="602" spans="2:4" ht="15.75" customHeight="1" x14ac:dyDescent="0.3">
      <c r="B602" s="42"/>
      <c r="D602" s="2"/>
    </row>
    <row r="603" spans="2:4" ht="15.75" customHeight="1" x14ac:dyDescent="0.3">
      <c r="B603" s="42"/>
      <c r="D603" s="2"/>
    </row>
    <row r="604" spans="2:4" ht="15.75" customHeight="1" x14ac:dyDescent="0.3">
      <c r="B604" s="42"/>
      <c r="D604" s="2"/>
    </row>
    <row r="605" spans="2:4" ht="15.75" customHeight="1" x14ac:dyDescent="0.3">
      <c r="B605" s="42"/>
      <c r="D605" s="2"/>
    </row>
    <row r="606" spans="2:4" ht="15.75" customHeight="1" x14ac:dyDescent="0.3">
      <c r="B606" s="42"/>
      <c r="D606" s="2"/>
    </row>
    <row r="607" spans="2:4" ht="15.75" customHeight="1" x14ac:dyDescent="0.3">
      <c r="B607" s="42"/>
      <c r="D607" s="2"/>
    </row>
    <row r="608" spans="2:4" ht="15.75" customHeight="1" x14ac:dyDescent="0.3">
      <c r="B608" s="42"/>
      <c r="D608" s="2"/>
    </row>
    <row r="609" spans="2:4" ht="15.75" customHeight="1" x14ac:dyDescent="0.3">
      <c r="B609" s="42"/>
      <c r="D609" s="2"/>
    </row>
    <row r="610" spans="2:4" ht="15.75" customHeight="1" x14ac:dyDescent="0.3">
      <c r="B610" s="42"/>
      <c r="D610" s="2"/>
    </row>
    <row r="611" spans="2:4" ht="15.75" customHeight="1" x14ac:dyDescent="0.3">
      <c r="B611" s="42"/>
      <c r="D611" s="2"/>
    </row>
    <row r="612" spans="2:4" ht="15.75" customHeight="1" x14ac:dyDescent="0.3">
      <c r="B612" s="42"/>
      <c r="D612" s="2"/>
    </row>
    <row r="613" spans="2:4" ht="15.75" customHeight="1" x14ac:dyDescent="0.3">
      <c r="B613" s="42"/>
      <c r="D613" s="2"/>
    </row>
    <row r="614" spans="2:4" ht="15.75" customHeight="1" x14ac:dyDescent="0.3">
      <c r="B614" s="42"/>
      <c r="D614" s="2"/>
    </row>
    <row r="615" spans="2:4" ht="15.75" customHeight="1" x14ac:dyDescent="0.3">
      <c r="B615" s="42"/>
      <c r="D615" s="2"/>
    </row>
    <row r="616" spans="2:4" ht="15.75" customHeight="1" x14ac:dyDescent="0.3">
      <c r="B616" s="42"/>
      <c r="D616" s="2"/>
    </row>
    <row r="617" spans="2:4" ht="15.75" customHeight="1" x14ac:dyDescent="0.3">
      <c r="B617" s="42"/>
      <c r="D617" s="2"/>
    </row>
    <row r="618" spans="2:4" ht="15.75" customHeight="1" x14ac:dyDescent="0.3">
      <c r="B618" s="42"/>
      <c r="D618" s="2"/>
    </row>
    <row r="619" spans="2:4" ht="15.75" customHeight="1" x14ac:dyDescent="0.3">
      <c r="B619" s="42"/>
      <c r="D619" s="2"/>
    </row>
    <row r="620" spans="2:4" ht="15.75" customHeight="1" x14ac:dyDescent="0.3">
      <c r="B620" s="42"/>
      <c r="D620" s="2"/>
    </row>
    <row r="621" spans="2:4" ht="15.75" customHeight="1" x14ac:dyDescent="0.3">
      <c r="B621" s="42"/>
      <c r="D621" s="2"/>
    </row>
    <row r="622" spans="2:4" ht="15.75" customHeight="1" x14ac:dyDescent="0.3">
      <c r="B622" s="42"/>
      <c r="D622" s="2"/>
    </row>
    <row r="623" spans="2:4" ht="15.75" customHeight="1" x14ac:dyDescent="0.3">
      <c r="B623" s="42"/>
      <c r="D623" s="2"/>
    </row>
    <row r="624" spans="2:4" ht="15.75" customHeight="1" x14ac:dyDescent="0.3">
      <c r="B624" s="42"/>
      <c r="D624" s="2"/>
    </row>
    <row r="625" spans="2:4" ht="15.75" customHeight="1" x14ac:dyDescent="0.3">
      <c r="B625" s="42"/>
      <c r="D625" s="2"/>
    </row>
    <row r="626" spans="2:4" ht="15.75" customHeight="1" x14ac:dyDescent="0.3">
      <c r="B626" s="42"/>
      <c r="D626" s="2"/>
    </row>
    <row r="627" spans="2:4" ht="15.75" customHeight="1" x14ac:dyDescent="0.3">
      <c r="B627" s="42"/>
      <c r="D627" s="2"/>
    </row>
    <row r="628" spans="2:4" ht="15.75" customHeight="1" x14ac:dyDescent="0.3">
      <c r="B628" s="42"/>
      <c r="D628" s="2"/>
    </row>
    <row r="629" spans="2:4" ht="15.75" customHeight="1" x14ac:dyDescent="0.3">
      <c r="B629" s="42"/>
      <c r="D629" s="2"/>
    </row>
    <row r="630" spans="2:4" ht="15.75" customHeight="1" x14ac:dyDescent="0.3">
      <c r="B630" s="42"/>
      <c r="D630" s="2"/>
    </row>
    <row r="631" spans="2:4" ht="15.75" customHeight="1" x14ac:dyDescent="0.3">
      <c r="B631" s="42"/>
      <c r="D631" s="2"/>
    </row>
    <row r="632" spans="2:4" ht="15.75" customHeight="1" x14ac:dyDescent="0.3">
      <c r="B632" s="42"/>
      <c r="D632" s="2"/>
    </row>
    <row r="633" spans="2:4" ht="15.75" customHeight="1" x14ac:dyDescent="0.3">
      <c r="B633" s="42"/>
      <c r="D633" s="2"/>
    </row>
    <row r="634" spans="2:4" ht="15.75" customHeight="1" x14ac:dyDescent="0.3">
      <c r="B634" s="42"/>
      <c r="D634" s="2"/>
    </row>
    <row r="635" spans="2:4" ht="15.75" customHeight="1" x14ac:dyDescent="0.3">
      <c r="B635" s="42"/>
      <c r="D635" s="2"/>
    </row>
    <row r="636" spans="2:4" ht="15.75" customHeight="1" x14ac:dyDescent="0.3">
      <c r="B636" s="42"/>
      <c r="D636" s="2"/>
    </row>
    <row r="637" spans="2:4" ht="15.75" customHeight="1" x14ac:dyDescent="0.3">
      <c r="B637" s="42"/>
      <c r="D637" s="2"/>
    </row>
    <row r="638" spans="2:4" ht="15.75" customHeight="1" x14ac:dyDescent="0.3">
      <c r="B638" s="42"/>
      <c r="D638" s="2"/>
    </row>
    <row r="639" spans="2:4" ht="15.75" customHeight="1" x14ac:dyDescent="0.3">
      <c r="B639" s="42"/>
      <c r="D639" s="2"/>
    </row>
    <row r="640" spans="2:4" ht="15.75" customHeight="1" x14ac:dyDescent="0.3">
      <c r="B640" s="42"/>
      <c r="D640" s="2"/>
    </row>
    <row r="641" spans="2:4" ht="15.75" customHeight="1" x14ac:dyDescent="0.3">
      <c r="B641" s="42"/>
      <c r="D641" s="2"/>
    </row>
    <row r="642" spans="2:4" ht="15.75" customHeight="1" x14ac:dyDescent="0.3">
      <c r="B642" s="42"/>
      <c r="D642" s="2"/>
    </row>
    <row r="643" spans="2:4" ht="15.75" customHeight="1" x14ac:dyDescent="0.3">
      <c r="B643" s="42"/>
      <c r="D643" s="2"/>
    </row>
    <row r="644" spans="2:4" ht="15.75" customHeight="1" x14ac:dyDescent="0.3">
      <c r="B644" s="42"/>
      <c r="D644" s="2"/>
    </row>
    <row r="645" spans="2:4" ht="15.75" customHeight="1" x14ac:dyDescent="0.3">
      <c r="B645" s="42"/>
      <c r="D645" s="2"/>
    </row>
    <row r="646" spans="2:4" ht="15.75" customHeight="1" x14ac:dyDescent="0.3">
      <c r="B646" s="42"/>
      <c r="D646" s="2"/>
    </row>
    <row r="647" spans="2:4" ht="15.75" customHeight="1" x14ac:dyDescent="0.3">
      <c r="B647" s="42"/>
      <c r="D647" s="2"/>
    </row>
    <row r="648" spans="2:4" ht="15.75" customHeight="1" x14ac:dyDescent="0.3">
      <c r="B648" s="42"/>
      <c r="D648" s="2"/>
    </row>
    <row r="649" spans="2:4" ht="15.75" customHeight="1" x14ac:dyDescent="0.3">
      <c r="B649" s="42"/>
      <c r="D649" s="2"/>
    </row>
    <row r="650" spans="2:4" ht="15.75" customHeight="1" x14ac:dyDescent="0.3">
      <c r="B650" s="42"/>
      <c r="D650" s="2"/>
    </row>
    <row r="651" spans="2:4" ht="15.75" customHeight="1" x14ac:dyDescent="0.3">
      <c r="B651" s="42"/>
      <c r="D651" s="2"/>
    </row>
    <row r="652" spans="2:4" ht="15.75" customHeight="1" x14ac:dyDescent="0.3">
      <c r="B652" s="42"/>
      <c r="D652" s="2"/>
    </row>
    <row r="653" spans="2:4" ht="15.75" customHeight="1" x14ac:dyDescent="0.3">
      <c r="B653" s="42"/>
      <c r="D653" s="2"/>
    </row>
    <row r="654" spans="2:4" ht="15.75" customHeight="1" x14ac:dyDescent="0.3">
      <c r="B654" s="42"/>
      <c r="D654" s="2"/>
    </row>
    <row r="655" spans="2:4" ht="15.75" customHeight="1" x14ac:dyDescent="0.3">
      <c r="B655" s="42"/>
      <c r="D655" s="2"/>
    </row>
    <row r="656" spans="2:4" ht="15.75" customHeight="1" x14ac:dyDescent="0.3">
      <c r="B656" s="42"/>
      <c r="D656" s="2"/>
    </row>
    <row r="657" spans="2:4" ht="15.75" customHeight="1" x14ac:dyDescent="0.3">
      <c r="B657" s="42"/>
      <c r="D657" s="2"/>
    </row>
    <row r="658" spans="2:4" ht="15.75" customHeight="1" x14ac:dyDescent="0.3">
      <c r="B658" s="42"/>
      <c r="D658" s="2"/>
    </row>
    <row r="659" spans="2:4" ht="15.75" customHeight="1" x14ac:dyDescent="0.3">
      <c r="B659" s="42"/>
      <c r="D659" s="2"/>
    </row>
    <row r="660" spans="2:4" ht="15.75" customHeight="1" x14ac:dyDescent="0.3">
      <c r="B660" s="42"/>
      <c r="D660" s="2"/>
    </row>
    <row r="661" spans="2:4" ht="15.75" customHeight="1" x14ac:dyDescent="0.3">
      <c r="B661" s="42"/>
      <c r="D661" s="2"/>
    </row>
    <row r="662" spans="2:4" ht="15.75" customHeight="1" x14ac:dyDescent="0.3">
      <c r="B662" s="42"/>
      <c r="D662" s="2"/>
    </row>
    <row r="663" spans="2:4" ht="15.75" customHeight="1" x14ac:dyDescent="0.3">
      <c r="B663" s="42"/>
      <c r="D663" s="2"/>
    </row>
    <row r="664" spans="2:4" ht="15.75" customHeight="1" x14ac:dyDescent="0.3">
      <c r="B664" s="42"/>
      <c r="D664" s="2"/>
    </row>
    <row r="665" spans="2:4" ht="15.75" customHeight="1" x14ac:dyDescent="0.3">
      <c r="B665" s="42"/>
      <c r="D665" s="2"/>
    </row>
    <row r="666" spans="2:4" ht="15.75" customHeight="1" x14ac:dyDescent="0.3">
      <c r="B666" s="42"/>
      <c r="D666" s="2"/>
    </row>
    <row r="667" spans="2:4" ht="15.75" customHeight="1" x14ac:dyDescent="0.3">
      <c r="B667" s="42"/>
      <c r="D667" s="2"/>
    </row>
    <row r="668" spans="2:4" ht="15.75" customHeight="1" x14ac:dyDescent="0.3">
      <c r="B668" s="42"/>
      <c r="D668" s="2"/>
    </row>
    <row r="669" spans="2:4" ht="15.75" customHeight="1" x14ac:dyDescent="0.3">
      <c r="B669" s="42"/>
      <c r="D669" s="2"/>
    </row>
    <row r="670" spans="2:4" ht="15.75" customHeight="1" x14ac:dyDescent="0.3">
      <c r="B670" s="42"/>
      <c r="D670" s="2"/>
    </row>
    <row r="671" spans="2:4" ht="15.75" customHeight="1" x14ac:dyDescent="0.3">
      <c r="B671" s="42"/>
      <c r="D671" s="2"/>
    </row>
    <row r="672" spans="2:4" ht="15.75" customHeight="1" x14ac:dyDescent="0.3">
      <c r="B672" s="42"/>
      <c r="D672" s="2"/>
    </row>
    <row r="673" spans="2:4" ht="15.75" customHeight="1" x14ac:dyDescent="0.3">
      <c r="B673" s="42"/>
      <c r="D673" s="2"/>
    </row>
    <row r="674" spans="2:4" ht="15.75" customHeight="1" x14ac:dyDescent="0.3">
      <c r="B674" s="42"/>
      <c r="D674" s="2"/>
    </row>
    <row r="675" spans="2:4" ht="15.75" customHeight="1" x14ac:dyDescent="0.3">
      <c r="B675" s="42"/>
      <c r="D675" s="2"/>
    </row>
    <row r="676" spans="2:4" ht="15.75" customHeight="1" x14ac:dyDescent="0.3">
      <c r="B676" s="42"/>
      <c r="D676" s="2"/>
    </row>
    <row r="677" spans="2:4" ht="15.75" customHeight="1" x14ac:dyDescent="0.3">
      <c r="B677" s="42"/>
      <c r="D677" s="2"/>
    </row>
    <row r="678" spans="2:4" ht="15.75" customHeight="1" x14ac:dyDescent="0.3">
      <c r="B678" s="42"/>
      <c r="D678" s="2"/>
    </row>
    <row r="679" spans="2:4" ht="15.75" customHeight="1" x14ac:dyDescent="0.3">
      <c r="B679" s="42"/>
      <c r="D679" s="2"/>
    </row>
    <row r="680" spans="2:4" ht="15.75" customHeight="1" x14ac:dyDescent="0.3">
      <c r="B680" s="42"/>
      <c r="D680" s="2"/>
    </row>
    <row r="681" spans="2:4" ht="15.75" customHeight="1" x14ac:dyDescent="0.3">
      <c r="B681" s="42"/>
      <c r="D681" s="2"/>
    </row>
    <row r="682" spans="2:4" ht="15.75" customHeight="1" x14ac:dyDescent="0.3">
      <c r="B682" s="42"/>
      <c r="D682" s="2"/>
    </row>
    <row r="683" spans="2:4" ht="15.75" customHeight="1" x14ac:dyDescent="0.3">
      <c r="B683" s="42"/>
      <c r="D683" s="2"/>
    </row>
    <row r="684" spans="2:4" ht="15.75" customHeight="1" x14ac:dyDescent="0.3">
      <c r="B684" s="42"/>
      <c r="D684" s="2"/>
    </row>
    <row r="685" spans="2:4" ht="15.75" customHeight="1" x14ac:dyDescent="0.3">
      <c r="B685" s="42"/>
      <c r="D685" s="2"/>
    </row>
    <row r="686" spans="2:4" ht="15.75" customHeight="1" x14ac:dyDescent="0.3">
      <c r="B686" s="42"/>
      <c r="D686" s="2"/>
    </row>
    <row r="687" spans="2:4" ht="15.75" customHeight="1" x14ac:dyDescent="0.3">
      <c r="B687" s="42"/>
      <c r="D687" s="2"/>
    </row>
    <row r="688" spans="2:4" ht="15.75" customHeight="1" x14ac:dyDescent="0.3">
      <c r="B688" s="42"/>
      <c r="D688" s="2"/>
    </row>
    <row r="689" spans="2:4" ht="15.75" customHeight="1" x14ac:dyDescent="0.3">
      <c r="B689" s="42"/>
      <c r="D689" s="2"/>
    </row>
    <row r="690" spans="2:4" ht="15.75" customHeight="1" x14ac:dyDescent="0.3">
      <c r="B690" s="42"/>
      <c r="D690" s="2"/>
    </row>
    <row r="691" spans="2:4" ht="15.75" customHeight="1" x14ac:dyDescent="0.3">
      <c r="B691" s="42"/>
      <c r="D691" s="2"/>
    </row>
    <row r="692" spans="2:4" ht="15.75" customHeight="1" x14ac:dyDescent="0.3">
      <c r="B692" s="42"/>
      <c r="D692" s="2"/>
    </row>
    <row r="693" spans="2:4" ht="15.75" customHeight="1" x14ac:dyDescent="0.3">
      <c r="B693" s="42"/>
      <c r="D693" s="2"/>
    </row>
    <row r="694" spans="2:4" ht="15.75" customHeight="1" x14ac:dyDescent="0.3">
      <c r="B694" s="42"/>
      <c r="D694" s="2"/>
    </row>
    <row r="695" spans="2:4" ht="15.75" customHeight="1" x14ac:dyDescent="0.3">
      <c r="B695" s="42"/>
      <c r="D695" s="2"/>
    </row>
    <row r="696" spans="2:4" ht="15.75" customHeight="1" x14ac:dyDescent="0.3">
      <c r="B696" s="42"/>
      <c r="D696" s="2"/>
    </row>
    <row r="697" spans="2:4" ht="15.75" customHeight="1" x14ac:dyDescent="0.3">
      <c r="B697" s="42"/>
      <c r="D697" s="2"/>
    </row>
    <row r="698" spans="2:4" ht="15.75" customHeight="1" x14ac:dyDescent="0.3">
      <c r="B698" s="42"/>
      <c r="D698" s="2"/>
    </row>
    <row r="699" spans="2:4" ht="15.75" customHeight="1" x14ac:dyDescent="0.3">
      <c r="B699" s="42"/>
      <c r="D699" s="2"/>
    </row>
    <row r="700" spans="2:4" ht="15.75" customHeight="1" x14ac:dyDescent="0.3">
      <c r="B700" s="42"/>
      <c r="D700" s="2"/>
    </row>
    <row r="701" spans="2:4" ht="15.75" customHeight="1" x14ac:dyDescent="0.3">
      <c r="B701" s="42"/>
      <c r="D701" s="2"/>
    </row>
    <row r="702" spans="2:4" ht="15.75" customHeight="1" x14ac:dyDescent="0.3">
      <c r="B702" s="42"/>
      <c r="D702" s="2"/>
    </row>
    <row r="703" spans="2:4" ht="15.75" customHeight="1" x14ac:dyDescent="0.3">
      <c r="B703" s="42"/>
      <c r="D703" s="2"/>
    </row>
    <row r="704" spans="2:4" ht="15.75" customHeight="1" x14ac:dyDescent="0.3">
      <c r="B704" s="42"/>
      <c r="D704" s="2"/>
    </row>
    <row r="705" spans="2:4" ht="15.75" customHeight="1" x14ac:dyDescent="0.3">
      <c r="B705" s="42"/>
      <c r="D705" s="2"/>
    </row>
    <row r="706" spans="2:4" ht="15.75" customHeight="1" x14ac:dyDescent="0.3">
      <c r="B706" s="42"/>
      <c r="D706" s="2"/>
    </row>
    <row r="707" spans="2:4" ht="15.75" customHeight="1" x14ac:dyDescent="0.3">
      <c r="B707" s="42"/>
      <c r="D707" s="2"/>
    </row>
    <row r="708" spans="2:4" ht="15.75" customHeight="1" x14ac:dyDescent="0.3">
      <c r="B708" s="42"/>
      <c r="D708" s="2"/>
    </row>
    <row r="709" spans="2:4" ht="15.75" customHeight="1" x14ac:dyDescent="0.3">
      <c r="B709" s="42"/>
      <c r="D709" s="2"/>
    </row>
    <row r="710" spans="2:4" ht="15.75" customHeight="1" x14ac:dyDescent="0.3">
      <c r="B710" s="42"/>
      <c r="D710" s="2"/>
    </row>
    <row r="711" spans="2:4" ht="15.75" customHeight="1" x14ac:dyDescent="0.3">
      <c r="B711" s="42"/>
      <c r="D711" s="2"/>
    </row>
    <row r="712" spans="2:4" ht="15.75" customHeight="1" x14ac:dyDescent="0.3">
      <c r="B712" s="42"/>
      <c r="D712" s="2"/>
    </row>
    <row r="713" spans="2:4" ht="15.75" customHeight="1" x14ac:dyDescent="0.3">
      <c r="B713" s="42"/>
      <c r="D713" s="2"/>
    </row>
    <row r="714" spans="2:4" ht="15.75" customHeight="1" x14ac:dyDescent="0.3">
      <c r="B714" s="42"/>
      <c r="D714" s="2"/>
    </row>
    <row r="715" spans="2:4" ht="15.75" customHeight="1" x14ac:dyDescent="0.3">
      <c r="B715" s="42"/>
      <c r="D715" s="2"/>
    </row>
    <row r="716" spans="2:4" ht="15.75" customHeight="1" x14ac:dyDescent="0.3">
      <c r="B716" s="42"/>
      <c r="D716" s="2"/>
    </row>
    <row r="717" spans="2:4" ht="15.75" customHeight="1" x14ac:dyDescent="0.3">
      <c r="B717" s="42"/>
      <c r="D717" s="2"/>
    </row>
    <row r="718" spans="2:4" ht="15.75" customHeight="1" x14ac:dyDescent="0.3">
      <c r="B718" s="42"/>
      <c r="D718" s="2"/>
    </row>
    <row r="719" spans="2:4" ht="15.75" customHeight="1" x14ac:dyDescent="0.3">
      <c r="B719" s="42"/>
      <c r="D719" s="2"/>
    </row>
    <row r="720" spans="2:4" ht="15.75" customHeight="1" x14ac:dyDescent="0.3">
      <c r="B720" s="42"/>
      <c r="D720" s="2"/>
    </row>
    <row r="721" spans="2:4" ht="15.75" customHeight="1" x14ac:dyDescent="0.3">
      <c r="B721" s="42"/>
      <c r="D721" s="2"/>
    </row>
    <row r="722" spans="2:4" ht="15.75" customHeight="1" x14ac:dyDescent="0.3">
      <c r="B722" s="42"/>
      <c r="D722" s="2"/>
    </row>
    <row r="723" spans="2:4" ht="15.75" customHeight="1" x14ac:dyDescent="0.3">
      <c r="B723" s="42"/>
      <c r="D723" s="2"/>
    </row>
    <row r="724" spans="2:4" ht="15.75" customHeight="1" x14ac:dyDescent="0.3">
      <c r="B724" s="42"/>
      <c r="D724" s="2"/>
    </row>
    <row r="725" spans="2:4" ht="15.75" customHeight="1" x14ac:dyDescent="0.3">
      <c r="B725" s="42"/>
      <c r="D725" s="2"/>
    </row>
    <row r="726" spans="2:4" ht="15.75" customHeight="1" x14ac:dyDescent="0.3">
      <c r="B726" s="42"/>
      <c r="D726" s="2"/>
    </row>
    <row r="727" spans="2:4" ht="15.75" customHeight="1" x14ac:dyDescent="0.3">
      <c r="B727" s="42"/>
      <c r="D727" s="2"/>
    </row>
    <row r="728" spans="2:4" ht="15.75" customHeight="1" x14ac:dyDescent="0.3">
      <c r="B728" s="42"/>
      <c r="D728" s="2"/>
    </row>
    <row r="729" spans="2:4" ht="15.75" customHeight="1" x14ac:dyDescent="0.3">
      <c r="B729" s="42"/>
      <c r="D729" s="2"/>
    </row>
    <row r="730" spans="2:4" ht="15.75" customHeight="1" x14ac:dyDescent="0.3">
      <c r="B730" s="42"/>
      <c r="D730" s="2"/>
    </row>
    <row r="731" spans="2:4" ht="15.75" customHeight="1" x14ac:dyDescent="0.3">
      <c r="B731" s="42"/>
      <c r="D731" s="2"/>
    </row>
    <row r="732" spans="2:4" ht="15.75" customHeight="1" x14ac:dyDescent="0.3">
      <c r="B732" s="42"/>
      <c r="D732" s="2"/>
    </row>
    <row r="733" spans="2:4" ht="15.75" customHeight="1" x14ac:dyDescent="0.3">
      <c r="B733" s="42"/>
      <c r="D733" s="2"/>
    </row>
    <row r="734" spans="2:4" ht="15.75" customHeight="1" x14ac:dyDescent="0.3">
      <c r="B734" s="42"/>
      <c r="D734" s="2"/>
    </row>
    <row r="735" spans="2:4" ht="15.75" customHeight="1" x14ac:dyDescent="0.3">
      <c r="B735" s="42"/>
      <c r="D735" s="2"/>
    </row>
    <row r="736" spans="2:4" ht="15.75" customHeight="1" x14ac:dyDescent="0.3">
      <c r="B736" s="42"/>
      <c r="D736" s="2"/>
    </row>
    <row r="737" spans="2:4" ht="15.75" customHeight="1" x14ac:dyDescent="0.3">
      <c r="B737" s="42"/>
      <c r="D737" s="2"/>
    </row>
    <row r="738" spans="2:4" ht="15.75" customHeight="1" x14ac:dyDescent="0.3">
      <c r="B738" s="42"/>
      <c r="D738" s="2"/>
    </row>
    <row r="739" spans="2:4" ht="15.75" customHeight="1" x14ac:dyDescent="0.3">
      <c r="B739" s="42"/>
      <c r="D739" s="2"/>
    </row>
    <row r="740" spans="2:4" ht="15.75" customHeight="1" x14ac:dyDescent="0.3">
      <c r="B740" s="42"/>
      <c r="D740" s="2"/>
    </row>
    <row r="741" spans="2:4" ht="15.75" customHeight="1" x14ac:dyDescent="0.3">
      <c r="B741" s="42"/>
      <c r="D741" s="2"/>
    </row>
    <row r="742" spans="2:4" ht="15.75" customHeight="1" x14ac:dyDescent="0.3">
      <c r="B742" s="42"/>
      <c r="D742" s="2"/>
    </row>
    <row r="743" spans="2:4" ht="15.75" customHeight="1" x14ac:dyDescent="0.3">
      <c r="B743" s="42"/>
      <c r="D743" s="2"/>
    </row>
    <row r="744" spans="2:4" ht="15.75" customHeight="1" x14ac:dyDescent="0.3">
      <c r="B744" s="42"/>
      <c r="D744" s="2"/>
    </row>
    <row r="745" spans="2:4" ht="15.75" customHeight="1" x14ac:dyDescent="0.3">
      <c r="B745" s="42"/>
      <c r="D745" s="2"/>
    </row>
    <row r="746" spans="2:4" ht="15.75" customHeight="1" x14ac:dyDescent="0.3">
      <c r="B746" s="42"/>
      <c r="D746" s="2"/>
    </row>
    <row r="747" spans="2:4" ht="15.75" customHeight="1" x14ac:dyDescent="0.3">
      <c r="B747" s="42"/>
      <c r="D747" s="2"/>
    </row>
    <row r="748" spans="2:4" ht="15.75" customHeight="1" x14ac:dyDescent="0.3">
      <c r="B748" s="42"/>
      <c r="D748" s="2"/>
    </row>
    <row r="749" spans="2:4" ht="15.75" customHeight="1" x14ac:dyDescent="0.3">
      <c r="B749" s="42"/>
      <c r="D749" s="2"/>
    </row>
    <row r="750" spans="2:4" ht="15.75" customHeight="1" x14ac:dyDescent="0.3">
      <c r="B750" s="42"/>
      <c r="D750" s="2"/>
    </row>
    <row r="751" spans="2:4" ht="15.75" customHeight="1" x14ac:dyDescent="0.3">
      <c r="B751" s="42"/>
      <c r="D751" s="2"/>
    </row>
    <row r="752" spans="2:4" ht="15.75" customHeight="1" x14ac:dyDescent="0.3">
      <c r="B752" s="42"/>
      <c r="D752" s="2"/>
    </row>
    <row r="753" spans="2:4" ht="15.75" customHeight="1" x14ac:dyDescent="0.3">
      <c r="B753" s="42"/>
      <c r="D753" s="2"/>
    </row>
    <row r="754" spans="2:4" ht="15.75" customHeight="1" x14ac:dyDescent="0.3">
      <c r="B754" s="42"/>
      <c r="D754" s="2"/>
    </row>
    <row r="755" spans="2:4" ht="15.75" customHeight="1" x14ac:dyDescent="0.3">
      <c r="B755" s="42"/>
      <c r="D755" s="2"/>
    </row>
    <row r="756" spans="2:4" ht="15.75" customHeight="1" x14ac:dyDescent="0.3">
      <c r="B756" s="42"/>
      <c r="D756" s="2"/>
    </row>
    <row r="757" spans="2:4" ht="15.75" customHeight="1" x14ac:dyDescent="0.3">
      <c r="B757" s="42"/>
      <c r="D757" s="2"/>
    </row>
    <row r="758" spans="2:4" ht="15.75" customHeight="1" x14ac:dyDescent="0.3">
      <c r="B758" s="42"/>
      <c r="D758" s="2"/>
    </row>
    <row r="759" spans="2:4" ht="15.75" customHeight="1" x14ac:dyDescent="0.3">
      <c r="B759" s="42"/>
      <c r="D759" s="2"/>
    </row>
    <row r="760" spans="2:4" ht="15.75" customHeight="1" x14ac:dyDescent="0.3">
      <c r="B760" s="42"/>
      <c r="D760" s="2"/>
    </row>
    <row r="761" spans="2:4" ht="15.75" customHeight="1" x14ac:dyDescent="0.3">
      <c r="B761" s="42"/>
      <c r="D761" s="2"/>
    </row>
    <row r="762" spans="2:4" ht="15.75" customHeight="1" x14ac:dyDescent="0.3">
      <c r="B762" s="42"/>
      <c r="D762" s="2"/>
    </row>
    <row r="763" spans="2:4" ht="15.75" customHeight="1" x14ac:dyDescent="0.3">
      <c r="B763" s="42"/>
      <c r="D763" s="2"/>
    </row>
    <row r="764" spans="2:4" ht="15.75" customHeight="1" x14ac:dyDescent="0.3">
      <c r="B764" s="42"/>
      <c r="D764" s="2"/>
    </row>
    <row r="765" spans="2:4" ht="15.75" customHeight="1" x14ac:dyDescent="0.3">
      <c r="B765" s="42"/>
      <c r="D765" s="2"/>
    </row>
    <row r="766" spans="2:4" ht="15.75" customHeight="1" x14ac:dyDescent="0.3">
      <c r="B766" s="42"/>
      <c r="D766" s="2"/>
    </row>
    <row r="767" spans="2:4" ht="15.75" customHeight="1" x14ac:dyDescent="0.3">
      <c r="B767" s="42"/>
      <c r="D767" s="2"/>
    </row>
    <row r="768" spans="2:4" ht="15.75" customHeight="1" x14ac:dyDescent="0.3">
      <c r="B768" s="42"/>
      <c r="D768" s="2"/>
    </row>
    <row r="769" spans="2:4" ht="15.75" customHeight="1" x14ac:dyDescent="0.3">
      <c r="B769" s="42"/>
      <c r="D769" s="2"/>
    </row>
    <row r="770" spans="2:4" ht="15.75" customHeight="1" x14ac:dyDescent="0.3">
      <c r="B770" s="42"/>
      <c r="D770" s="2"/>
    </row>
    <row r="771" spans="2:4" ht="15.75" customHeight="1" x14ac:dyDescent="0.3">
      <c r="B771" s="42"/>
      <c r="D771" s="2"/>
    </row>
    <row r="772" spans="2:4" ht="15.75" customHeight="1" x14ac:dyDescent="0.3">
      <c r="B772" s="42"/>
      <c r="D772" s="2"/>
    </row>
    <row r="773" spans="2:4" ht="15.75" customHeight="1" x14ac:dyDescent="0.3">
      <c r="B773" s="42"/>
      <c r="D773" s="2"/>
    </row>
    <row r="774" spans="2:4" ht="15.75" customHeight="1" x14ac:dyDescent="0.3">
      <c r="B774" s="42"/>
      <c r="D774" s="2"/>
    </row>
    <row r="775" spans="2:4" ht="15.75" customHeight="1" x14ac:dyDescent="0.3">
      <c r="B775" s="42"/>
      <c r="D775" s="2"/>
    </row>
    <row r="776" spans="2:4" ht="15.75" customHeight="1" x14ac:dyDescent="0.3">
      <c r="B776" s="42"/>
      <c r="D776" s="2"/>
    </row>
    <row r="777" spans="2:4" ht="15.75" customHeight="1" x14ac:dyDescent="0.3">
      <c r="B777" s="42"/>
      <c r="D777" s="2"/>
    </row>
    <row r="778" spans="2:4" ht="15.75" customHeight="1" x14ac:dyDescent="0.3">
      <c r="B778" s="42"/>
      <c r="D778" s="2"/>
    </row>
    <row r="779" spans="2:4" ht="15.75" customHeight="1" x14ac:dyDescent="0.3">
      <c r="B779" s="42"/>
      <c r="D779" s="2"/>
    </row>
    <row r="780" spans="2:4" ht="15.75" customHeight="1" x14ac:dyDescent="0.3">
      <c r="B780" s="42"/>
      <c r="D780" s="2"/>
    </row>
    <row r="781" spans="2:4" ht="15.75" customHeight="1" x14ac:dyDescent="0.3">
      <c r="B781" s="42"/>
      <c r="D781" s="2"/>
    </row>
    <row r="782" spans="2:4" ht="15.75" customHeight="1" x14ac:dyDescent="0.3">
      <c r="B782" s="42"/>
      <c r="D782" s="2"/>
    </row>
    <row r="783" spans="2:4" ht="15.75" customHeight="1" x14ac:dyDescent="0.3">
      <c r="B783" s="42"/>
      <c r="D783" s="2"/>
    </row>
    <row r="784" spans="2:4" ht="15.75" customHeight="1" x14ac:dyDescent="0.3">
      <c r="B784" s="42"/>
      <c r="D784" s="2"/>
    </row>
    <row r="785" spans="2:4" ht="15.75" customHeight="1" x14ac:dyDescent="0.3">
      <c r="B785" s="42"/>
      <c r="D785" s="2"/>
    </row>
    <row r="786" spans="2:4" ht="15.75" customHeight="1" x14ac:dyDescent="0.3">
      <c r="B786" s="42"/>
      <c r="D786" s="2"/>
    </row>
    <row r="787" spans="2:4" ht="15.75" customHeight="1" x14ac:dyDescent="0.3">
      <c r="B787" s="42"/>
      <c r="D787" s="2"/>
    </row>
    <row r="788" spans="2:4" ht="15.75" customHeight="1" x14ac:dyDescent="0.3">
      <c r="B788" s="42"/>
      <c r="D788" s="2"/>
    </row>
    <row r="789" spans="2:4" ht="15.75" customHeight="1" x14ac:dyDescent="0.3">
      <c r="B789" s="42"/>
      <c r="D789" s="2"/>
    </row>
    <row r="790" spans="2:4" ht="15.75" customHeight="1" x14ac:dyDescent="0.3">
      <c r="B790" s="42"/>
      <c r="D790" s="2"/>
    </row>
    <row r="791" spans="2:4" ht="15.75" customHeight="1" x14ac:dyDescent="0.3">
      <c r="B791" s="42"/>
      <c r="D791" s="2"/>
    </row>
    <row r="792" spans="2:4" ht="15.75" customHeight="1" x14ac:dyDescent="0.3">
      <c r="B792" s="42"/>
      <c r="D792" s="2"/>
    </row>
    <row r="793" spans="2:4" ht="15.75" customHeight="1" x14ac:dyDescent="0.3">
      <c r="B793" s="42"/>
      <c r="D793" s="2"/>
    </row>
    <row r="794" spans="2:4" ht="15.75" customHeight="1" x14ac:dyDescent="0.3">
      <c r="B794" s="42"/>
      <c r="D794" s="2"/>
    </row>
    <row r="795" spans="2:4" ht="15.75" customHeight="1" x14ac:dyDescent="0.3">
      <c r="B795" s="42"/>
      <c r="D795" s="2"/>
    </row>
    <row r="796" spans="2:4" ht="15.75" customHeight="1" x14ac:dyDescent="0.3">
      <c r="B796" s="42"/>
      <c r="D796" s="2"/>
    </row>
    <row r="797" spans="2:4" ht="15.75" customHeight="1" x14ac:dyDescent="0.3">
      <c r="B797" s="42"/>
      <c r="D797" s="2"/>
    </row>
    <row r="798" spans="2:4" ht="15.75" customHeight="1" x14ac:dyDescent="0.3">
      <c r="B798" s="42"/>
      <c r="D798" s="2"/>
    </row>
    <row r="799" spans="2:4" ht="15.75" customHeight="1" x14ac:dyDescent="0.3">
      <c r="B799" s="42"/>
      <c r="D799" s="2"/>
    </row>
    <row r="800" spans="2:4" ht="15.75" customHeight="1" x14ac:dyDescent="0.3">
      <c r="B800" s="42"/>
      <c r="D800" s="2"/>
    </row>
    <row r="801" spans="2:4" ht="15.75" customHeight="1" x14ac:dyDescent="0.3">
      <c r="B801" s="42"/>
      <c r="D801" s="2"/>
    </row>
    <row r="802" spans="2:4" ht="15.75" customHeight="1" x14ac:dyDescent="0.3">
      <c r="B802" s="42"/>
      <c r="D802" s="2"/>
    </row>
    <row r="803" spans="2:4" ht="15.75" customHeight="1" x14ac:dyDescent="0.3">
      <c r="B803" s="42"/>
      <c r="D803" s="2"/>
    </row>
    <row r="804" spans="2:4" ht="15.75" customHeight="1" x14ac:dyDescent="0.3">
      <c r="B804" s="42"/>
      <c r="D804" s="2"/>
    </row>
    <row r="805" spans="2:4" ht="15.75" customHeight="1" x14ac:dyDescent="0.3">
      <c r="B805" s="42"/>
      <c r="D805" s="2"/>
    </row>
    <row r="806" spans="2:4" ht="15.75" customHeight="1" x14ac:dyDescent="0.3">
      <c r="B806" s="42"/>
      <c r="D806" s="2"/>
    </row>
    <row r="807" spans="2:4" ht="15.75" customHeight="1" x14ac:dyDescent="0.3">
      <c r="B807" s="42"/>
      <c r="D807" s="2"/>
    </row>
    <row r="808" spans="2:4" ht="15.75" customHeight="1" x14ac:dyDescent="0.3">
      <c r="B808" s="42"/>
      <c r="D808" s="2"/>
    </row>
    <row r="809" spans="2:4" ht="15.75" customHeight="1" x14ac:dyDescent="0.3">
      <c r="B809" s="42"/>
      <c r="D809" s="2"/>
    </row>
    <row r="810" spans="2:4" ht="15.75" customHeight="1" x14ac:dyDescent="0.3">
      <c r="B810" s="42"/>
      <c r="D810" s="2"/>
    </row>
    <row r="811" spans="2:4" ht="15.75" customHeight="1" x14ac:dyDescent="0.3">
      <c r="B811" s="42"/>
      <c r="D811" s="2"/>
    </row>
    <row r="812" spans="2:4" ht="15.75" customHeight="1" x14ac:dyDescent="0.3">
      <c r="B812" s="42"/>
      <c r="D812" s="2"/>
    </row>
    <row r="813" spans="2:4" ht="15.75" customHeight="1" x14ac:dyDescent="0.3">
      <c r="B813" s="42"/>
      <c r="D813" s="2"/>
    </row>
    <row r="814" spans="2:4" ht="15.75" customHeight="1" x14ac:dyDescent="0.3">
      <c r="B814" s="42"/>
      <c r="D814" s="2"/>
    </row>
    <row r="815" spans="2:4" ht="15.75" customHeight="1" x14ac:dyDescent="0.3">
      <c r="B815" s="42"/>
      <c r="D815" s="2"/>
    </row>
    <row r="816" spans="2:4" ht="15.75" customHeight="1" x14ac:dyDescent="0.3">
      <c r="B816" s="42"/>
      <c r="D816" s="2"/>
    </row>
    <row r="817" spans="2:4" ht="15.75" customHeight="1" x14ac:dyDescent="0.3">
      <c r="B817" s="42"/>
      <c r="D817" s="2"/>
    </row>
    <row r="818" spans="2:4" ht="15.75" customHeight="1" x14ac:dyDescent="0.3">
      <c r="B818" s="42"/>
      <c r="D818" s="2"/>
    </row>
    <row r="819" spans="2:4" ht="15.75" customHeight="1" x14ac:dyDescent="0.3">
      <c r="B819" s="42"/>
      <c r="D819" s="2"/>
    </row>
    <row r="820" spans="2:4" ht="15.75" customHeight="1" x14ac:dyDescent="0.3">
      <c r="B820" s="42"/>
      <c r="D820" s="2"/>
    </row>
    <row r="821" spans="2:4" ht="15.75" customHeight="1" x14ac:dyDescent="0.3">
      <c r="B821" s="42"/>
      <c r="D821" s="2"/>
    </row>
    <row r="822" spans="2:4" ht="15.75" customHeight="1" x14ac:dyDescent="0.3">
      <c r="B822" s="42"/>
      <c r="D822" s="2"/>
    </row>
    <row r="823" spans="2:4" ht="15.75" customHeight="1" x14ac:dyDescent="0.3">
      <c r="B823" s="42"/>
      <c r="D823" s="2"/>
    </row>
    <row r="824" spans="2:4" ht="15.75" customHeight="1" x14ac:dyDescent="0.3">
      <c r="B824" s="42"/>
      <c r="D824" s="2"/>
    </row>
    <row r="825" spans="2:4" ht="15.75" customHeight="1" x14ac:dyDescent="0.3">
      <c r="B825" s="42"/>
      <c r="D825" s="2"/>
    </row>
    <row r="826" spans="2:4" ht="15.75" customHeight="1" x14ac:dyDescent="0.3">
      <c r="B826" s="42"/>
      <c r="D826" s="2"/>
    </row>
    <row r="827" spans="2:4" ht="15.75" customHeight="1" x14ac:dyDescent="0.3">
      <c r="B827" s="42"/>
      <c r="D827" s="2"/>
    </row>
    <row r="828" spans="2:4" ht="15.75" customHeight="1" x14ac:dyDescent="0.3">
      <c r="B828" s="42"/>
      <c r="D828" s="2"/>
    </row>
    <row r="829" spans="2:4" ht="15.75" customHeight="1" x14ac:dyDescent="0.3">
      <c r="B829" s="42"/>
      <c r="D829" s="2"/>
    </row>
    <row r="830" spans="2:4" ht="15.75" customHeight="1" x14ac:dyDescent="0.3">
      <c r="B830" s="42"/>
      <c r="D830" s="2"/>
    </row>
    <row r="831" spans="2:4" ht="15.75" customHeight="1" x14ac:dyDescent="0.3">
      <c r="B831" s="42"/>
      <c r="D831" s="2"/>
    </row>
    <row r="832" spans="2:4" ht="15.75" customHeight="1" x14ac:dyDescent="0.3">
      <c r="B832" s="42"/>
      <c r="D832" s="2"/>
    </row>
    <row r="833" spans="2:4" ht="15.75" customHeight="1" x14ac:dyDescent="0.3">
      <c r="B833" s="42"/>
      <c r="D833" s="2"/>
    </row>
    <row r="834" spans="2:4" ht="15.75" customHeight="1" x14ac:dyDescent="0.3">
      <c r="B834" s="42"/>
      <c r="D834" s="2"/>
    </row>
    <row r="835" spans="2:4" ht="15.75" customHeight="1" x14ac:dyDescent="0.3">
      <c r="B835" s="42"/>
      <c r="D835" s="2"/>
    </row>
    <row r="836" spans="2:4" ht="15.75" customHeight="1" x14ac:dyDescent="0.3">
      <c r="B836" s="42"/>
      <c r="D836" s="2"/>
    </row>
    <row r="837" spans="2:4" ht="15.75" customHeight="1" x14ac:dyDescent="0.3">
      <c r="B837" s="42"/>
      <c r="D837" s="2"/>
    </row>
    <row r="838" spans="2:4" ht="15.75" customHeight="1" x14ac:dyDescent="0.3">
      <c r="B838" s="42"/>
      <c r="D838" s="2"/>
    </row>
    <row r="839" spans="2:4" ht="15.75" customHeight="1" x14ac:dyDescent="0.3">
      <c r="B839" s="42"/>
      <c r="D839" s="2"/>
    </row>
    <row r="840" spans="2:4" ht="15.75" customHeight="1" x14ac:dyDescent="0.3">
      <c r="B840" s="42"/>
      <c r="D840" s="2"/>
    </row>
    <row r="841" spans="2:4" ht="15.75" customHeight="1" x14ac:dyDescent="0.3">
      <c r="B841" s="42"/>
      <c r="D841" s="2"/>
    </row>
    <row r="842" spans="2:4" ht="15.75" customHeight="1" x14ac:dyDescent="0.3">
      <c r="B842" s="42"/>
      <c r="D842" s="2"/>
    </row>
    <row r="843" spans="2:4" ht="15.75" customHeight="1" x14ac:dyDescent="0.3">
      <c r="B843" s="42"/>
      <c r="D843" s="2"/>
    </row>
    <row r="844" spans="2:4" ht="15.75" customHeight="1" x14ac:dyDescent="0.3">
      <c r="B844" s="42"/>
      <c r="D844" s="2"/>
    </row>
    <row r="845" spans="2:4" ht="15.75" customHeight="1" x14ac:dyDescent="0.3">
      <c r="B845" s="42"/>
      <c r="D845" s="2"/>
    </row>
    <row r="846" spans="2:4" ht="15.75" customHeight="1" x14ac:dyDescent="0.3">
      <c r="B846" s="42"/>
      <c r="D846" s="2"/>
    </row>
    <row r="847" spans="2:4" ht="15.75" customHeight="1" x14ac:dyDescent="0.3">
      <c r="B847" s="42"/>
      <c r="D847" s="2"/>
    </row>
    <row r="848" spans="2:4" ht="15.75" customHeight="1" x14ac:dyDescent="0.3">
      <c r="B848" s="42"/>
      <c r="D848" s="2"/>
    </row>
    <row r="849" spans="2:4" ht="15.75" customHeight="1" x14ac:dyDescent="0.3">
      <c r="B849" s="42"/>
      <c r="D849" s="2"/>
    </row>
    <row r="850" spans="2:4" ht="15.75" customHeight="1" x14ac:dyDescent="0.3">
      <c r="B850" s="42"/>
      <c r="D850" s="2"/>
    </row>
    <row r="851" spans="2:4" ht="15.75" customHeight="1" x14ac:dyDescent="0.3">
      <c r="B851" s="42"/>
      <c r="D851" s="2"/>
    </row>
    <row r="852" spans="2:4" ht="15.75" customHeight="1" x14ac:dyDescent="0.3">
      <c r="B852" s="42"/>
      <c r="D852" s="2"/>
    </row>
    <row r="853" spans="2:4" ht="15.75" customHeight="1" x14ac:dyDescent="0.3">
      <c r="B853" s="42"/>
      <c r="D853" s="2"/>
    </row>
    <row r="854" spans="2:4" ht="15.75" customHeight="1" x14ac:dyDescent="0.3">
      <c r="B854" s="42"/>
      <c r="D854" s="2"/>
    </row>
    <row r="855" spans="2:4" ht="15.75" customHeight="1" x14ac:dyDescent="0.3">
      <c r="B855" s="42"/>
      <c r="D855" s="2"/>
    </row>
    <row r="856" spans="2:4" ht="15.75" customHeight="1" x14ac:dyDescent="0.3">
      <c r="B856" s="42"/>
      <c r="D856" s="2"/>
    </row>
    <row r="857" spans="2:4" ht="15.75" customHeight="1" x14ac:dyDescent="0.3">
      <c r="B857" s="42"/>
      <c r="D857" s="2"/>
    </row>
    <row r="858" spans="2:4" ht="15.75" customHeight="1" x14ac:dyDescent="0.3">
      <c r="B858" s="42"/>
      <c r="D858" s="2"/>
    </row>
    <row r="859" spans="2:4" ht="15.75" customHeight="1" x14ac:dyDescent="0.3">
      <c r="B859" s="42"/>
      <c r="D859" s="2"/>
    </row>
    <row r="860" spans="2:4" ht="15.75" customHeight="1" x14ac:dyDescent="0.3">
      <c r="B860" s="42"/>
      <c r="D860" s="2"/>
    </row>
    <row r="861" spans="2:4" ht="15.75" customHeight="1" x14ac:dyDescent="0.3">
      <c r="B861" s="42"/>
      <c r="D861" s="2"/>
    </row>
    <row r="862" spans="2:4" ht="15.75" customHeight="1" x14ac:dyDescent="0.3">
      <c r="B862" s="42"/>
      <c r="D862" s="2"/>
    </row>
    <row r="863" spans="2:4" ht="15.75" customHeight="1" x14ac:dyDescent="0.3">
      <c r="B863" s="42"/>
      <c r="D863" s="2"/>
    </row>
    <row r="864" spans="2:4" ht="15.75" customHeight="1" x14ac:dyDescent="0.3">
      <c r="B864" s="42"/>
      <c r="D864" s="2"/>
    </row>
    <row r="865" spans="2:4" ht="15.75" customHeight="1" x14ac:dyDescent="0.3">
      <c r="B865" s="42"/>
      <c r="D865" s="2"/>
    </row>
    <row r="866" spans="2:4" ht="15.75" customHeight="1" x14ac:dyDescent="0.3">
      <c r="B866" s="42"/>
      <c r="D866" s="2"/>
    </row>
    <row r="867" spans="2:4" ht="15.75" customHeight="1" x14ac:dyDescent="0.3">
      <c r="B867" s="42"/>
      <c r="D867" s="2"/>
    </row>
    <row r="868" spans="2:4" ht="15.75" customHeight="1" x14ac:dyDescent="0.3">
      <c r="B868" s="42"/>
      <c r="D868" s="2"/>
    </row>
    <row r="869" spans="2:4" ht="15.75" customHeight="1" x14ac:dyDescent="0.3">
      <c r="B869" s="42"/>
      <c r="D869" s="2"/>
    </row>
    <row r="870" spans="2:4" ht="15.75" customHeight="1" x14ac:dyDescent="0.3">
      <c r="B870" s="42"/>
      <c r="D870" s="2"/>
    </row>
    <row r="871" spans="2:4" ht="15.75" customHeight="1" x14ac:dyDescent="0.3">
      <c r="B871" s="42"/>
      <c r="D871" s="2"/>
    </row>
    <row r="872" spans="2:4" ht="15.75" customHeight="1" x14ac:dyDescent="0.3">
      <c r="B872" s="42"/>
      <c r="D872" s="2"/>
    </row>
    <row r="873" spans="2:4" ht="15.75" customHeight="1" x14ac:dyDescent="0.3">
      <c r="B873" s="42"/>
      <c r="D873" s="2"/>
    </row>
    <row r="874" spans="2:4" ht="15.75" customHeight="1" x14ac:dyDescent="0.3">
      <c r="B874" s="42"/>
      <c r="D874" s="2"/>
    </row>
    <row r="875" spans="2:4" ht="15.75" customHeight="1" x14ac:dyDescent="0.3">
      <c r="B875" s="42"/>
      <c r="D875" s="2"/>
    </row>
    <row r="876" spans="2:4" ht="15.75" customHeight="1" x14ac:dyDescent="0.3">
      <c r="B876" s="42"/>
      <c r="D876" s="2"/>
    </row>
    <row r="877" spans="2:4" ht="15.75" customHeight="1" x14ac:dyDescent="0.3">
      <c r="B877" s="42"/>
      <c r="D877" s="2"/>
    </row>
    <row r="878" spans="2:4" ht="15.75" customHeight="1" x14ac:dyDescent="0.3">
      <c r="B878" s="42"/>
      <c r="D878" s="2"/>
    </row>
    <row r="879" spans="2:4" ht="15.75" customHeight="1" x14ac:dyDescent="0.3">
      <c r="B879" s="42"/>
      <c r="D879" s="2"/>
    </row>
    <row r="880" spans="2:4" ht="15.75" customHeight="1" x14ac:dyDescent="0.3">
      <c r="B880" s="42"/>
      <c r="D880" s="2"/>
    </row>
    <row r="881" spans="2:4" ht="15.75" customHeight="1" x14ac:dyDescent="0.3">
      <c r="B881" s="42"/>
      <c r="D881" s="2"/>
    </row>
    <row r="882" spans="2:4" ht="15.75" customHeight="1" x14ac:dyDescent="0.3">
      <c r="B882" s="42"/>
      <c r="D882" s="2"/>
    </row>
    <row r="883" spans="2:4" ht="15.75" customHeight="1" x14ac:dyDescent="0.3">
      <c r="B883" s="42"/>
      <c r="D883" s="2"/>
    </row>
    <row r="884" spans="2:4" ht="15.75" customHeight="1" x14ac:dyDescent="0.3">
      <c r="B884" s="42"/>
      <c r="D884" s="2"/>
    </row>
    <row r="885" spans="2:4" ht="15.75" customHeight="1" x14ac:dyDescent="0.3">
      <c r="B885" s="42"/>
      <c r="D885" s="2"/>
    </row>
    <row r="886" spans="2:4" ht="15.75" customHeight="1" x14ac:dyDescent="0.3">
      <c r="B886" s="42"/>
      <c r="D886" s="2"/>
    </row>
    <row r="887" spans="2:4" ht="15.75" customHeight="1" x14ac:dyDescent="0.3">
      <c r="B887" s="42"/>
      <c r="D887" s="2"/>
    </row>
    <row r="888" spans="2:4" ht="15.75" customHeight="1" x14ac:dyDescent="0.3">
      <c r="B888" s="42"/>
      <c r="D888" s="2"/>
    </row>
    <row r="889" spans="2:4" ht="15.75" customHeight="1" x14ac:dyDescent="0.3">
      <c r="B889" s="42"/>
      <c r="D889" s="2"/>
    </row>
    <row r="890" spans="2:4" ht="15.75" customHeight="1" x14ac:dyDescent="0.3">
      <c r="B890" s="42"/>
      <c r="D890" s="2"/>
    </row>
    <row r="891" spans="2:4" ht="15.75" customHeight="1" x14ac:dyDescent="0.3">
      <c r="B891" s="42"/>
      <c r="D891" s="2"/>
    </row>
    <row r="892" spans="2:4" ht="15.75" customHeight="1" x14ac:dyDescent="0.3">
      <c r="B892" s="42"/>
      <c r="D892" s="2"/>
    </row>
    <row r="893" spans="2:4" ht="15.75" customHeight="1" x14ac:dyDescent="0.3">
      <c r="B893" s="42"/>
      <c r="D893" s="2"/>
    </row>
    <row r="894" spans="2:4" ht="15.75" customHeight="1" x14ac:dyDescent="0.3">
      <c r="B894" s="42"/>
      <c r="D894" s="2"/>
    </row>
    <row r="895" spans="2:4" ht="15.75" customHeight="1" x14ac:dyDescent="0.3">
      <c r="B895" s="42"/>
      <c r="D895" s="2"/>
    </row>
    <row r="896" spans="2:4" ht="15.75" customHeight="1" x14ac:dyDescent="0.3">
      <c r="B896" s="42"/>
      <c r="D896" s="2"/>
    </row>
    <row r="897" spans="2:4" ht="15.75" customHeight="1" x14ac:dyDescent="0.3">
      <c r="B897" s="42"/>
      <c r="D897" s="2"/>
    </row>
    <row r="898" spans="2:4" ht="15.75" customHeight="1" x14ac:dyDescent="0.3">
      <c r="B898" s="42"/>
      <c r="D898" s="2"/>
    </row>
    <row r="899" spans="2:4" ht="15.75" customHeight="1" x14ac:dyDescent="0.3">
      <c r="B899" s="42"/>
      <c r="D899" s="2"/>
    </row>
    <row r="900" spans="2:4" ht="15.75" customHeight="1" x14ac:dyDescent="0.3">
      <c r="B900" s="42"/>
      <c r="D900" s="2"/>
    </row>
    <row r="901" spans="2:4" ht="15.75" customHeight="1" x14ac:dyDescent="0.3">
      <c r="B901" s="42"/>
      <c r="D901" s="2"/>
    </row>
    <row r="902" spans="2:4" ht="15.75" customHeight="1" x14ac:dyDescent="0.3">
      <c r="B902" s="42"/>
      <c r="D902" s="2"/>
    </row>
    <row r="903" spans="2:4" ht="15.75" customHeight="1" x14ac:dyDescent="0.3">
      <c r="B903" s="42"/>
      <c r="D903" s="2"/>
    </row>
    <row r="904" spans="2:4" ht="15.75" customHeight="1" x14ac:dyDescent="0.3">
      <c r="B904" s="42"/>
      <c r="D904" s="2"/>
    </row>
    <row r="905" spans="2:4" ht="15.75" customHeight="1" x14ac:dyDescent="0.3">
      <c r="B905" s="42"/>
      <c r="D905" s="2"/>
    </row>
    <row r="906" spans="2:4" ht="15.75" customHeight="1" x14ac:dyDescent="0.3">
      <c r="B906" s="42"/>
      <c r="D906" s="2"/>
    </row>
    <row r="907" spans="2:4" ht="15.75" customHeight="1" x14ac:dyDescent="0.3">
      <c r="B907" s="42"/>
      <c r="D907" s="2"/>
    </row>
    <row r="908" spans="2:4" ht="15.75" customHeight="1" x14ac:dyDescent="0.3">
      <c r="B908" s="42"/>
      <c r="D908" s="2"/>
    </row>
    <row r="909" spans="2:4" ht="15.75" customHeight="1" x14ac:dyDescent="0.3">
      <c r="B909" s="42"/>
      <c r="D909" s="2"/>
    </row>
    <row r="910" spans="2:4" ht="15.75" customHeight="1" x14ac:dyDescent="0.3">
      <c r="B910" s="42"/>
      <c r="D910" s="2"/>
    </row>
    <row r="911" spans="2:4" ht="15.75" customHeight="1" x14ac:dyDescent="0.3">
      <c r="B911" s="42"/>
      <c r="D911" s="2"/>
    </row>
    <row r="912" spans="2:4" ht="15.75" customHeight="1" x14ac:dyDescent="0.3">
      <c r="B912" s="42"/>
      <c r="D912" s="2"/>
    </row>
    <row r="913" spans="2:4" ht="15.75" customHeight="1" x14ac:dyDescent="0.3">
      <c r="B913" s="42"/>
      <c r="D913" s="2"/>
    </row>
    <row r="914" spans="2:4" ht="15.75" customHeight="1" x14ac:dyDescent="0.3">
      <c r="B914" s="42"/>
      <c r="D914" s="2"/>
    </row>
    <row r="915" spans="2:4" ht="15.75" customHeight="1" x14ac:dyDescent="0.3">
      <c r="B915" s="42"/>
      <c r="D915" s="2"/>
    </row>
    <row r="916" spans="2:4" ht="15.75" customHeight="1" x14ac:dyDescent="0.3">
      <c r="B916" s="42"/>
      <c r="D916" s="2"/>
    </row>
    <row r="917" spans="2:4" ht="15.75" customHeight="1" x14ac:dyDescent="0.3">
      <c r="B917" s="42"/>
      <c r="D917" s="2"/>
    </row>
    <row r="918" spans="2:4" ht="15.75" customHeight="1" x14ac:dyDescent="0.3">
      <c r="B918" s="42"/>
      <c r="D918" s="2"/>
    </row>
    <row r="919" spans="2:4" ht="15.75" customHeight="1" x14ac:dyDescent="0.3">
      <c r="B919" s="42"/>
      <c r="D919" s="2"/>
    </row>
    <row r="920" spans="2:4" ht="15.75" customHeight="1" x14ac:dyDescent="0.3">
      <c r="B920" s="42"/>
      <c r="D920" s="2"/>
    </row>
    <row r="921" spans="2:4" ht="15.75" customHeight="1" x14ac:dyDescent="0.3">
      <c r="B921" s="42"/>
      <c r="D921" s="2"/>
    </row>
    <row r="922" spans="2:4" ht="15.75" customHeight="1" x14ac:dyDescent="0.3">
      <c r="B922" s="42"/>
      <c r="D922" s="2"/>
    </row>
    <row r="923" spans="2:4" ht="15.75" customHeight="1" x14ac:dyDescent="0.3">
      <c r="B923" s="42"/>
      <c r="D923" s="2"/>
    </row>
    <row r="924" spans="2:4" ht="15.75" customHeight="1" x14ac:dyDescent="0.3">
      <c r="B924" s="42"/>
      <c r="D924" s="2"/>
    </row>
    <row r="925" spans="2:4" ht="15.75" customHeight="1" x14ac:dyDescent="0.3">
      <c r="B925" s="42"/>
      <c r="D925" s="2"/>
    </row>
    <row r="926" spans="2:4" ht="15.75" customHeight="1" x14ac:dyDescent="0.3">
      <c r="B926" s="42"/>
      <c r="D926" s="2"/>
    </row>
    <row r="927" spans="2:4" ht="15.75" customHeight="1" x14ac:dyDescent="0.3">
      <c r="B927" s="42"/>
      <c r="D927" s="2"/>
    </row>
    <row r="928" spans="2:4" ht="15.75" customHeight="1" x14ac:dyDescent="0.3">
      <c r="B928" s="42"/>
      <c r="D928" s="2"/>
    </row>
    <row r="929" spans="2:4" ht="15.75" customHeight="1" x14ac:dyDescent="0.3">
      <c r="B929" s="42"/>
      <c r="D929" s="2"/>
    </row>
    <row r="930" spans="2:4" ht="15.75" customHeight="1" x14ac:dyDescent="0.3">
      <c r="B930" s="42"/>
      <c r="D930" s="2"/>
    </row>
    <row r="931" spans="2:4" ht="15.75" customHeight="1" x14ac:dyDescent="0.3">
      <c r="B931" s="42"/>
      <c r="D931" s="2"/>
    </row>
    <row r="932" spans="2:4" ht="15.75" customHeight="1" x14ac:dyDescent="0.3">
      <c r="B932" s="42"/>
      <c r="D932" s="2"/>
    </row>
    <row r="933" spans="2:4" ht="15.75" customHeight="1" x14ac:dyDescent="0.3">
      <c r="B933" s="42"/>
      <c r="D933" s="2"/>
    </row>
    <row r="934" spans="2:4" ht="15.75" customHeight="1" x14ac:dyDescent="0.3">
      <c r="B934" s="42"/>
      <c r="D934" s="2"/>
    </row>
    <row r="935" spans="2:4" ht="15.75" customHeight="1" x14ac:dyDescent="0.3">
      <c r="B935" s="42"/>
      <c r="D935" s="2"/>
    </row>
    <row r="936" spans="2:4" ht="15.75" customHeight="1" x14ac:dyDescent="0.3">
      <c r="B936" s="42"/>
      <c r="D936" s="2"/>
    </row>
    <row r="937" spans="2:4" ht="15.75" customHeight="1" x14ac:dyDescent="0.3">
      <c r="B937" s="42"/>
      <c r="D937" s="2"/>
    </row>
    <row r="938" spans="2:4" ht="15.75" customHeight="1" x14ac:dyDescent="0.3">
      <c r="B938" s="42"/>
      <c r="D938" s="2"/>
    </row>
    <row r="939" spans="2:4" ht="15.75" customHeight="1" x14ac:dyDescent="0.3">
      <c r="B939" s="42"/>
      <c r="D939" s="2"/>
    </row>
    <row r="940" spans="2:4" ht="15.75" customHeight="1" x14ac:dyDescent="0.3">
      <c r="B940" s="42"/>
      <c r="D940" s="2"/>
    </row>
    <row r="941" spans="2:4" ht="15.75" customHeight="1" x14ac:dyDescent="0.3">
      <c r="B941" s="42"/>
      <c r="D941" s="2"/>
    </row>
    <row r="942" spans="2:4" ht="15.75" customHeight="1" x14ac:dyDescent="0.3">
      <c r="B942" s="42"/>
      <c r="D942" s="2"/>
    </row>
    <row r="943" spans="2:4" ht="15.75" customHeight="1" x14ac:dyDescent="0.3">
      <c r="B943" s="42"/>
      <c r="D943" s="2"/>
    </row>
    <row r="944" spans="2:4" ht="15.75" customHeight="1" x14ac:dyDescent="0.3">
      <c r="B944" s="42"/>
      <c r="D944" s="2"/>
    </row>
    <row r="945" spans="2:4" ht="15.75" customHeight="1" x14ac:dyDescent="0.3">
      <c r="B945" s="42"/>
      <c r="D945" s="2"/>
    </row>
    <row r="946" spans="2:4" ht="15.75" customHeight="1" x14ac:dyDescent="0.3">
      <c r="B946" s="42"/>
      <c r="D946" s="2"/>
    </row>
    <row r="947" spans="2:4" ht="15.75" customHeight="1" x14ac:dyDescent="0.3">
      <c r="B947" s="42"/>
      <c r="D947" s="2"/>
    </row>
    <row r="948" spans="2:4" ht="15.75" customHeight="1" x14ac:dyDescent="0.3">
      <c r="B948" s="42"/>
      <c r="D948" s="2"/>
    </row>
    <row r="949" spans="2:4" ht="15.75" customHeight="1" x14ac:dyDescent="0.3">
      <c r="B949" s="42"/>
      <c r="D949" s="2"/>
    </row>
    <row r="950" spans="2:4" ht="15.75" customHeight="1" x14ac:dyDescent="0.3">
      <c r="B950" s="42"/>
      <c r="D950" s="2"/>
    </row>
    <row r="951" spans="2:4" ht="15.75" customHeight="1" x14ac:dyDescent="0.3">
      <c r="B951" s="42"/>
      <c r="D951" s="2"/>
    </row>
    <row r="952" spans="2:4" ht="15.75" customHeight="1" x14ac:dyDescent="0.3">
      <c r="B952" s="42"/>
      <c r="D952" s="2"/>
    </row>
    <row r="953" spans="2:4" ht="15.75" customHeight="1" x14ac:dyDescent="0.3">
      <c r="B953" s="42"/>
      <c r="D953" s="2"/>
    </row>
    <row r="954" spans="2:4" ht="15.75" customHeight="1" x14ac:dyDescent="0.3">
      <c r="B954" s="42"/>
      <c r="D954" s="2"/>
    </row>
    <row r="955" spans="2:4" ht="15.75" customHeight="1" x14ac:dyDescent="0.3">
      <c r="B955" s="42"/>
      <c r="D955" s="2"/>
    </row>
    <row r="956" spans="2:4" ht="15.75" customHeight="1" x14ac:dyDescent="0.3">
      <c r="B956" s="42"/>
      <c r="D956" s="2"/>
    </row>
    <row r="957" spans="2:4" ht="15.75" customHeight="1" x14ac:dyDescent="0.3">
      <c r="B957" s="42"/>
      <c r="D957" s="2"/>
    </row>
    <row r="958" spans="2:4" ht="15.75" customHeight="1" x14ac:dyDescent="0.3">
      <c r="B958" s="42"/>
      <c r="D958" s="2"/>
    </row>
    <row r="959" spans="2:4" ht="15.75" customHeight="1" x14ac:dyDescent="0.3">
      <c r="B959" s="42"/>
      <c r="D959" s="2"/>
    </row>
    <row r="960" spans="2:4" ht="15.75" customHeight="1" x14ac:dyDescent="0.3">
      <c r="B960" s="42"/>
      <c r="D960" s="2"/>
    </row>
    <row r="961" spans="2:4" ht="15.75" customHeight="1" x14ac:dyDescent="0.3">
      <c r="B961" s="42"/>
      <c r="D961" s="2"/>
    </row>
    <row r="962" spans="2:4" ht="15.75" customHeight="1" x14ac:dyDescent="0.3">
      <c r="B962" s="42"/>
      <c r="D962" s="2"/>
    </row>
    <row r="963" spans="2:4" ht="15.75" customHeight="1" x14ac:dyDescent="0.3">
      <c r="B963" s="42"/>
      <c r="D963" s="2"/>
    </row>
    <row r="964" spans="2:4" ht="15.75" customHeight="1" x14ac:dyDescent="0.3">
      <c r="B964" s="42"/>
      <c r="D964" s="2"/>
    </row>
    <row r="965" spans="2:4" ht="15.75" customHeight="1" x14ac:dyDescent="0.3">
      <c r="B965" s="42"/>
      <c r="D965" s="2"/>
    </row>
    <row r="966" spans="2:4" ht="15.75" customHeight="1" x14ac:dyDescent="0.3">
      <c r="B966" s="42"/>
      <c r="D966" s="2"/>
    </row>
    <row r="967" spans="2:4" ht="15.75" customHeight="1" x14ac:dyDescent="0.3">
      <c r="B967" s="42"/>
      <c r="D967" s="2"/>
    </row>
    <row r="968" spans="2:4" ht="15.75" customHeight="1" x14ac:dyDescent="0.3">
      <c r="B968" s="42"/>
      <c r="D968" s="2"/>
    </row>
    <row r="969" spans="2:4" ht="15.75" customHeight="1" x14ac:dyDescent="0.3">
      <c r="B969" s="42"/>
      <c r="D969" s="2"/>
    </row>
    <row r="970" spans="2:4" ht="15.75" customHeight="1" x14ac:dyDescent="0.3">
      <c r="B970" s="42"/>
      <c r="D970" s="2"/>
    </row>
    <row r="971" spans="2:4" ht="15.75" customHeight="1" x14ac:dyDescent="0.3">
      <c r="B971" s="42"/>
      <c r="D971" s="2"/>
    </row>
    <row r="972" spans="2:4" ht="15.75" customHeight="1" x14ac:dyDescent="0.3">
      <c r="B972" s="42"/>
      <c r="D972" s="2"/>
    </row>
    <row r="973" spans="2:4" ht="15.75" customHeight="1" x14ac:dyDescent="0.3">
      <c r="B973" s="42"/>
      <c r="D973" s="2"/>
    </row>
    <row r="974" spans="2:4" ht="15.75" customHeight="1" x14ac:dyDescent="0.3">
      <c r="B974" s="42"/>
      <c r="D974" s="2"/>
    </row>
    <row r="975" spans="2:4" ht="15.75" customHeight="1" x14ac:dyDescent="0.3">
      <c r="B975" s="42"/>
      <c r="D975" s="2"/>
    </row>
    <row r="976" spans="2:4" ht="15.75" customHeight="1" x14ac:dyDescent="0.3">
      <c r="B976" s="42"/>
      <c r="D976" s="2"/>
    </row>
    <row r="977" spans="2:4" ht="15.75" customHeight="1" x14ac:dyDescent="0.3">
      <c r="B977" s="42"/>
      <c r="D977" s="2"/>
    </row>
    <row r="978" spans="2:4" ht="15.75" customHeight="1" x14ac:dyDescent="0.3">
      <c r="B978" s="42"/>
      <c r="D978" s="2"/>
    </row>
    <row r="979" spans="2:4" ht="15.75" customHeight="1" x14ac:dyDescent="0.3">
      <c r="B979" s="42"/>
      <c r="D979" s="2"/>
    </row>
    <row r="980" spans="2:4" ht="15.75" customHeight="1" x14ac:dyDescent="0.3">
      <c r="B980" s="42"/>
      <c r="D980" s="2"/>
    </row>
    <row r="981" spans="2:4" ht="15.75" customHeight="1" x14ac:dyDescent="0.3">
      <c r="B981" s="42"/>
      <c r="D981" s="2"/>
    </row>
    <row r="982" spans="2:4" ht="15.75" customHeight="1" x14ac:dyDescent="0.3">
      <c r="B982" s="42"/>
      <c r="D982" s="2"/>
    </row>
    <row r="983" spans="2:4" ht="15.75" customHeight="1" x14ac:dyDescent="0.3">
      <c r="B983" s="42"/>
      <c r="D983" s="2"/>
    </row>
    <row r="984" spans="2:4" ht="15.75" customHeight="1" x14ac:dyDescent="0.3">
      <c r="B984" s="42"/>
      <c r="D984" s="2"/>
    </row>
    <row r="985" spans="2:4" ht="15.75" customHeight="1" x14ac:dyDescent="0.3">
      <c r="B985" s="42"/>
      <c r="D985" s="2"/>
    </row>
    <row r="986" spans="2:4" ht="15.75" customHeight="1" x14ac:dyDescent="0.3">
      <c r="B986" s="42"/>
      <c r="D986" s="2"/>
    </row>
    <row r="987" spans="2:4" ht="15.75" customHeight="1" x14ac:dyDescent="0.3">
      <c r="B987" s="42"/>
      <c r="D987" s="2"/>
    </row>
    <row r="988" spans="2:4" ht="15.75" customHeight="1" x14ac:dyDescent="0.3">
      <c r="B988" s="42"/>
      <c r="D988" s="2"/>
    </row>
    <row r="989" spans="2:4" ht="15.75" customHeight="1" x14ac:dyDescent="0.3">
      <c r="B989" s="42"/>
      <c r="D989" s="2"/>
    </row>
    <row r="990" spans="2:4" ht="15.75" customHeight="1" x14ac:dyDescent="0.3">
      <c r="B990" s="42"/>
      <c r="D990" s="2"/>
    </row>
    <row r="991" spans="2:4" ht="15.75" customHeight="1" x14ac:dyDescent="0.3">
      <c r="B991" s="42"/>
      <c r="D991" s="2"/>
    </row>
    <row r="992" spans="2:4" ht="15.75" customHeight="1" x14ac:dyDescent="0.3">
      <c r="B992" s="42"/>
      <c r="D992" s="2"/>
    </row>
    <row r="993" spans="2:4" ht="15.75" customHeight="1" x14ac:dyDescent="0.3">
      <c r="B993" s="42"/>
      <c r="D993" s="2"/>
    </row>
    <row r="994" spans="2:4" ht="15.75" customHeight="1" x14ac:dyDescent="0.3">
      <c r="B994" s="42"/>
      <c r="D994" s="2"/>
    </row>
    <row r="995" spans="2:4" ht="15.75" customHeight="1" x14ac:dyDescent="0.3">
      <c r="B995" s="42"/>
      <c r="D995" s="2"/>
    </row>
    <row r="996" spans="2:4" ht="15.75" customHeight="1" x14ac:dyDescent="0.3">
      <c r="B996" s="42"/>
      <c r="D996" s="2"/>
    </row>
    <row r="997" spans="2:4" ht="15.75" customHeight="1" x14ac:dyDescent="0.3">
      <c r="B997" s="42"/>
      <c r="D997" s="2"/>
    </row>
    <row r="998" spans="2:4" ht="15.75" customHeight="1" x14ac:dyDescent="0.3">
      <c r="B998" s="42"/>
      <c r="D998" s="2"/>
    </row>
    <row r="999" spans="2:4" ht="15.75" customHeight="1" x14ac:dyDescent="0.3">
      <c r="B999" s="42"/>
      <c r="D999" s="2"/>
    </row>
    <row r="1000" spans="2:4" ht="15.75" customHeight="1" x14ac:dyDescent="0.3">
      <c r="B1000" s="42"/>
      <c r="D1000" s="2"/>
    </row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AD59-A47D-48BE-87C5-1C468599333F}">
  <dimension ref="A1:Z1000"/>
  <sheetViews>
    <sheetView workbookViewId="0">
      <selection activeCell="P16" sqref="P16"/>
    </sheetView>
  </sheetViews>
  <sheetFormatPr defaultColWidth="14.44140625" defaultRowHeight="14.4" x14ac:dyDescent="0.3"/>
  <cols>
    <col min="1" max="1" width="8.88671875" style="3" customWidth="1"/>
    <col min="2" max="2" width="10.6640625" style="3" customWidth="1"/>
    <col min="3" max="3" width="45.33203125" style="1" customWidth="1"/>
    <col min="4" max="4" width="9.44140625" style="1" customWidth="1"/>
    <col min="5" max="5" width="13.109375" style="1" customWidth="1"/>
    <col min="6" max="6" width="4" style="1" customWidth="1"/>
    <col min="7" max="7" width="3.88671875" style="1" customWidth="1"/>
    <col min="8" max="8" width="4.33203125" style="1" customWidth="1"/>
    <col min="9" max="9" width="3.6640625" style="1" customWidth="1"/>
    <col min="10" max="10" width="4.44140625" style="1" customWidth="1"/>
    <col min="11" max="13" width="4" style="1" customWidth="1"/>
    <col min="14" max="15" width="3.88671875" style="1" customWidth="1"/>
    <col min="16" max="16" width="4.33203125" style="1" customWidth="1"/>
    <col min="17" max="17" width="4.109375" style="1" customWidth="1"/>
    <col min="18" max="19" width="6.6640625" style="1" customWidth="1"/>
    <col min="20" max="22" width="8.88671875" style="1" customWidth="1"/>
    <col min="23" max="23" width="11.44140625" style="1" customWidth="1"/>
    <col min="24" max="26" width="8.88671875" style="1" customWidth="1"/>
    <col min="27" max="16384" width="14.44140625" style="1"/>
  </cols>
  <sheetData>
    <row r="1" spans="1:25" x14ac:dyDescent="0.3">
      <c r="B1" s="42"/>
      <c r="D1" s="2"/>
    </row>
    <row r="2" spans="1:25" ht="2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7"/>
    </row>
    <row r="3" spans="1:25" ht="21" x14ac:dyDescent="0.4">
      <c r="A3" s="4" t="s">
        <v>1</v>
      </c>
      <c r="B3" s="5"/>
      <c r="C3" s="6">
        <f>E143+R143</f>
        <v>3590</v>
      </c>
      <c r="D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V3" s="8" t="e">
        <f>#REF!</f>
        <v>#REF!</v>
      </c>
      <c r="W3" s="9" t="e">
        <f>V3-C3</f>
        <v>#REF!</v>
      </c>
      <c r="Y3" s="8">
        <v>4360</v>
      </c>
    </row>
    <row r="4" spans="1:25" x14ac:dyDescent="0.3">
      <c r="B4" s="42"/>
      <c r="D4" s="2"/>
      <c r="Y4" s="8">
        <v>408</v>
      </c>
    </row>
    <row r="5" spans="1:25" x14ac:dyDescent="0.3">
      <c r="A5" s="10" t="s">
        <v>2</v>
      </c>
      <c r="B5" s="11" t="s">
        <v>3</v>
      </c>
      <c r="C5" s="10" t="s">
        <v>4</v>
      </c>
      <c r="D5" s="11" t="s">
        <v>5</v>
      </c>
      <c r="E5" s="10" t="s">
        <v>6</v>
      </c>
      <c r="F5" s="12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43"/>
    </row>
    <row r="6" spans="1:25" x14ac:dyDescent="0.3">
      <c r="A6" s="16"/>
      <c r="B6" s="16"/>
      <c r="C6" s="15"/>
      <c r="D6" s="15"/>
      <c r="E6" s="15"/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  <c r="O6" s="17" t="s">
        <v>17</v>
      </c>
      <c r="P6" s="17" t="s">
        <v>18</v>
      </c>
      <c r="Q6" s="17" t="s">
        <v>19</v>
      </c>
      <c r="R6" s="17" t="s">
        <v>20</v>
      </c>
      <c r="S6" s="44"/>
      <c r="Y6" s="8">
        <f>Y3+Y4+Y5</f>
        <v>4768</v>
      </c>
    </row>
    <row r="7" spans="1:25" x14ac:dyDescent="0.3">
      <c r="A7" s="22">
        <v>1</v>
      </c>
      <c r="B7" s="89" t="s">
        <v>21</v>
      </c>
      <c r="C7" s="87" t="s">
        <v>22</v>
      </c>
      <c r="D7" s="54" t="s">
        <v>23</v>
      </c>
      <c r="E7" s="57"/>
      <c r="F7" s="57">
        <v>10</v>
      </c>
      <c r="G7" s="57">
        <v>10</v>
      </c>
      <c r="H7" s="57">
        <v>10</v>
      </c>
      <c r="I7" s="57">
        <v>10</v>
      </c>
      <c r="J7" s="57">
        <v>10</v>
      </c>
      <c r="K7" s="57">
        <v>10</v>
      </c>
      <c r="L7" s="57">
        <v>10</v>
      </c>
      <c r="M7" s="57">
        <v>10</v>
      </c>
      <c r="N7" s="57">
        <v>10</v>
      </c>
      <c r="O7" s="57">
        <v>10</v>
      </c>
      <c r="P7" s="57">
        <v>10</v>
      </c>
      <c r="Q7" s="57">
        <v>10</v>
      </c>
      <c r="R7" s="57">
        <f>SUM(F7:Q7)</f>
        <v>120</v>
      </c>
      <c r="S7" s="58"/>
      <c r="T7" s="58" t="s">
        <v>377</v>
      </c>
      <c r="U7" s="58"/>
      <c r="V7" s="59"/>
      <c r="Y7" s="8">
        <v>276.8</v>
      </c>
    </row>
    <row r="8" spans="1:25" x14ac:dyDescent="0.3">
      <c r="A8" s="22">
        <v>2</v>
      </c>
      <c r="B8" s="65" t="s">
        <v>25</v>
      </c>
      <c r="C8" s="18" t="s">
        <v>26</v>
      </c>
      <c r="D8" s="21" t="s">
        <v>27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46"/>
      <c r="S8" s="8"/>
      <c r="Y8" s="8">
        <f>Y6-Y7</f>
        <v>4491.2</v>
      </c>
    </row>
    <row r="9" spans="1:25" x14ac:dyDescent="0.3">
      <c r="A9" s="90">
        <v>3</v>
      </c>
      <c r="B9" s="67" t="s">
        <v>29</v>
      </c>
      <c r="C9" s="68" t="s">
        <v>400</v>
      </c>
      <c r="D9" s="69" t="s">
        <v>31</v>
      </c>
      <c r="E9" s="91"/>
      <c r="F9" s="70">
        <v>10</v>
      </c>
      <c r="G9" s="70">
        <v>10</v>
      </c>
      <c r="H9" s="70">
        <v>10</v>
      </c>
      <c r="I9" s="70">
        <v>10</v>
      </c>
      <c r="J9" s="70">
        <v>10</v>
      </c>
      <c r="K9" s="70">
        <v>10</v>
      </c>
      <c r="L9" s="70">
        <v>10</v>
      </c>
      <c r="M9" s="70">
        <v>10</v>
      </c>
      <c r="N9" s="70">
        <v>10</v>
      </c>
      <c r="O9" s="70">
        <v>10</v>
      </c>
      <c r="P9" s="70">
        <v>10</v>
      </c>
      <c r="Q9" s="70">
        <v>10</v>
      </c>
      <c r="R9" s="70">
        <f t="shared" ref="R9:R10" si="0">SUM(F9:Q9)</f>
        <v>120</v>
      </c>
      <c r="S9" s="71"/>
      <c r="T9" s="72" t="s">
        <v>401</v>
      </c>
      <c r="U9" s="71"/>
      <c r="V9" s="73"/>
    </row>
    <row r="10" spans="1:25" x14ac:dyDescent="0.3">
      <c r="A10" s="22">
        <v>4</v>
      </c>
      <c r="B10" s="45" t="s">
        <v>32</v>
      </c>
      <c r="C10" s="18" t="s">
        <v>33</v>
      </c>
      <c r="D10" s="21" t="s">
        <v>34</v>
      </c>
      <c r="E10" s="18"/>
      <c r="F10" s="18">
        <v>10</v>
      </c>
      <c r="G10" s="18">
        <v>10</v>
      </c>
      <c r="H10" s="18">
        <v>10</v>
      </c>
      <c r="I10" s="18">
        <v>10</v>
      </c>
      <c r="J10" s="18">
        <v>10</v>
      </c>
      <c r="K10" s="18">
        <v>10</v>
      </c>
      <c r="L10" s="18">
        <v>10</v>
      </c>
      <c r="M10" s="18">
        <v>10</v>
      </c>
      <c r="N10" s="18">
        <v>10</v>
      </c>
      <c r="O10" s="18">
        <v>10</v>
      </c>
      <c r="P10" s="18">
        <v>10</v>
      </c>
      <c r="Q10" s="18">
        <v>10</v>
      </c>
      <c r="R10" s="18">
        <f t="shared" si="0"/>
        <v>120</v>
      </c>
      <c r="S10" s="8"/>
      <c r="U10" s="8">
        <f>IF(R10=120,(R10+E10),0)</f>
        <v>120</v>
      </c>
      <c r="V10" s="8" t="s">
        <v>402</v>
      </c>
    </row>
    <row r="11" spans="1:25" x14ac:dyDescent="0.3">
      <c r="A11" s="22">
        <v>5</v>
      </c>
      <c r="B11" s="45" t="s">
        <v>36</v>
      </c>
      <c r="C11" s="30" t="s">
        <v>37</v>
      </c>
      <c r="D11" s="21" t="s">
        <v>38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46"/>
      <c r="S11" s="8"/>
    </row>
    <row r="12" spans="1:25" x14ac:dyDescent="0.3">
      <c r="A12" s="22">
        <v>6</v>
      </c>
      <c r="B12" s="45" t="s">
        <v>39</v>
      </c>
      <c r="C12" s="18" t="s">
        <v>40</v>
      </c>
      <c r="D12" s="21" t="s">
        <v>41</v>
      </c>
      <c r="E12" s="18"/>
      <c r="F12" s="18">
        <v>10</v>
      </c>
      <c r="G12" s="18">
        <v>10</v>
      </c>
      <c r="H12" s="18">
        <v>10</v>
      </c>
      <c r="I12" s="18">
        <v>10</v>
      </c>
      <c r="J12" s="18">
        <v>10</v>
      </c>
      <c r="K12" s="18">
        <v>10</v>
      </c>
      <c r="L12" s="18">
        <v>10</v>
      </c>
      <c r="M12" s="18">
        <v>10</v>
      </c>
      <c r="N12" s="18">
        <v>10</v>
      </c>
      <c r="O12" s="18">
        <v>10</v>
      </c>
      <c r="P12" s="18">
        <v>10</v>
      </c>
      <c r="Q12" s="18">
        <v>10</v>
      </c>
      <c r="R12" s="18">
        <f>SUM(F12:Q12)</f>
        <v>120</v>
      </c>
      <c r="S12" s="8"/>
    </row>
    <row r="13" spans="1:25" x14ac:dyDescent="0.3">
      <c r="A13" s="22">
        <v>7</v>
      </c>
      <c r="B13" s="45" t="s">
        <v>43</v>
      </c>
      <c r="C13" s="18" t="s">
        <v>44</v>
      </c>
      <c r="D13" s="92" t="s">
        <v>428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8"/>
    </row>
    <row r="14" spans="1:25" x14ac:dyDescent="0.3">
      <c r="A14" s="22">
        <v>8</v>
      </c>
      <c r="B14" s="45" t="s">
        <v>46</v>
      </c>
      <c r="C14" s="30" t="s">
        <v>47</v>
      </c>
      <c r="D14" s="21" t="s">
        <v>48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8"/>
    </row>
    <row r="15" spans="1:25" x14ac:dyDescent="0.3">
      <c r="A15" s="22">
        <v>9</v>
      </c>
      <c r="B15" s="45" t="s">
        <v>49</v>
      </c>
      <c r="C15" s="18" t="s">
        <v>50</v>
      </c>
      <c r="D15" s="21" t="s">
        <v>51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46"/>
      <c r="S15" s="8"/>
    </row>
    <row r="16" spans="1:25" x14ac:dyDescent="0.3">
      <c r="A16" s="22">
        <v>10</v>
      </c>
      <c r="B16" s="45" t="s">
        <v>52</v>
      </c>
      <c r="C16" s="30" t="s">
        <v>53</v>
      </c>
      <c r="D16" s="21" t="s">
        <v>54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8"/>
    </row>
    <row r="17" spans="1:25" x14ac:dyDescent="0.3">
      <c r="A17" s="22">
        <v>11</v>
      </c>
      <c r="B17" s="45" t="s">
        <v>55</v>
      </c>
      <c r="C17" s="30" t="s">
        <v>56</v>
      </c>
      <c r="D17" s="21" t="s">
        <v>57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8"/>
    </row>
    <row r="18" spans="1:25" x14ac:dyDescent="0.3">
      <c r="A18" s="22">
        <v>12</v>
      </c>
      <c r="B18" s="45" t="s">
        <v>58</v>
      </c>
      <c r="C18" s="30" t="s">
        <v>59</v>
      </c>
      <c r="D18" s="21" t="s">
        <v>60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46"/>
      <c r="S18" s="8"/>
    </row>
    <row r="19" spans="1:25" x14ac:dyDescent="0.3">
      <c r="A19" s="22">
        <v>13</v>
      </c>
      <c r="B19" s="45" t="s">
        <v>61</v>
      </c>
      <c r="C19" s="18" t="s">
        <v>62</v>
      </c>
      <c r="D19" s="21" t="s">
        <v>63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8"/>
    </row>
    <row r="20" spans="1:25" x14ac:dyDescent="0.3">
      <c r="A20" s="22">
        <v>14</v>
      </c>
      <c r="B20" s="45" t="s">
        <v>65</v>
      </c>
      <c r="C20" s="30" t="s">
        <v>66</v>
      </c>
      <c r="D20" s="21" t="s">
        <v>67</v>
      </c>
      <c r="E20" s="18"/>
      <c r="F20" s="18">
        <v>10</v>
      </c>
      <c r="G20" s="18">
        <v>10</v>
      </c>
      <c r="H20" s="18">
        <v>10</v>
      </c>
      <c r="I20" s="18">
        <v>10</v>
      </c>
      <c r="J20" s="18">
        <v>10</v>
      </c>
      <c r="K20" s="18">
        <v>10</v>
      </c>
      <c r="L20" s="18">
        <v>10</v>
      </c>
      <c r="M20" s="18">
        <v>10</v>
      </c>
      <c r="N20" s="18">
        <v>10</v>
      </c>
      <c r="O20" s="18">
        <v>10</v>
      </c>
      <c r="P20" s="18">
        <v>10</v>
      </c>
      <c r="Q20" s="18">
        <v>10</v>
      </c>
      <c r="R20" s="18">
        <f t="shared" ref="R20:R21" si="1">SUM(F20:Q20)</f>
        <v>120</v>
      </c>
      <c r="S20" s="8"/>
      <c r="U20" s="8" t="s">
        <v>429</v>
      </c>
    </row>
    <row r="21" spans="1:25" ht="15.75" customHeight="1" x14ac:dyDescent="0.3">
      <c r="A21" s="22">
        <v>15</v>
      </c>
      <c r="B21" s="45" t="s">
        <v>68</v>
      </c>
      <c r="C21" s="18" t="s">
        <v>69</v>
      </c>
      <c r="D21" s="21" t="s">
        <v>70</v>
      </c>
      <c r="E21" s="18"/>
      <c r="F21" s="18">
        <v>10</v>
      </c>
      <c r="G21" s="18">
        <v>10</v>
      </c>
      <c r="H21" s="18">
        <v>10</v>
      </c>
      <c r="I21" s="18">
        <v>10</v>
      </c>
      <c r="J21" s="18">
        <v>10</v>
      </c>
      <c r="K21" s="18">
        <v>10</v>
      </c>
      <c r="L21" s="18">
        <v>10</v>
      </c>
      <c r="M21" s="18">
        <v>10</v>
      </c>
      <c r="N21" s="18">
        <v>10</v>
      </c>
      <c r="O21" s="18">
        <v>10</v>
      </c>
      <c r="P21" s="18">
        <v>10</v>
      </c>
      <c r="Q21" s="18">
        <v>0</v>
      </c>
      <c r="R21" s="18">
        <f t="shared" si="1"/>
        <v>110</v>
      </c>
      <c r="S21" s="8"/>
      <c r="U21" s="8" t="s">
        <v>368</v>
      </c>
    </row>
    <row r="22" spans="1:25" ht="15.75" customHeight="1" x14ac:dyDescent="0.3">
      <c r="A22" s="22">
        <v>16</v>
      </c>
      <c r="B22" s="45" t="s">
        <v>71</v>
      </c>
      <c r="C22" s="30" t="s">
        <v>72</v>
      </c>
      <c r="D22" s="21" t="s">
        <v>73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8"/>
    </row>
    <row r="23" spans="1:25" ht="15.75" customHeight="1" x14ac:dyDescent="0.3">
      <c r="A23" s="22">
        <v>17</v>
      </c>
      <c r="B23" s="45" t="s">
        <v>74</v>
      </c>
      <c r="C23" s="30" t="s">
        <v>75</v>
      </c>
      <c r="D23" s="21" t="s">
        <v>76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8"/>
    </row>
    <row r="24" spans="1:25" ht="15.75" customHeight="1" x14ac:dyDescent="0.3">
      <c r="A24" s="22">
        <v>18</v>
      </c>
      <c r="B24" s="45" t="s">
        <v>77</v>
      </c>
      <c r="C24" s="18" t="s">
        <v>78</v>
      </c>
      <c r="D24" s="21" t="s">
        <v>79</v>
      </c>
      <c r="E24" s="18"/>
      <c r="F24" s="75">
        <v>10</v>
      </c>
      <c r="G24" s="75">
        <v>10</v>
      </c>
      <c r="H24" s="75">
        <v>10</v>
      </c>
      <c r="I24" s="75">
        <v>10</v>
      </c>
      <c r="J24" s="75">
        <v>10</v>
      </c>
      <c r="K24" s="75">
        <v>10</v>
      </c>
      <c r="L24" s="75">
        <v>10</v>
      </c>
      <c r="M24" s="75">
        <v>10</v>
      </c>
      <c r="N24" s="75">
        <v>10</v>
      </c>
      <c r="O24" s="75">
        <v>10</v>
      </c>
      <c r="P24" s="75">
        <v>10</v>
      </c>
      <c r="Q24" s="75">
        <v>10</v>
      </c>
      <c r="R24" s="75">
        <f>SUM(F24:Q24)</f>
        <v>120</v>
      </c>
      <c r="S24" s="77"/>
      <c r="T24" s="77"/>
      <c r="U24" s="77">
        <f>IF(R24=120,(R24+E24),0)</f>
        <v>120</v>
      </c>
      <c r="V24" s="77" t="s">
        <v>406</v>
      </c>
      <c r="W24" s="77"/>
      <c r="X24" s="59" t="s">
        <v>407</v>
      </c>
      <c r="Y24" s="59"/>
    </row>
    <row r="25" spans="1:25" ht="15.75" customHeight="1" x14ac:dyDescent="0.3">
      <c r="A25" s="22">
        <v>19</v>
      </c>
      <c r="B25" s="45" t="s">
        <v>80</v>
      </c>
      <c r="C25" s="18" t="s">
        <v>81</v>
      </c>
      <c r="D25" s="21" t="s">
        <v>82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8"/>
    </row>
    <row r="26" spans="1:25" ht="15.75" customHeight="1" x14ac:dyDescent="0.3">
      <c r="A26" s="22">
        <v>20</v>
      </c>
      <c r="B26" s="45" t="s">
        <v>83</v>
      </c>
      <c r="C26" s="30" t="s">
        <v>84</v>
      </c>
      <c r="D26" s="21" t="s">
        <v>85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8"/>
    </row>
    <row r="27" spans="1:25" ht="15.75" customHeight="1" x14ac:dyDescent="0.3">
      <c r="A27" s="22">
        <v>21</v>
      </c>
      <c r="B27" s="45" t="s">
        <v>86</v>
      </c>
      <c r="C27" s="30" t="s">
        <v>87</v>
      </c>
      <c r="D27" s="21" t="s">
        <v>88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46"/>
      <c r="S27" s="8"/>
    </row>
    <row r="28" spans="1:25" ht="15.75" customHeight="1" x14ac:dyDescent="0.3">
      <c r="A28" s="22">
        <v>22</v>
      </c>
      <c r="B28" s="45" t="s">
        <v>89</v>
      </c>
      <c r="C28" s="30" t="s">
        <v>90</v>
      </c>
      <c r="D28" s="21" t="s">
        <v>91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8"/>
    </row>
    <row r="29" spans="1:25" ht="15.75" customHeight="1" x14ac:dyDescent="0.3">
      <c r="A29" s="22">
        <v>23</v>
      </c>
      <c r="B29" s="45" t="s">
        <v>92</v>
      </c>
      <c r="C29" s="30" t="s">
        <v>93</v>
      </c>
      <c r="D29" s="21" t="s">
        <v>94</v>
      </c>
      <c r="E29" s="18"/>
      <c r="F29" s="18">
        <v>10</v>
      </c>
      <c r="G29" s="18">
        <v>10</v>
      </c>
      <c r="H29" s="18">
        <v>10</v>
      </c>
      <c r="I29" s="18">
        <v>10</v>
      </c>
      <c r="J29" s="18">
        <v>10</v>
      </c>
      <c r="K29" s="18">
        <v>10</v>
      </c>
      <c r="L29" s="18">
        <v>10</v>
      </c>
      <c r="M29" s="18">
        <v>10</v>
      </c>
      <c r="N29" s="18">
        <v>10</v>
      </c>
      <c r="O29" s="18">
        <v>10</v>
      </c>
      <c r="P29" s="18">
        <v>10</v>
      </c>
      <c r="Q29" s="18">
        <v>10</v>
      </c>
      <c r="R29" s="18">
        <v>120</v>
      </c>
      <c r="S29" s="8"/>
      <c r="U29" s="8" t="s">
        <v>430</v>
      </c>
    </row>
    <row r="30" spans="1:25" ht="15.75" customHeight="1" x14ac:dyDescent="0.3">
      <c r="A30" s="22">
        <v>24</v>
      </c>
      <c r="B30" s="45" t="s">
        <v>95</v>
      </c>
      <c r="C30" s="18" t="s">
        <v>96</v>
      </c>
      <c r="D30" s="21" t="s">
        <v>97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8"/>
    </row>
    <row r="31" spans="1:25" ht="15.75" customHeight="1" x14ac:dyDescent="0.3">
      <c r="A31" s="22">
        <v>25</v>
      </c>
      <c r="B31" s="45" t="s">
        <v>98</v>
      </c>
      <c r="C31" s="18" t="s">
        <v>99</v>
      </c>
      <c r="D31" s="21" t="s">
        <v>100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8"/>
    </row>
    <row r="32" spans="1:25" ht="15.75" customHeight="1" x14ac:dyDescent="0.3">
      <c r="A32" s="22">
        <v>26</v>
      </c>
      <c r="B32" s="45" t="s">
        <v>101</v>
      </c>
      <c r="C32" s="18" t="s">
        <v>102</v>
      </c>
      <c r="D32" s="21" t="s">
        <v>103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8"/>
    </row>
    <row r="33" spans="1:26" ht="15.75" customHeight="1" x14ac:dyDescent="0.3">
      <c r="A33" s="22">
        <v>27</v>
      </c>
      <c r="B33" s="45" t="s">
        <v>104</v>
      </c>
      <c r="C33" s="18" t="s">
        <v>105</v>
      </c>
      <c r="D33" s="21" t="s">
        <v>106</v>
      </c>
      <c r="E33" s="18"/>
      <c r="F33" s="18">
        <v>10</v>
      </c>
      <c r="G33" s="18">
        <v>10</v>
      </c>
      <c r="H33" s="18">
        <v>10</v>
      </c>
      <c r="I33" s="18">
        <v>10</v>
      </c>
      <c r="J33" s="18">
        <v>10</v>
      </c>
      <c r="K33" s="18">
        <v>10</v>
      </c>
      <c r="L33" s="18">
        <v>10</v>
      </c>
      <c r="M33" s="18">
        <v>10</v>
      </c>
      <c r="N33" s="18">
        <v>10</v>
      </c>
      <c r="O33" s="18">
        <v>10</v>
      </c>
      <c r="P33" s="18">
        <v>10</v>
      </c>
      <c r="Q33" s="18">
        <v>10</v>
      </c>
      <c r="R33" s="18">
        <f t="shared" ref="R33:R35" si="2">SUM(F33:Q33)</f>
        <v>120</v>
      </c>
      <c r="S33" s="8"/>
      <c r="U33" s="8" t="s">
        <v>431</v>
      </c>
    </row>
    <row r="34" spans="1:26" ht="15.75" customHeight="1" x14ac:dyDescent="0.3">
      <c r="A34" s="22">
        <v>28</v>
      </c>
      <c r="B34" s="45" t="s">
        <v>107</v>
      </c>
      <c r="C34" s="18" t="s">
        <v>108</v>
      </c>
      <c r="D34" s="21" t="s">
        <v>109</v>
      </c>
      <c r="E34" s="18"/>
      <c r="F34" s="18">
        <v>10</v>
      </c>
      <c r="G34" s="18">
        <v>10</v>
      </c>
      <c r="H34" s="18">
        <v>10</v>
      </c>
      <c r="I34" s="18">
        <v>10</v>
      </c>
      <c r="J34" s="18">
        <v>10</v>
      </c>
      <c r="K34" s="18">
        <v>10</v>
      </c>
      <c r="L34" s="18">
        <v>10</v>
      </c>
      <c r="M34" s="18">
        <v>10</v>
      </c>
      <c r="N34" s="18">
        <v>10</v>
      </c>
      <c r="O34" s="18">
        <v>10</v>
      </c>
      <c r="P34" s="18">
        <v>10</v>
      </c>
      <c r="Q34" s="18">
        <v>10</v>
      </c>
      <c r="R34" s="18">
        <f t="shared" si="2"/>
        <v>120</v>
      </c>
      <c r="S34" s="8"/>
    </row>
    <row r="35" spans="1:26" ht="15.75" customHeight="1" x14ac:dyDescent="0.3">
      <c r="A35" s="22">
        <v>29</v>
      </c>
      <c r="B35" s="45" t="s">
        <v>110</v>
      </c>
      <c r="C35" s="30" t="s">
        <v>111</v>
      </c>
      <c r="D35" s="21" t="s">
        <v>112</v>
      </c>
      <c r="E35" s="18"/>
      <c r="F35" s="18">
        <v>10</v>
      </c>
      <c r="G35" s="18">
        <v>10</v>
      </c>
      <c r="H35" s="18">
        <v>10</v>
      </c>
      <c r="I35" s="18">
        <v>10</v>
      </c>
      <c r="J35" s="18">
        <v>10</v>
      </c>
      <c r="K35" s="18">
        <v>10</v>
      </c>
      <c r="L35" s="18">
        <v>10</v>
      </c>
      <c r="M35" s="18">
        <v>10</v>
      </c>
      <c r="N35" s="18">
        <v>10</v>
      </c>
      <c r="O35" s="18">
        <v>10</v>
      </c>
      <c r="P35" s="18">
        <v>10</v>
      </c>
      <c r="Q35" s="18">
        <v>10</v>
      </c>
      <c r="R35" s="18">
        <f t="shared" si="2"/>
        <v>120</v>
      </c>
      <c r="S35" s="8"/>
    </row>
    <row r="36" spans="1:26" ht="15.75" customHeight="1" x14ac:dyDescent="0.3">
      <c r="A36" s="22">
        <v>30</v>
      </c>
      <c r="B36" s="45" t="s">
        <v>113</v>
      </c>
      <c r="C36" s="18" t="s">
        <v>114</v>
      </c>
      <c r="D36" s="21" t="s">
        <v>115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8"/>
    </row>
    <row r="37" spans="1:26" ht="15.75" customHeight="1" x14ac:dyDescent="0.3">
      <c r="A37" s="22">
        <v>31</v>
      </c>
      <c r="B37" s="45" t="s">
        <v>116</v>
      </c>
      <c r="C37" s="30" t="s">
        <v>117</v>
      </c>
      <c r="D37" s="21" t="s">
        <v>118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8"/>
    </row>
    <row r="38" spans="1:26" ht="15.75" customHeight="1" x14ac:dyDescent="0.3">
      <c r="A38" s="22">
        <v>32</v>
      </c>
      <c r="B38" s="45" t="s">
        <v>119</v>
      </c>
      <c r="C38" s="40" t="s">
        <v>120</v>
      </c>
      <c r="D38" s="21" t="s">
        <v>121</v>
      </c>
      <c r="E38" s="18"/>
      <c r="F38" s="18">
        <v>10</v>
      </c>
      <c r="G38" s="18">
        <v>10</v>
      </c>
      <c r="H38" s="18">
        <v>10</v>
      </c>
      <c r="I38" s="18">
        <v>10</v>
      </c>
      <c r="J38" s="18">
        <v>10</v>
      </c>
      <c r="K38" s="18">
        <v>10</v>
      </c>
      <c r="L38" s="18">
        <v>10</v>
      </c>
      <c r="M38" s="18">
        <v>10</v>
      </c>
      <c r="N38" s="18">
        <v>10</v>
      </c>
      <c r="O38" s="18">
        <v>10</v>
      </c>
      <c r="P38" s="18">
        <v>10</v>
      </c>
      <c r="Q38" s="18">
        <v>10</v>
      </c>
      <c r="R38" s="18">
        <f>SUM(F38:Q38)</f>
        <v>120</v>
      </c>
      <c r="S38" s="8"/>
      <c r="U38" s="8" t="s">
        <v>432</v>
      </c>
    </row>
    <row r="39" spans="1:26" ht="15.75" customHeight="1" x14ac:dyDescent="0.3">
      <c r="A39" s="22">
        <v>33</v>
      </c>
      <c r="B39" s="45" t="s">
        <v>122</v>
      </c>
      <c r="C39" s="18" t="s">
        <v>123</v>
      </c>
      <c r="D39" s="21" t="s">
        <v>124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8"/>
    </row>
    <row r="40" spans="1:26" ht="15.75" customHeight="1" x14ac:dyDescent="0.3">
      <c r="A40" s="90">
        <v>34</v>
      </c>
      <c r="B40" s="93" t="s">
        <v>125</v>
      </c>
      <c r="C40" s="91" t="s">
        <v>126</v>
      </c>
      <c r="D40" s="94" t="s">
        <v>127</v>
      </c>
      <c r="E40" s="91"/>
      <c r="F40" s="91">
        <v>10</v>
      </c>
      <c r="G40" s="91">
        <v>10</v>
      </c>
      <c r="H40" s="91">
        <v>10</v>
      </c>
      <c r="I40" s="91">
        <v>10</v>
      </c>
      <c r="J40" s="91">
        <v>10</v>
      </c>
      <c r="K40" s="91">
        <v>10</v>
      </c>
      <c r="L40" s="91">
        <v>10</v>
      </c>
      <c r="M40" s="91">
        <v>10</v>
      </c>
      <c r="N40" s="91">
        <v>10</v>
      </c>
      <c r="O40" s="91">
        <v>10</v>
      </c>
      <c r="P40" s="91">
        <v>10</v>
      </c>
      <c r="Q40" s="91">
        <v>10</v>
      </c>
      <c r="R40" s="91">
        <f>SUM(F40:Q40)</f>
        <v>120</v>
      </c>
      <c r="S40" s="95"/>
      <c r="T40" s="96"/>
      <c r="U40" s="95" t="s">
        <v>414</v>
      </c>
      <c r="V40" s="96"/>
      <c r="W40" s="96"/>
    </row>
    <row r="41" spans="1:26" ht="15.75" customHeight="1" x14ac:dyDescent="0.3">
      <c r="A41" s="22">
        <v>35</v>
      </c>
      <c r="B41" s="45" t="s">
        <v>128</v>
      </c>
      <c r="C41" s="30" t="s">
        <v>129</v>
      </c>
      <c r="D41" s="21" t="s">
        <v>130</v>
      </c>
      <c r="E41" s="18"/>
      <c r="F41" s="18">
        <v>10</v>
      </c>
      <c r="G41" s="18">
        <v>10</v>
      </c>
      <c r="H41" s="18">
        <v>10</v>
      </c>
      <c r="I41" s="18">
        <v>10</v>
      </c>
      <c r="J41" s="18">
        <v>10</v>
      </c>
      <c r="K41" s="18">
        <v>10</v>
      </c>
      <c r="L41" s="18">
        <v>10</v>
      </c>
      <c r="M41" s="18">
        <v>10</v>
      </c>
      <c r="N41" s="18">
        <v>10</v>
      </c>
      <c r="O41" s="18">
        <v>10</v>
      </c>
      <c r="P41" s="18">
        <v>10</v>
      </c>
      <c r="Q41" s="18">
        <v>10</v>
      </c>
      <c r="R41" s="18">
        <f>SUM(F41:Q41)</f>
        <v>120</v>
      </c>
      <c r="S41" s="8"/>
      <c r="T41" s="8" t="s">
        <v>433</v>
      </c>
    </row>
    <row r="42" spans="1:26" ht="15.75" customHeight="1" x14ac:dyDescent="0.3">
      <c r="A42" s="22">
        <v>36</v>
      </c>
      <c r="B42" s="45" t="s">
        <v>131</v>
      </c>
      <c r="C42" s="30" t="s">
        <v>132</v>
      </c>
      <c r="D42" s="21" t="s">
        <v>133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8"/>
    </row>
    <row r="43" spans="1:26" ht="15.75" customHeight="1" x14ac:dyDescent="0.3">
      <c r="A43" s="22">
        <v>37</v>
      </c>
      <c r="B43" s="62" t="s">
        <v>135</v>
      </c>
      <c r="C43" s="61" t="s">
        <v>136</v>
      </c>
      <c r="D43" s="60" t="s">
        <v>137</v>
      </c>
      <c r="E43" s="63"/>
      <c r="F43" s="57">
        <v>10</v>
      </c>
      <c r="G43" s="57">
        <v>10</v>
      </c>
      <c r="H43" s="57">
        <v>10</v>
      </c>
      <c r="I43" s="57">
        <v>10</v>
      </c>
      <c r="J43" s="57">
        <v>10</v>
      </c>
      <c r="K43" s="57">
        <v>10</v>
      </c>
      <c r="L43" s="57">
        <v>10</v>
      </c>
      <c r="M43" s="57">
        <v>10</v>
      </c>
      <c r="N43" s="57">
        <v>10</v>
      </c>
      <c r="O43" s="57">
        <v>10</v>
      </c>
      <c r="P43" s="57">
        <v>10</v>
      </c>
      <c r="Q43" s="57">
        <v>10</v>
      </c>
      <c r="R43" s="57">
        <v>120</v>
      </c>
      <c r="S43" s="58"/>
      <c r="T43" s="58" t="s">
        <v>434</v>
      </c>
      <c r="U43" s="58"/>
      <c r="V43" s="58"/>
    </row>
    <row r="44" spans="1:26" ht="15.75" customHeight="1" x14ac:dyDescent="0.3">
      <c r="A44" s="22">
        <v>38</v>
      </c>
      <c r="B44" s="45" t="s">
        <v>138</v>
      </c>
      <c r="C44" s="30" t="s">
        <v>139</v>
      </c>
      <c r="D44" s="21" t="s">
        <v>140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8"/>
    </row>
    <row r="45" spans="1:26" ht="15.75" customHeight="1" x14ac:dyDescent="0.3">
      <c r="A45" s="22">
        <v>39</v>
      </c>
      <c r="B45" s="56" t="s">
        <v>141</v>
      </c>
      <c r="C45" s="87" t="s">
        <v>142</v>
      </c>
      <c r="D45" s="54" t="s">
        <v>143</v>
      </c>
      <c r="E45" s="57"/>
      <c r="F45" s="57">
        <v>10</v>
      </c>
      <c r="G45" s="57">
        <v>10</v>
      </c>
      <c r="H45" s="57">
        <v>10</v>
      </c>
      <c r="I45" s="57">
        <v>10</v>
      </c>
      <c r="J45" s="57">
        <v>10</v>
      </c>
      <c r="K45" s="57">
        <v>10</v>
      </c>
      <c r="L45" s="57">
        <v>10</v>
      </c>
      <c r="M45" s="57">
        <v>10</v>
      </c>
      <c r="N45" s="57">
        <v>10</v>
      </c>
      <c r="O45" s="57">
        <v>10</v>
      </c>
      <c r="P45" s="57">
        <v>10</v>
      </c>
      <c r="Q45" s="57">
        <v>10</v>
      </c>
      <c r="R45" s="57">
        <v>120</v>
      </c>
      <c r="S45" s="58"/>
      <c r="T45" s="58" t="s">
        <v>435</v>
      </c>
      <c r="U45" s="58"/>
      <c r="V45" s="58"/>
    </row>
    <row r="46" spans="1:26" ht="15.75" customHeight="1" x14ac:dyDescent="0.3">
      <c r="A46" s="22">
        <v>40</v>
      </c>
      <c r="B46" s="56" t="s">
        <v>144</v>
      </c>
      <c r="C46" s="87" t="s">
        <v>145</v>
      </c>
      <c r="D46" s="54" t="s">
        <v>146</v>
      </c>
      <c r="E46" s="57"/>
      <c r="F46" s="57">
        <v>10</v>
      </c>
      <c r="G46" s="57">
        <v>10</v>
      </c>
      <c r="H46" s="57">
        <v>10</v>
      </c>
      <c r="I46" s="57">
        <v>10</v>
      </c>
      <c r="J46" s="57">
        <v>10</v>
      </c>
      <c r="K46" s="57">
        <v>10</v>
      </c>
      <c r="L46" s="57">
        <v>10</v>
      </c>
      <c r="M46" s="57">
        <v>10</v>
      </c>
      <c r="N46" s="57">
        <v>10</v>
      </c>
      <c r="O46" s="57">
        <v>10</v>
      </c>
      <c r="P46" s="57">
        <v>10</v>
      </c>
      <c r="Q46" s="57">
        <v>10</v>
      </c>
      <c r="R46" s="57">
        <v>120</v>
      </c>
      <c r="S46" s="58"/>
      <c r="T46" s="58" t="s">
        <v>436</v>
      </c>
      <c r="U46" s="58"/>
      <c r="V46" s="58"/>
      <c r="W46" s="8"/>
      <c r="X46" s="8"/>
      <c r="Y46" s="8"/>
      <c r="Z46" s="8"/>
    </row>
    <row r="47" spans="1:26" ht="15.75" customHeight="1" x14ac:dyDescent="0.3">
      <c r="A47" s="22">
        <v>41</v>
      </c>
      <c r="B47" s="45" t="s">
        <v>147</v>
      </c>
      <c r="C47" s="18" t="s">
        <v>148</v>
      </c>
      <c r="D47" s="21" t="s">
        <v>149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8"/>
    </row>
    <row r="48" spans="1:26" ht="15.75" customHeight="1" x14ac:dyDescent="0.3">
      <c r="A48" s="22">
        <v>42</v>
      </c>
      <c r="B48" s="45" t="s">
        <v>150</v>
      </c>
      <c r="C48" s="18" t="s">
        <v>151</v>
      </c>
      <c r="D48" s="21" t="s">
        <v>152</v>
      </c>
      <c r="E48" s="18"/>
      <c r="F48" s="18">
        <v>10</v>
      </c>
      <c r="G48" s="18">
        <v>10</v>
      </c>
      <c r="H48" s="18">
        <v>10</v>
      </c>
      <c r="I48" s="18">
        <v>10</v>
      </c>
      <c r="J48" s="18">
        <v>10</v>
      </c>
      <c r="K48" s="18">
        <v>10</v>
      </c>
      <c r="L48" s="18">
        <v>10</v>
      </c>
      <c r="M48" s="18">
        <v>10</v>
      </c>
      <c r="N48" s="18">
        <v>10</v>
      </c>
      <c r="O48" s="18">
        <v>10</v>
      </c>
      <c r="P48" s="18">
        <v>10</v>
      </c>
      <c r="Q48" s="18">
        <v>10</v>
      </c>
      <c r="R48" s="18">
        <f t="shared" ref="R48" si="3">SUM(F48:Q48)</f>
        <v>120</v>
      </c>
      <c r="S48" s="8"/>
      <c r="T48" s="8" t="s">
        <v>437</v>
      </c>
    </row>
    <row r="49" spans="1:26" ht="15.75" customHeight="1" x14ac:dyDescent="0.3">
      <c r="A49" s="97">
        <v>43</v>
      </c>
      <c r="B49" s="98" t="s">
        <v>153</v>
      </c>
      <c r="C49" s="99" t="s">
        <v>438</v>
      </c>
      <c r="D49" s="100" t="s">
        <v>155</v>
      </c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2"/>
      <c r="T49" s="103"/>
      <c r="U49" s="102"/>
      <c r="V49" s="102"/>
    </row>
    <row r="50" spans="1:26" ht="15.75" customHeight="1" x14ac:dyDescent="0.3">
      <c r="A50" s="22">
        <v>44</v>
      </c>
      <c r="B50" s="45" t="s">
        <v>156</v>
      </c>
      <c r="C50" s="18" t="s">
        <v>157</v>
      </c>
      <c r="D50" s="21" t="s">
        <v>158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8"/>
    </row>
    <row r="51" spans="1:26" ht="15.75" customHeight="1" x14ac:dyDescent="0.3">
      <c r="A51" s="22">
        <v>45</v>
      </c>
      <c r="B51" s="45" t="s">
        <v>159</v>
      </c>
      <c r="C51" s="32" t="s">
        <v>160</v>
      </c>
      <c r="D51" s="21" t="s">
        <v>161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8"/>
    </row>
    <row r="52" spans="1:26" ht="15.75" customHeight="1" x14ac:dyDescent="0.3">
      <c r="A52" s="22">
        <v>46</v>
      </c>
      <c r="B52" s="45" t="s">
        <v>162</v>
      </c>
      <c r="C52" s="18" t="s">
        <v>163</v>
      </c>
      <c r="D52" s="21" t="s">
        <v>164</v>
      </c>
      <c r="E52" s="18"/>
      <c r="F52" s="18">
        <v>10</v>
      </c>
      <c r="G52" s="18">
        <v>10</v>
      </c>
      <c r="H52" s="18">
        <v>10</v>
      </c>
      <c r="I52" s="18">
        <v>10</v>
      </c>
      <c r="J52" s="18">
        <v>10</v>
      </c>
      <c r="K52" s="18">
        <v>10</v>
      </c>
      <c r="L52" s="18">
        <v>10</v>
      </c>
      <c r="M52" s="18">
        <v>10</v>
      </c>
      <c r="N52" s="18">
        <v>10</v>
      </c>
      <c r="O52" s="18">
        <v>10</v>
      </c>
      <c r="P52" s="18">
        <v>10</v>
      </c>
      <c r="Q52" s="18">
        <v>10</v>
      </c>
      <c r="R52" s="18">
        <f>SUM(F52:Q52)</f>
        <v>120</v>
      </c>
      <c r="S52" s="8"/>
      <c r="T52" s="8" t="s">
        <v>419</v>
      </c>
    </row>
    <row r="53" spans="1:26" ht="15.75" customHeight="1" x14ac:dyDescent="0.3">
      <c r="A53" s="22">
        <v>47</v>
      </c>
      <c r="B53" s="45" t="s">
        <v>165</v>
      </c>
      <c r="C53" s="32" t="s">
        <v>166</v>
      </c>
      <c r="D53" s="21" t="s">
        <v>167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8"/>
    </row>
    <row r="54" spans="1:26" ht="15.75" customHeight="1" x14ac:dyDescent="0.3">
      <c r="A54" s="22">
        <v>48</v>
      </c>
      <c r="B54" s="45" t="s">
        <v>168</v>
      </c>
      <c r="C54" s="30" t="s">
        <v>169</v>
      </c>
      <c r="D54" s="21" t="s">
        <v>170</v>
      </c>
      <c r="E54" s="18"/>
      <c r="F54" s="18">
        <v>10</v>
      </c>
      <c r="G54" s="18">
        <v>10</v>
      </c>
      <c r="H54" s="18">
        <v>10</v>
      </c>
      <c r="I54" s="18">
        <v>10</v>
      </c>
      <c r="J54" s="18">
        <v>10</v>
      </c>
      <c r="K54" s="18">
        <v>10</v>
      </c>
      <c r="L54" s="18">
        <v>10</v>
      </c>
      <c r="M54" s="18">
        <v>10</v>
      </c>
      <c r="N54" s="18">
        <v>10</v>
      </c>
      <c r="O54" s="18">
        <v>10</v>
      </c>
      <c r="P54" s="18">
        <v>10</v>
      </c>
      <c r="Q54" s="18">
        <v>10</v>
      </c>
      <c r="R54" s="18">
        <f>SUM(F54:Q54)</f>
        <v>120</v>
      </c>
      <c r="S54" s="8"/>
      <c r="T54" s="8" t="s">
        <v>439</v>
      </c>
    </row>
    <row r="55" spans="1:26" ht="15.75" customHeight="1" x14ac:dyDescent="0.3">
      <c r="A55" s="22">
        <v>49</v>
      </c>
      <c r="B55" s="45" t="s">
        <v>171</v>
      </c>
      <c r="C55" s="30" t="s">
        <v>172</v>
      </c>
      <c r="D55" s="21" t="s">
        <v>173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3">
      <c r="A56" s="22">
        <v>50</v>
      </c>
      <c r="B56" s="45" t="s">
        <v>174</v>
      </c>
      <c r="C56" s="32" t="s">
        <v>175</v>
      </c>
      <c r="D56" s="21" t="s">
        <v>176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3">
      <c r="A57" s="22">
        <v>51</v>
      </c>
      <c r="B57" s="45" t="s">
        <v>177</v>
      </c>
      <c r="C57" s="18" t="s">
        <v>178</v>
      </c>
      <c r="D57" s="21" t="s">
        <v>179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46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3">
      <c r="A58" s="22">
        <v>52</v>
      </c>
      <c r="B58" s="56" t="s">
        <v>180</v>
      </c>
      <c r="C58" s="87" t="s">
        <v>181</v>
      </c>
      <c r="D58" s="54" t="s">
        <v>182</v>
      </c>
      <c r="E58" s="57"/>
      <c r="F58" s="57">
        <v>10</v>
      </c>
      <c r="G58" s="57">
        <v>10</v>
      </c>
      <c r="H58" s="57">
        <v>10</v>
      </c>
      <c r="I58" s="57">
        <v>10</v>
      </c>
      <c r="J58" s="57">
        <v>10</v>
      </c>
      <c r="K58" s="57">
        <v>10</v>
      </c>
      <c r="L58" s="57">
        <v>10</v>
      </c>
      <c r="M58" s="57">
        <v>10</v>
      </c>
      <c r="N58" s="57">
        <v>10</v>
      </c>
      <c r="O58" s="57">
        <v>10</v>
      </c>
      <c r="P58" s="57">
        <v>10</v>
      </c>
      <c r="Q58" s="57">
        <v>10</v>
      </c>
      <c r="R58" s="57">
        <v>120</v>
      </c>
      <c r="S58" s="58"/>
      <c r="T58" s="58" t="s">
        <v>421</v>
      </c>
      <c r="U58" s="58"/>
      <c r="V58" s="8"/>
      <c r="W58" s="8"/>
      <c r="X58" s="8"/>
      <c r="Y58" s="8"/>
      <c r="Z58" s="8"/>
    </row>
    <row r="59" spans="1:26" ht="15.75" customHeight="1" x14ac:dyDescent="0.3">
      <c r="A59" s="22">
        <v>53</v>
      </c>
      <c r="B59" s="56" t="s">
        <v>183</v>
      </c>
      <c r="C59" s="87" t="s">
        <v>184</v>
      </c>
      <c r="D59" s="54" t="s">
        <v>185</v>
      </c>
      <c r="E59" s="57"/>
      <c r="F59" s="104">
        <v>10</v>
      </c>
      <c r="G59" s="105">
        <v>10</v>
      </c>
      <c r="H59" s="105">
        <v>10</v>
      </c>
      <c r="I59" s="105">
        <v>10</v>
      </c>
      <c r="J59" s="105">
        <v>10</v>
      </c>
      <c r="K59" s="105">
        <v>10</v>
      </c>
      <c r="L59" s="105">
        <v>10</v>
      </c>
      <c r="M59" s="105">
        <v>10</v>
      </c>
      <c r="N59" s="105">
        <v>10</v>
      </c>
      <c r="O59" s="105">
        <v>10</v>
      </c>
      <c r="P59" s="105">
        <v>10</v>
      </c>
      <c r="Q59" s="105">
        <v>10</v>
      </c>
      <c r="R59" s="105">
        <v>120</v>
      </c>
      <c r="S59" s="58"/>
      <c r="T59" s="58" t="s">
        <v>440</v>
      </c>
      <c r="U59" s="58"/>
      <c r="V59" s="59"/>
      <c r="W59" s="8"/>
      <c r="X59" s="8"/>
      <c r="Y59" s="8"/>
      <c r="Z59" s="8"/>
    </row>
    <row r="60" spans="1:26" ht="15.75" customHeight="1" x14ac:dyDescent="0.3">
      <c r="A60" s="22">
        <v>54</v>
      </c>
      <c r="B60" s="56" t="s">
        <v>186</v>
      </c>
      <c r="C60" s="57" t="s">
        <v>187</v>
      </c>
      <c r="D60" s="54" t="s">
        <v>188</v>
      </c>
      <c r="E60" s="57"/>
      <c r="F60" s="57">
        <v>10</v>
      </c>
      <c r="G60" s="57">
        <v>10</v>
      </c>
      <c r="H60" s="57">
        <v>10</v>
      </c>
      <c r="I60" s="57">
        <v>10</v>
      </c>
      <c r="J60" s="57">
        <v>10</v>
      </c>
      <c r="K60" s="57">
        <v>10</v>
      </c>
      <c r="L60" s="57">
        <v>10</v>
      </c>
      <c r="M60" s="57">
        <v>10</v>
      </c>
      <c r="N60" s="57">
        <v>10</v>
      </c>
      <c r="O60" s="57">
        <v>10</v>
      </c>
      <c r="P60" s="57">
        <v>10</v>
      </c>
      <c r="Q60" s="57">
        <v>10</v>
      </c>
      <c r="R60" s="57">
        <v>120</v>
      </c>
      <c r="S60" s="58"/>
      <c r="T60" s="58" t="s">
        <v>441</v>
      </c>
      <c r="U60" s="58"/>
      <c r="V60" s="8"/>
      <c r="W60" s="8"/>
      <c r="X60" s="8"/>
      <c r="Y60" s="8"/>
      <c r="Z60" s="8"/>
    </row>
    <row r="61" spans="1:26" ht="15.75" customHeight="1" x14ac:dyDescent="0.3">
      <c r="A61" s="22">
        <v>55</v>
      </c>
      <c r="B61" s="45" t="s">
        <v>190</v>
      </c>
      <c r="C61" s="30" t="s">
        <v>191</v>
      </c>
      <c r="D61" s="21" t="s">
        <v>192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3">
      <c r="A62" s="22">
        <v>56</v>
      </c>
      <c r="B62" s="45" t="s">
        <v>193</v>
      </c>
      <c r="C62" s="30" t="s">
        <v>194</v>
      </c>
      <c r="D62" s="21" t="s">
        <v>195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3">
      <c r="A63" s="22">
        <v>57</v>
      </c>
      <c r="B63" s="45" t="s">
        <v>198</v>
      </c>
      <c r="C63" s="30" t="s">
        <v>199</v>
      </c>
      <c r="D63" s="21" t="s">
        <v>200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3">
      <c r="A64" s="22">
        <v>58</v>
      </c>
      <c r="B64" s="45" t="s">
        <v>202</v>
      </c>
      <c r="C64" s="32" t="s">
        <v>203</v>
      </c>
      <c r="D64" s="21" t="s">
        <v>204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3">
      <c r="A65" s="22">
        <v>59</v>
      </c>
      <c r="B65" s="45" t="s">
        <v>205</v>
      </c>
      <c r="C65" s="32" t="s">
        <v>206</v>
      </c>
      <c r="D65" s="21" t="s">
        <v>207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3">
      <c r="A66" s="22">
        <v>60</v>
      </c>
      <c r="B66" s="45" t="s">
        <v>208</v>
      </c>
      <c r="C66" s="32" t="s">
        <v>209</v>
      </c>
      <c r="D66" s="21" t="s">
        <v>210</v>
      </c>
      <c r="E66" s="18"/>
      <c r="F66" s="18">
        <v>10</v>
      </c>
      <c r="G66" s="18">
        <v>10</v>
      </c>
      <c r="H66" s="18">
        <v>10</v>
      </c>
      <c r="I66" s="18">
        <v>10</v>
      </c>
      <c r="J66" s="18">
        <v>10</v>
      </c>
      <c r="K66" s="18">
        <v>10</v>
      </c>
      <c r="L66" s="18">
        <v>10</v>
      </c>
      <c r="M66" s="18">
        <v>10</v>
      </c>
      <c r="N66" s="18">
        <v>10</v>
      </c>
      <c r="O66" s="18">
        <v>10</v>
      </c>
      <c r="P66" s="18">
        <v>10</v>
      </c>
      <c r="Q66" s="18">
        <v>10</v>
      </c>
      <c r="R66" s="18">
        <f>SUM(F66:Q66)</f>
        <v>120</v>
      </c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3">
      <c r="A67" s="22">
        <v>61</v>
      </c>
      <c r="B67" s="45" t="s">
        <v>211</v>
      </c>
      <c r="C67" s="18" t="s">
        <v>212</v>
      </c>
      <c r="D67" s="21" t="s">
        <v>213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3">
      <c r="A68" s="22">
        <v>62</v>
      </c>
      <c r="B68" s="45" t="s">
        <v>214</v>
      </c>
      <c r="C68" s="32" t="s">
        <v>215</v>
      </c>
      <c r="D68" s="21" t="s">
        <v>216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46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3">
      <c r="A69" s="22">
        <v>63</v>
      </c>
      <c r="B69" s="45" t="s">
        <v>217</v>
      </c>
      <c r="C69" s="32" t="s">
        <v>218</v>
      </c>
      <c r="D69" s="21" t="s">
        <v>219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3">
      <c r="A70" s="22">
        <v>64</v>
      </c>
      <c r="B70" s="45" t="s">
        <v>220</v>
      </c>
      <c r="C70" s="18" t="s">
        <v>221</v>
      </c>
      <c r="D70" s="21" t="s">
        <v>222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3">
      <c r="A71" s="22">
        <v>65</v>
      </c>
      <c r="B71" s="62" t="s">
        <v>223</v>
      </c>
      <c r="C71" s="61" t="s">
        <v>224</v>
      </c>
      <c r="D71" s="60" t="s">
        <v>225</v>
      </c>
      <c r="E71" s="63"/>
      <c r="F71" s="57">
        <v>10</v>
      </c>
      <c r="G71" s="57">
        <v>10</v>
      </c>
      <c r="H71" s="57">
        <v>10</v>
      </c>
      <c r="I71" s="57">
        <v>10</v>
      </c>
      <c r="J71" s="57">
        <v>10</v>
      </c>
      <c r="K71" s="57">
        <v>10</v>
      </c>
      <c r="L71" s="57">
        <v>10</v>
      </c>
      <c r="M71" s="57">
        <v>10</v>
      </c>
      <c r="N71" s="57">
        <v>10</v>
      </c>
      <c r="O71" s="57">
        <v>10</v>
      </c>
      <c r="P71" s="57">
        <v>10</v>
      </c>
      <c r="Q71" s="57">
        <v>10</v>
      </c>
      <c r="R71" s="57">
        <v>120</v>
      </c>
      <c r="S71" s="58"/>
      <c r="T71" s="58" t="s">
        <v>442</v>
      </c>
      <c r="U71" s="58"/>
      <c r="V71" s="8"/>
      <c r="W71" s="8"/>
      <c r="X71" s="8"/>
      <c r="Y71" s="8"/>
      <c r="Z71" s="8"/>
    </row>
    <row r="72" spans="1:26" ht="15.75" customHeight="1" x14ac:dyDescent="0.3">
      <c r="A72" s="22">
        <v>66</v>
      </c>
      <c r="B72" s="45" t="s">
        <v>226</v>
      </c>
      <c r="C72" s="18" t="s">
        <v>227</v>
      </c>
      <c r="D72" s="21" t="s">
        <v>228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8"/>
    </row>
    <row r="73" spans="1:26" ht="15.75" customHeight="1" x14ac:dyDescent="0.3">
      <c r="A73" s="22">
        <v>67</v>
      </c>
      <c r="B73" s="45" t="s">
        <v>230</v>
      </c>
      <c r="C73" s="32" t="s">
        <v>231</v>
      </c>
      <c r="D73" s="21" t="s">
        <v>232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8"/>
    </row>
    <row r="74" spans="1:26" ht="15.75" customHeight="1" x14ac:dyDescent="0.3">
      <c r="A74" s="22">
        <v>68</v>
      </c>
      <c r="B74" s="45" t="s">
        <v>233</v>
      </c>
      <c r="C74" s="18" t="s">
        <v>234</v>
      </c>
      <c r="D74" s="21" t="s">
        <v>235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8"/>
    </row>
    <row r="75" spans="1:26" ht="15.75" customHeight="1" x14ac:dyDescent="0.3">
      <c r="A75" s="22">
        <v>69</v>
      </c>
      <c r="B75" s="45" t="s">
        <v>236</v>
      </c>
      <c r="C75" s="18" t="s">
        <v>237</v>
      </c>
      <c r="D75" s="21" t="s">
        <v>238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8"/>
    </row>
    <row r="76" spans="1:26" ht="15.75" customHeight="1" x14ac:dyDescent="0.3">
      <c r="A76" s="22">
        <v>70</v>
      </c>
      <c r="B76" s="45" t="s">
        <v>239</v>
      </c>
      <c r="C76" s="32" t="s">
        <v>240</v>
      </c>
      <c r="D76" s="21" t="s">
        <v>241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8"/>
    </row>
    <row r="77" spans="1:26" ht="15.75" customHeight="1" x14ac:dyDescent="0.3">
      <c r="A77" s="22">
        <v>71</v>
      </c>
      <c r="B77" s="45" t="s">
        <v>242</v>
      </c>
      <c r="C77" s="18" t="s">
        <v>243</v>
      </c>
      <c r="D77" s="21" t="s">
        <v>244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8"/>
    </row>
    <row r="78" spans="1:26" ht="15.75" customHeight="1" x14ac:dyDescent="0.3">
      <c r="A78" s="22">
        <v>72</v>
      </c>
      <c r="B78" s="56" t="s">
        <v>245</v>
      </c>
      <c r="C78" s="57" t="s">
        <v>246</v>
      </c>
      <c r="D78" s="54" t="s">
        <v>247</v>
      </c>
      <c r="E78" s="57"/>
      <c r="F78" s="57">
        <v>10</v>
      </c>
      <c r="G78" s="57">
        <v>10</v>
      </c>
      <c r="H78" s="57">
        <v>10</v>
      </c>
      <c r="I78" s="57">
        <v>10</v>
      </c>
      <c r="J78" s="57">
        <v>10</v>
      </c>
      <c r="K78" s="57">
        <v>10</v>
      </c>
      <c r="L78" s="57">
        <v>10</v>
      </c>
      <c r="M78" s="57">
        <v>10</v>
      </c>
      <c r="N78" s="57">
        <v>10</v>
      </c>
      <c r="O78" s="57">
        <v>10</v>
      </c>
      <c r="P78" s="57">
        <v>10</v>
      </c>
      <c r="Q78" s="57">
        <v>10</v>
      </c>
      <c r="R78" s="57">
        <v>120</v>
      </c>
      <c r="S78" s="58"/>
      <c r="T78" s="58" t="s">
        <v>443</v>
      </c>
      <c r="U78" s="58"/>
      <c r="V78" s="8"/>
    </row>
    <row r="79" spans="1:26" ht="15.75" customHeight="1" x14ac:dyDescent="0.3">
      <c r="A79" s="22">
        <v>73</v>
      </c>
      <c r="B79" s="45" t="s">
        <v>248</v>
      </c>
      <c r="C79" s="18" t="s">
        <v>249</v>
      </c>
      <c r="D79" s="21" t="s">
        <v>250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8"/>
    </row>
    <row r="80" spans="1:26" ht="15.75" customHeight="1" x14ac:dyDescent="0.3">
      <c r="A80" s="22">
        <v>74</v>
      </c>
      <c r="B80" s="45" t="s">
        <v>251</v>
      </c>
      <c r="C80" s="18" t="s">
        <v>252</v>
      </c>
      <c r="D80" s="21" t="s">
        <v>253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8"/>
    </row>
    <row r="81" spans="1:21" ht="15.75" customHeight="1" x14ac:dyDescent="0.3">
      <c r="A81" s="22">
        <v>75</v>
      </c>
      <c r="B81" s="45" t="s">
        <v>254</v>
      </c>
      <c r="C81" s="18" t="s">
        <v>255</v>
      </c>
      <c r="D81" s="21" t="s">
        <v>256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8"/>
    </row>
    <row r="82" spans="1:21" ht="15.75" customHeight="1" x14ac:dyDescent="0.3">
      <c r="A82" s="22">
        <v>76</v>
      </c>
      <c r="B82" s="45" t="s">
        <v>257</v>
      </c>
      <c r="C82" s="18" t="s">
        <v>258</v>
      </c>
      <c r="D82" s="21" t="s">
        <v>259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8"/>
    </row>
    <row r="83" spans="1:21" ht="15.75" customHeight="1" x14ac:dyDescent="0.3">
      <c r="A83" s="22">
        <v>77</v>
      </c>
      <c r="B83" s="45" t="s">
        <v>260</v>
      </c>
      <c r="C83" s="30" t="s">
        <v>261</v>
      </c>
      <c r="D83" s="21" t="s">
        <v>262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8"/>
    </row>
    <row r="84" spans="1:21" ht="15.75" customHeight="1" x14ac:dyDescent="0.3">
      <c r="A84" s="22">
        <v>78</v>
      </c>
      <c r="B84" s="45" t="s">
        <v>263</v>
      </c>
      <c r="C84" s="18" t="s">
        <v>264</v>
      </c>
      <c r="D84" s="21" t="s">
        <v>265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8"/>
    </row>
    <row r="85" spans="1:21" ht="15.75" customHeight="1" x14ac:dyDescent="0.3">
      <c r="A85" s="22">
        <v>79</v>
      </c>
      <c r="B85" s="45" t="s">
        <v>266</v>
      </c>
      <c r="C85" s="32" t="s">
        <v>267</v>
      </c>
      <c r="D85" s="21" t="s">
        <v>45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8"/>
    </row>
    <row r="86" spans="1:21" ht="15.75" customHeight="1" x14ac:dyDescent="0.3">
      <c r="A86" s="22">
        <v>80</v>
      </c>
      <c r="B86" s="45" t="s">
        <v>268</v>
      </c>
      <c r="C86" s="30" t="s">
        <v>269</v>
      </c>
      <c r="D86" s="21" t="s">
        <v>270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8"/>
    </row>
    <row r="87" spans="1:21" ht="15.75" customHeight="1" x14ac:dyDescent="0.3">
      <c r="A87" s="22">
        <v>81</v>
      </c>
      <c r="B87" s="45" t="s">
        <v>272</v>
      </c>
      <c r="C87" s="18" t="s">
        <v>381</v>
      </c>
      <c r="D87" s="21" t="s">
        <v>382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8"/>
    </row>
    <row r="88" spans="1:21" ht="15.75" customHeight="1" x14ac:dyDescent="0.3">
      <c r="A88" s="22">
        <v>82</v>
      </c>
      <c r="B88" s="45" t="s">
        <v>273</v>
      </c>
      <c r="C88" s="18" t="s">
        <v>383</v>
      </c>
      <c r="D88" s="21" t="s">
        <v>384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8"/>
    </row>
    <row r="89" spans="1:21" ht="15.75" customHeight="1" x14ac:dyDescent="0.3">
      <c r="A89" s="22">
        <v>83</v>
      </c>
      <c r="B89" s="45" t="s">
        <v>274</v>
      </c>
      <c r="C89" s="30" t="s">
        <v>275</v>
      </c>
      <c r="D89" s="21" t="s">
        <v>276</v>
      </c>
      <c r="E89" s="18"/>
      <c r="F89" s="18">
        <v>10</v>
      </c>
      <c r="G89" s="18">
        <v>10</v>
      </c>
      <c r="H89" s="18">
        <v>10</v>
      </c>
      <c r="I89" s="18">
        <v>10</v>
      </c>
      <c r="J89" s="18">
        <v>10</v>
      </c>
      <c r="K89" s="18">
        <v>10</v>
      </c>
      <c r="L89" s="18">
        <v>10</v>
      </c>
      <c r="M89" s="18">
        <v>10</v>
      </c>
      <c r="N89" s="18">
        <v>10</v>
      </c>
      <c r="O89" s="18">
        <v>10</v>
      </c>
      <c r="P89" s="18">
        <v>10</v>
      </c>
      <c r="Q89" s="18">
        <v>10</v>
      </c>
      <c r="R89" s="46">
        <f>SUM(F89:Q89)</f>
        <v>120</v>
      </c>
      <c r="S89" s="8"/>
    </row>
    <row r="90" spans="1:21" ht="15.75" customHeight="1" x14ac:dyDescent="0.3">
      <c r="A90" s="22">
        <v>84</v>
      </c>
      <c r="B90" s="45" t="s">
        <v>277</v>
      </c>
      <c r="C90" s="32" t="s">
        <v>385</v>
      </c>
      <c r="D90" s="21" t="s">
        <v>386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8"/>
    </row>
    <row r="91" spans="1:21" ht="15.75" customHeight="1" x14ac:dyDescent="0.3">
      <c r="A91" s="22">
        <v>85</v>
      </c>
      <c r="B91" s="45" t="s">
        <v>278</v>
      </c>
      <c r="C91" s="18"/>
      <c r="D91" s="21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8"/>
    </row>
    <row r="92" spans="1:21" ht="15.75" customHeight="1" x14ac:dyDescent="0.3">
      <c r="A92" s="22">
        <v>86</v>
      </c>
      <c r="B92" s="45" t="s">
        <v>279</v>
      </c>
      <c r="C92" s="32" t="s">
        <v>389</v>
      </c>
      <c r="D92" s="21" t="s">
        <v>390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8"/>
    </row>
    <row r="93" spans="1:21" ht="15.75" customHeight="1" x14ac:dyDescent="0.3">
      <c r="A93" s="22">
        <v>87</v>
      </c>
      <c r="B93" s="45" t="s">
        <v>280</v>
      </c>
      <c r="C93" s="18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8"/>
    </row>
    <row r="94" spans="1:21" ht="15.75" customHeight="1" x14ac:dyDescent="0.3">
      <c r="A94" s="106">
        <v>88</v>
      </c>
      <c r="B94" s="107" t="s">
        <v>281</v>
      </c>
      <c r="C94" s="108" t="s">
        <v>282</v>
      </c>
      <c r="D94" s="109" t="s">
        <v>283</v>
      </c>
      <c r="E94" s="110"/>
      <c r="F94" s="110">
        <v>10</v>
      </c>
      <c r="G94" s="110">
        <v>10</v>
      </c>
      <c r="H94" s="110">
        <v>10</v>
      </c>
      <c r="I94" s="110">
        <v>10</v>
      </c>
      <c r="J94" s="110">
        <v>10</v>
      </c>
      <c r="K94" s="110">
        <v>10</v>
      </c>
      <c r="L94" s="110">
        <v>10</v>
      </c>
      <c r="M94" s="110">
        <v>10</v>
      </c>
      <c r="N94" s="110">
        <v>10</v>
      </c>
      <c r="O94" s="110">
        <v>10</v>
      </c>
      <c r="P94" s="110">
        <v>10</v>
      </c>
      <c r="Q94" s="110">
        <v>10</v>
      </c>
      <c r="R94" s="110">
        <f>SUM(E94:Q94)</f>
        <v>120</v>
      </c>
      <c r="S94" s="111" t="s">
        <v>444</v>
      </c>
      <c r="T94" s="112"/>
      <c r="U94" s="112"/>
    </row>
    <row r="95" spans="1:21" ht="15.75" customHeight="1" x14ac:dyDescent="0.3">
      <c r="A95" s="22">
        <v>89</v>
      </c>
      <c r="B95" s="45" t="s">
        <v>284</v>
      </c>
      <c r="C95" s="18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8"/>
    </row>
    <row r="96" spans="1:21" ht="15.75" customHeight="1" x14ac:dyDescent="0.3">
      <c r="A96" s="22">
        <v>90</v>
      </c>
      <c r="B96" s="45" t="s">
        <v>285</v>
      </c>
      <c r="C96" s="18"/>
      <c r="D96" s="21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8"/>
    </row>
    <row r="97" spans="1:19" ht="15.75" customHeight="1" x14ac:dyDescent="0.3">
      <c r="A97" s="22">
        <v>91</v>
      </c>
      <c r="B97" s="45" t="s">
        <v>286</v>
      </c>
      <c r="C97" s="18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8"/>
    </row>
    <row r="98" spans="1:19" ht="15.75" customHeight="1" x14ac:dyDescent="0.3">
      <c r="A98" s="22">
        <v>92</v>
      </c>
      <c r="B98" s="45" t="s">
        <v>287</v>
      </c>
      <c r="C98" s="18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8"/>
    </row>
    <row r="99" spans="1:19" ht="15.75" customHeight="1" x14ac:dyDescent="0.3">
      <c r="A99" s="22">
        <v>93</v>
      </c>
      <c r="B99" s="45" t="s">
        <v>288</v>
      </c>
      <c r="C99" s="18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8"/>
    </row>
    <row r="100" spans="1:19" ht="15.75" customHeight="1" x14ac:dyDescent="0.3">
      <c r="A100" s="22">
        <v>94</v>
      </c>
      <c r="B100" s="45" t="s">
        <v>289</v>
      </c>
      <c r="C100" s="18"/>
      <c r="D100" s="21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8"/>
    </row>
    <row r="101" spans="1:19" ht="15.75" customHeight="1" x14ac:dyDescent="0.3">
      <c r="A101" s="22">
        <v>95</v>
      </c>
      <c r="B101" s="45" t="s">
        <v>290</v>
      </c>
      <c r="C101" s="18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8"/>
    </row>
    <row r="102" spans="1:19" ht="15.75" customHeight="1" x14ac:dyDescent="0.3">
      <c r="A102" s="22">
        <v>96</v>
      </c>
      <c r="B102" s="45" t="s">
        <v>291</v>
      </c>
      <c r="C102" s="18"/>
      <c r="D102" s="21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8"/>
    </row>
    <row r="103" spans="1:19" ht="15.75" customHeight="1" x14ac:dyDescent="0.3">
      <c r="A103" s="22">
        <v>97</v>
      </c>
      <c r="B103" s="45" t="s">
        <v>292</v>
      </c>
      <c r="C103" s="18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8"/>
    </row>
    <row r="104" spans="1:19" ht="15.75" customHeight="1" x14ac:dyDescent="0.3">
      <c r="A104" s="22">
        <v>98</v>
      </c>
      <c r="B104" s="45" t="s">
        <v>293</v>
      </c>
      <c r="C104" s="18"/>
      <c r="D104" s="21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8"/>
    </row>
    <row r="105" spans="1:19" ht="15.75" customHeight="1" x14ac:dyDescent="0.3">
      <c r="A105" s="22">
        <v>99</v>
      </c>
      <c r="B105" s="45" t="s">
        <v>294</v>
      </c>
      <c r="C105" s="18"/>
      <c r="D105" s="21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8"/>
    </row>
    <row r="106" spans="1:19" ht="15.75" customHeight="1" x14ac:dyDescent="0.3">
      <c r="A106" s="22">
        <v>100</v>
      </c>
      <c r="B106" s="45" t="s">
        <v>295</v>
      </c>
      <c r="C106" s="18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8"/>
    </row>
    <row r="107" spans="1:19" ht="15.75" customHeight="1" x14ac:dyDescent="0.3">
      <c r="A107" s="22">
        <v>101</v>
      </c>
      <c r="B107" s="45" t="s">
        <v>296</v>
      </c>
      <c r="C107" s="18"/>
      <c r="D107" s="21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8"/>
    </row>
    <row r="108" spans="1:19" ht="15.75" customHeight="1" x14ac:dyDescent="0.3">
      <c r="A108" s="22">
        <v>102</v>
      </c>
      <c r="B108" s="45" t="s">
        <v>297</v>
      </c>
      <c r="C108" s="18"/>
      <c r="D108" s="21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8"/>
    </row>
    <row r="109" spans="1:19" ht="15.75" customHeight="1" x14ac:dyDescent="0.3">
      <c r="A109" s="22">
        <v>103</v>
      </c>
      <c r="B109" s="45" t="s">
        <v>298</v>
      </c>
      <c r="C109" s="18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8"/>
    </row>
    <row r="110" spans="1:19" ht="15.75" customHeight="1" x14ac:dyDescent="0.3">
      <c r="A110" s="22">
        <v>104</v>
      </c>
      <c r="B110" s="45" t="s">
        <v>299</v>
      </c>
      <c r="C110" s="18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8"/>
    </row>
    <row r="111" spans="1:19" ht="15.75" customHeight="1" x14ac:dyDescent="0.3">
      <c r="A111" s="22">
        <v>105</v>
      </c>
      <c r="B111" s="45" t="s">
        <v>300</v>
      </c>
      <c r="C111" s="18" t="s">
        <v>301</v>
      </c>
      <c r="D111" s="21" t="s">
        <v>302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8"/>
    </row>
    <row r="112" spans="1:19" ht="15.75" customHeight="1" x14ac:dyDescent="0.3">
      <c r="A112" s="22">
        <v>106</v>
      </c>
      <c r="B112" s="45" t="s">
        <v>303</v>
      </c>
      <c r="C112" s="18"/>
      <c r="D112" s="21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8"/>
    </row>
    <row r="113" spans="1:19" ht="15.75" customHeight="1" x14ac:dyDescent="0.3">
      <c r="A113" s="22">
        <v>107</v>
      </c>
      <c r="B113" s="45" t="s">
        <v>304</v>
      </c>
      <c r="C113" s="18"/>
      <c r="D113" s="21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8"/>
    </row>
    <row r="114" spans="1:19" ht="15.75" customHeight="1" x14ac:dyDescent="0.3">
      <c r="A114" s="22">
        <v>108</v>
      </c>
      <c r="B114" s="45" t="s">
        <v>305</v>
      </c>
      <c r="C114" s="18"/>
      <c r="D114" s="21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8"/>
    </row>
    <row r="115" spans="1:19" ht="15.75" customHeight="1" x14ac:dyDescent="0.3">
      <c r="A115" s="22">
        <v>109</v>
      </c>
      <c r="B115" s="45" t="s">
        <v>306</v>
      </c>
      <c r="C115" s="18"/>
      <c r="D115" s="21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8"/>
    </row>
    <row r="116" spans="1:19" ht="15.75" customHeight="1" x14ac:dyDescent="0.3">
      <c r="A116" s="22">
        <v>110</v>
      </c>
      <c r="B116" s="45" t="s">
        <v>307</v>
      </c>
      <c r="C116" s="18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8"/>
    </row>
    <row r="117" spans="1:19" ht="15.75" customHeight="1" x14ac:dyDescent="0.3">
      <c r="A117" s="22">
        <v>111</v>
      </c>
      <c r="B117" s="45" t="s">
        <v>308</v>
      </c>
      <c r="C117" s="30" t="s">
        <v>309</v>
      </c>
      <c r="D117" s="21" t="s">
        <v>310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8"/>
    </row>
    <row r="118" spans="1:19" ht="15.75" customHeight="1" x14ac:dyDescent="0.3">
      <c r="A118" s="22">
        <v>112</v>
      </c>
      <c r="B118" s="45" t="s">
        <v>311</v>
      </c>
      <c r="C118" s="18"/>
      <c r="D118" s="21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8"/>
    </row>
    <row r="119" spans="1:19" ht="15.75" customHeight="1" x14ac:dyDescent="0.3">
      <c r="A119" s="22">
        <v>113</v>
      </c>
      <c r="B119" s="45" t="s">
        <v>312</v>
      </c>
      <c r="C119" s="18"/>
      <c r="D119" s="21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8"/>
    </row>
    <row r="120" spans="1:19" ht="15.75" customHeight="1" x14ac:dyDescent="0.3">
      <c r="A120" s="22">
        <v>114</v>
      </c>
      <c r="B120" s="45" t="s">
        <v>313</v>
      </c>
      <c r="C120" s="18"/>
      <c r="D120" s="21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8"/>
    </row>
    <row r="121" spans="1:19" ht="15.75" customHeight="1" x14ac:dyDescent="0.3">
      <c r="A121" s="22">
        <v>115</v>
      </c>
      <c r="B121" s="45" t="s">
        <v>314</v>
      </c>
      <c r="C121" s="18"/>
      <c r="D121" s="21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8"/>
    </row>
    <row r="122" spans="1:19" ht="15.75" customHeight="1" x14ac:dyDescent="0.3">
      <c r="A122" s="22">
        <v>116</v>
      </c>
      <c r="B122" s="45" t="s">
        <v>315</v>
      </c>
      <c r="C122" s="18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8"/>
    </row>
    <row r="123" spans="1:19" ht="15.75" customHeight="1" x14ac:dyDescent="0.3">
      <c r="A123" s="22">
        <v>117</v>
      </c>
      <c r="B123" s="45" t="s">
        <v>316</v>
      </c>
      <c r="C123" s="18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8"/>
    </row>
    <row r="124" spans="1:19" ht="15.75" customHeight="1" x14ac:dyDescent="0.3">
      <c r="A124" s="22">
        <v>118</v>
      </c>
      <c r="B124" s="45" t="s">
        <v>317</v>
      </c>
      <c r="C124" s="18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8"/>
    </row>
    <row r="125" spans="1:19" ht="15.75" customHeight="1" x14ac:dyDescent="0.3">
      <c r="A125" s="22">
        <v>119</v>
      </c>
      <c r="B125" s="45" t="s">
        <v>318</v>
      </c>
      <c r="C125" s="18"/>
      <c r="D125" s="21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8"/>
    </row>
    <row r="126" spans="1:19" ht="15.75" customHeight="1" x14ac:dyDescent="0.3">
      <c r="A126" s="22">
        <v>120</v>
      </c>
      <c r="B126" s="45" t="s">
        <v>319</v>
      </c>
      <c r="C126" s="18"/>
      <c r="D126" s="21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8"/>
    </row>
    <row r="127" spans="1:19" ht="15.75" customHeight="1" x14ac:dyDescent="0.3">
      <c r="A127" s="22">
        <v>121</v>
      </c>
      <c r="B127" s="45" t="s">
        <v>320</v>
      </c>
      <c r="C127" s="18" t="s">
        <v>321</v>
      </c>
      <c r="D127" s="21" t="s">
        <v>322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8"/>
    </row>
    <row r="128" spans="1:19" ht="15.75" customHeight="1" x14ac:dyDescent="0.3">
      <c r="A128" s="22">
        <v>122</v>
      </c>
      <c r="B128" s="45" t="s">
        <v>323</v>
      </c>
      <c r="C128" s="18"/>
      <c r="D128" s="21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8"/>
    </row>
    <row r="129" spans="1:26" ht="15.75" customHeight="1" x14ac:dyDescent="0.3">
      <c r="A129" s="22">
        <v>123</v>
      </c>
      <c r="B129" s="45" t="s">
        <v>324</v>
      </c>
      <c r="C129" s="30" t="s">
        <v>325</v>
      </c>
      <c r="D129" s="21" t="s">
        <v>326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8"/>
    </row>
    <row r="130" spans="1:26" ht="15.75" customHeight="1" x14ac:dyDescent="0.3">
      <c r="A130" s="22">
        <v>124</v>
      </c>
      <c r="B130" s="45" t="s">
        <v>327</v>
      </c>
      <c r="C130" s="18"/>
      <c r="D130" s="21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8"/>
    </row>
    <row r="131" spans="1:26" ht="15.75" customHeight="1" x14ac:dyDescent="0.3">
      <c r="A131" s="22">
        <v>125</v>
      </c>
      <c r="B131" s="45" t="s">
        <v>328</v>
      </c>
      <c r="C131" s="30" t="s">
        <v>329</v>
      </c>
      <c r="D131" s="21" t="s">
        <v>330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8"/>
    </row>
    <row r="132" spans="1:26" ht="15.75" customHeight="1" x14ac:dyDescent="0.3">
      <c r="A132" s="22"/>
      <c r="B132" s="45" t="s">
        <v>331</v>
      </c>
      <c r="C132" s="30" t="s">
        <v>332</v>
      </c>
      <c r="D132" s="21" t="s">
        <v>333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8"/>
    </row>
    <row r="133" spans="1:26" ht="15.75" customHeight="1" x14ac:dyDescent="0.3">
      <c r="A133" s="22"/>
      <c r="B133" s="45" t="s">
        <v>334</v>
      </c>
      <c r="C133" s="30" t="s">
        <v>335</v>
      </c>
      <c r="D133" s="21" t="s">
        <v>336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8"/>
    </row>
    <row r="134" spans="1:26" ht="15.75" customHeight="1" x14ac:dyDescent="0.3">
      <c r="A134" s="22"/>
      <c r="B134" s="45" t="s">
        <v>338</v>
      </c>
      <c r="C134" s="30" t="s">
        <v>339</v>
      </c>
      <c r="D134" s="21" t="s">
        <v>340</v>
      </c>
      <c r="E134" s="18"/>
      <c r="F134" s="18">
        <v>10</v>
      </c>
      <c r="G134" s="18">
        <v>10</v>
      </c>
      <c r="H134" s="18">
        <v>10</v>
      </c>
      <c r="I134" s="18">
        <v>10</v>
      </c>
      <c r="J134" s="18">
        <v>10</v>
      </c>
      <c r="K134" s="18">
        <v>10</v>
      </c>
      <c r="L134" s="18">
        <v>10</v>
      </c>
      <c r="M134" s="18">
        <v>10</v>
      </c>
      <c r="N134" s="18">
        <v>10</v>
      </c>
      <c r="O134" s="18">
        <v>10</v>
      </c>
      <c r="P134" s="18">
        <v>10</v>
      </c>
      <c r="Q134" s="18">
        <v>10</v>
      </c>
      <c r="R134" s="18">
        <f>SUM(F134:Q134)</f>
        <v>120</v>
      </c>
      <c r="S134" s="8"/>
    </row>
    <row r="135" spans="1:26" ht="15.75" customHeight="1" x14ac:dyDescent="0.3">
      <c r="A135" s="22"/>
      <c r="B135" s="45" t="s">
        <v>342</v>
      </c>
      <c r="C135" s="18" t="s">
        <v>343</v>
      </c>
      <c r="D135" s="21" t="s">
        <v>344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8"/>
      <c r="U135" s="8">
        <f t="shared" ref="U135:U139" si="4">IF(R135=120,(R135+E135),0)</f>
        <v>0</v>
      </c>
    </row>
    <row r="136" spans="1:26" ht="15.75" customHeight="1" x14ac:dyDescent="0.3">
      <c r="A136" s="22"/>
      <c r="B136" s="45" t="s">
        <v>345</v>
      </c>
      <c r="C136" s="18" t="s">
        <v>346</v>
      </c>
      <c r="D136" s="21"/>
      <c r="E136" s="18"/>
      <c r="F136" s="18">
        <v>10</v>
      </c>
      <c r="G136" s="18">
        <v>10</v>
      </c>
      <c r="H136" s="18">
        <v>10</v>
      </c>
      <c r="I136" s="18">
        <v>10</v>
      </c>
      <c r="J136" s="18">
        <v>10</v>
      </c>
      <c r="K136" s="18">
        <v>10</v>
      </c>
      <c r="L136" s="18">
        <v>10</v>
      </c>
      <c r="M136" s="18">
        <v>10</v>
      </c>
      <c r="N136" s="18">
        <v>10</v>
      </c>
      <c r="O136" s="18">
        <v>10</v>
      </c>
      <c r="P136" s="18">
        <v>10</v>
      </c>
      <c r="Q136" s="18">
        <v>10</v>
      </c>
      <c r="R136" s="18">
        <f>SUM(F136:Q136)</f>
        <v>120</v>
      </c>
      <c r="S136" s="8"/>
      <c r="U136" s="8">
        <f t="shared" si="4"/>
        <v>120</v>
      </c>
      <c r="V136" s="8" t="s">
        <v>396</v>
      </c>
    </row>
    <row r="137" spans="1:26" ht="15.75" customHeight="1" x14ac:dyDescent="0.3">
      <c r="A137" s="22"/>
      <c r="B137" s="45" t="s">
        <v>347</v>
      </c>
      <c r="C137" s="32" t="s">
        <v>348</v>
      </c>
      <c r="D137" s="21" t="s">
        <v>349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8"/>
      <c r="U137" s="8">
        <f t="shared" si="4"/>
        <v>0</v>
      </c>
    </row>
    <row r="138" spans="1:26" ht="15.75" customHeight="1" x14ac:dyDescent="0.3">
      <c r="A138" s="22"/>
      <c r="B138" s="45" t="s">
        <v>350</v>
      </c>
      <c r="C138" s="32" t="s">
        <v>397</v>
      </c>
      <c r="D138" s="21" t="s">
        <v>82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8"/>
      <c r="T138" s="8">
        <f>R138+E138</f>
        <v>0</v>
      </c>
      <c r="U138" s="8">
        <f t="shared" si="4"/>
        <v>0</v>
      </c>
      <c r="V138" s="8"/>
      <c r="W138" s="8"/>
      <c r="X138" s="8"/>
      <c r="Y138" s="8"/>
      <c r="Z138" s="8"/>
    </row>
    <row r="139" spans="1:26" ht="15.75" customHeight="1" x14ac:dyDescent="0.3">
      <c r="A139" s="22"/>
      <c r="B139" s="45" t="s">
        <v>352</v>
      </c>
      <c r="C139" s="32" t="s">
        <v>353</v>
      </c>
      <c r="D139" s="21" t="s">
        <v>354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8"/>
      <c r="T139" s="8"/>
      <c r="U139" s="8">
        <f t="shared" si="4"/>
        <v>0</v>
      </c>
      <c r="V139" s="8"/>
      <c r="W139" s="8"/>
      <c r="X139" s="8"/>
      <c r="Y139" s="8"/>
      <c r="Z139" s="8"/>
    </row>
    <row r="140" spans="1:26" ht="15.75" customHeight="1" x14ac:dyDescent="0.3">
      <c r="A140" s="22"/>
      <c r="B140" s="45" t="s">
        <v>355</v>
      </c>
      <c r="C140" s="32" t="s">
        <v>356</v>
      </c>
      <c r="D140" s="21" t="s">
        <v>357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22"/>
      <c r="B141" s="45"/>
      <c r="C141" s="30"/>
      <c r="D141" s="21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8"/>
    </row>
    <row r="142" spans="1:26" ht="15.75" customHeight="1" x14ac:dyDescent="0.3">
      <c r="A142" s="41"/>
      <c r="B142" s="42"/>
      <c r="C142" s="40"/>
      <c r="D142" s="2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26" ht="15.75" customHeight="1" x14ac:dyDescent="0.3">
      <c r="B143" s="42"/>
      <c r="D143" s="2" t="s">
        <v>358</v>
      </c>
      <c r="E143" s="8">
        <f t="shared" ref="E143:U143" si="5">SUM(E7:E141)</f>
        <v>0</v>
      </c>
      <c r="F143" s="8">
        <f t="shared" si="5"/>
        <v>300</v>
      </c>
      <c r="G143" s="8">
        <f t="shared" si="5"/>
        <v>300</v>
      </c>
      <c r="H143" s="8">
        <f t="shared" si="5"/>
        <v>300</v>
      </c>
      <c r="I143" s="8">
        <f t="shared" si="5"/>
        <v>300</v>
      </c>
      <c r="J143" s="8">
        <f t="shared" si="5"/>
        <v>300</v>
      </c>
      <c r="K143" s="8">
        <f t="shared" si="5"/>
        <v>300</v>
      </c>
      <c r="L143" s="8">
        <f t="shared" si="5"/>
        <v>300</v>
      </c>
      <c r="M143" s="8">
        <f t="shared" si="5"/>
        <v>300</v>
      </c>
      <c r="N143" s="8">
        <f t="shared" si="5"/>
        <v>300</v>
      </c>
      <c r="O143" s="8">
        <f t="shared" si="5"/>
        <v>300</v>
      </c>
      <c r="P143" s="8">
        <f t="shared" si="5"/>
        <v>300</v>
      </c>
      <c r="Q143" s="8">
        <f t="shared" si="5"/>
        <v>290</v>
      </c>
      <c r="R143" s="8">
        <f t="shared" si="5"/>
        <v>3590</v>
      </c>
      <c r="S143" s="8">
        <f t="shared" si="5"/>
        <v>0</v>
      </c>
      <c r="T143" s="8">
        <f t="shared" si="5"/>
        <v>0</v>
      </c>
      <c r="U143" s="8">
        <f t="shared" si="5"/>
        <v>360</v>
      </c>
    </row>
    <row r="144" spans="1:26" ht="15.75" customHeight="1" x14ac:dyDescent="0.3">
      <c r="B144" s="42"/>
      <c r="D144" s="2"/>
      <c r="E144" s="8">
        <f>E143/20</f>
        <v>0</v>
      </c>
    </row>
    <row r="145" spans="2:19" ht="15.75" customHeight="1" x14ac:dyDescent="0.3">
      <c r="B145" s="42"/>
      <c r="D145" s="2"/>
    </row>
    <row r="146" spans="2:19" ht="15.75" customHeight="1" x14ac:dyDescent="0.3">
      <c r="B146" s="42"/>
      <c r="D146" s="2"/>
      <c r="S146" s="8">
        <f>S143-110</f>
        <v>-110</v>
      </c>
    </row>
    <row r="147" spans="2:19" ht="15.75" customHeight="1" x14ac:dyDescent="0.3">
      <c r="B147" s="42"/>
      <c r="D147" s="2"/>
      <c r="S147" s="8">
        <f>S146/120</f>
        <v>-0.91666666666666663</v>
      </c>
    </row>
    <row r="148" spans="2:19" ht="15.75" customHeight="1" x14ac:dyDescent="0.3">
      <c r="B148" s="42"/>
      <c r="D148" s="2"/>
    </row>
    <row r="149" spans="2:19" ht="15.75" customHeight="1" x14ac:dyDescent="0.3">
      <c r="B149" s="42"/>
      <c r="D149" s="2"/>
    </row>
    <row r="150" spans="2:19" ht="15.75" customHeight="1" x14ac:dyDescent="0.3">
      <c r="B150" s="42"/>
      <c r="D150" s="2"/>
    </row>
    <row r="151" spans="2:19" ht="15.75" customHeight="1" x14ac:dyDescent="0.3">
      <c r="B151" s="42"/>
      <c r="D151" s="2"/>
    </row>
    <row r="152" spans="2:19" ht="15.75" customHeight="1" x14ac:dyDescent="0.3">
      <c r="B152" s="42"/>
      <c r="D152" s="2"/>
    </row>
    <row r="153" spans="2:19" ht="15.75" customHeight="1" x14ac:dyDescent="0.3">
      <c r="B153" s="42"/>
      <c r="D153" s="2"/>
    </row>
    <row r="154" spans="2:19" ht="15.75" customHeight="1" x14ac:dyDescent="0.3">
      <c r="B154" s="42"/>
      <c r="D154" s="2"/>
    </row>
    <row r="155" spans="2:19" ht="15.75" customHeight="1" x14ac:dyDescent="0.3">
      <c r="B155" s="42"/>
      <c r="D155" s="2"/>
    </row>
    <row r="156" spans="2:19" ht="15.75" customHeight="1" x14ac:dyDescent="0.3">
      <c r="B156" s="42"/>
      <c r="D156" s="2"/>
    </row>
    <row r="157" spans="2:19" ht="15.75" customHeight="1" x14ac:dyDescent="0.3">
      <c r="B157" s="42"/>
      <c r="D157" s="2"/>
    </row>
    <row r="158" spans="2:19" ht="15.75" customHeight="1" x14ac:dyDescent="0.3">
      <c r="B158" s="42"/>
      <c r="D158" s="2"/>
    </row>
    <row r="159" spans="2:19" ht="15.75" customHeight="1" x14ac:dyDescent="0.3">
      <c r="B159" s="42"/>
      <c r="D159" s="2"/>
    </row>
    <row r="160" spans="2:19" ht="15.75" customHeight="1" x14ac:dyDescent="0.3">
      <c r="B160" s="42"/>
      <c r="D160" s="2"/>
    </row>
    <row r="161" spans="2:4" ht="15.75" customHeight="1" x14ac:dyDescent="0.3">
      <c r="B161" s="42"/>
      <c r="D161" s="2"/>
    </row>
    <row r="162" spans="2:4" ht="15.75" customHeight="1" x14ac:dyDescent="0.3">
      <c r="B162" s="42"/>
      <c r="D162" s="2"/>
    </row>
    <row r="163" spans="2:4" ht="15.75" customHeight="1" x14ac:dyDescent="0.3">
      <c r="B163" s="42"/>
      <c r="D163" s="2"/>
    </row>
    <row r="164" spans="2:4" ht="15.75" customHeight="1" x14ac:dyDescent="0.3">
      <c r="B164" s="42"/>
      <c r="D164" s="2"/>
    </row>
    <row r="165" spans="2:4" ht="15.75" customHeight="1" x14ac:dyDescent="0.3">
      <c r="B165" s="42"/>
      <c r="D165" s="2"/>
    </row>
    <row r="166" spans="2:4" ht="15.75" customHeight="1" x14ac:dyDescent="0.3">
      <c r="B166" s="42"/>
      <c r="D166" s="2"/>
    </row>
    <row r="167" spans="2:4" ht="15.75" customHeight="1" x14ac:dyDescent="0.3">
      <c r="B167" s="42"/>
      <c r="D167" s="2"/>
    </row>
    <row r="168" spans="2:4" ht="15.75" customHeight="1" x14ac:dyDescent="0.3">
      <c r="B168" s="42"/>
      <c r="D168" s="2"/>
    </row>
    <row r="169" spans="2:4" ht="15.75" customHeight="1" x14ac:dyDescent="0.3">
      <c r="B169" s="42"/>
      <c r="D169" s="2"/>
    </row>
    <row r="170" spans="2:4" ht="15.75" customHeight="1" x14ac:dyDescent="0.3">
      <c r="B170" s="42"/>
      <c r="D170" s="2"/>
    </row>
    <row r="171" spans="2:4" ht="15.75" customHeight="1" x14ac:dyDescent="0.3">
      <c r="B171" s="42"/>
      <c r="D171" s="2"/>
    </row>
    <row r="172" spans="2:4" ht="15.75" customHeight="1" x14ac:dyDescent="0.3">
      <c r="B172" s="42"/>
      <c r="D172" s="2"/>
    </row>
    <row r="173" spans="2:4" ht="15.75" customHeight="1" x14ac:dyDescent="0.3">
      <c r="B173" s="42"/>
      <c r="D173" s="2"/>
    </row>
    <row r="174" spans="2:4" ht="15.75" customHeight="1" x14ac:dyDescent="0.3">
      <c r="B174" s="42"/>
      <c r="D174" s="2"/>
    </row>
    <row r="175" spans="2:4" ht="15.75" customHeight="1" x14ac:dyDescent="0.3">
      <c r="B175" s="42"/>
      <c r="D175" s="2"/>
    </row>
    <row r="176" spans="2:4" ht="15.75" customHeight="1" x14ac:dyDescent="0.3">
      <c r="B176" s="42"/>
      <c r="D176" s="2"/>
    </row>
    <row r="177" spans="2:4" ht="15.75" customHeight="1" x14ac:dyDescent="0.3">
      <c r="B177" s="42"/>
      <c r="D177" s="2"/>
    </row>
    <row r="178" spans="2:4" ht="15.75" customHeight="1" x14ac:dyDescent="0.3">
      <c r="B178" s="42"/>
      <c r="D178" s="2"/>
    </row>
    <row r="179" spans="2:4" ht="15.75" customHeight="1" x14ac:dyDescent="0.3">
      <c r="B179" s="42"/>
      <c r="D179" s="2"/>
    </row>
    <row r="180" spans="2:4" ht="15.75" customHeight="1" x14ac:dyDescent="0.3">
      <c r="B180" s="42"/>
      <c r="D180" s="2"/>
    </row>
    <row r="181" spans="2:4" ht="15.75" customHeight="1" x14ac:dyDescent="0.3">
      <c r="B181" s="42"/>
      <c r="D181" s="2"/>
    </row>
    <row r="182" spans="2:4" ht="15.75" customHeight="1" x14ac:dyDescent="0.3">
      <c r="B182" s="42"/>
      <c r="D182" s="2"/>
    </row>
    <row r="183" spans="2:4" ht="15.75" customHeight="1" x14ac:dyDescent="0.3">
      <c r="B183" s="42"/>
      <c r="D183" s="2"/>
    </row>
    <row r="184" spans="2:4" ht="15.75" customHeight="1" x14ac:dyDescent="0.3">
      <c r="B184" s="42"/>
      <c r="D184" s="2"/>
    </row>
    <row r="185" spans="2:4" ht="15.75" customHeight="1" x14ac:dyDescent="0.3">
      <c r="B185" s="42"/>
      <c r="D185" s="2"/>
    </row>
    <row r="186" spans="2:4" ht="15.75" customHeight="1" x14ac:dyDescent="0.3">
      <c r="B186" s="42"/>
      <c r="D186" s="2"/>
    </row>
    <row r="187" spans="2:4" ht="15.75" customHeight="1" x14ac:dyDescent="0.3">
      <c r="B187" s="42"/>
      <c r="D187" s="2"/>
    </row>
    <row r="188" spans="2:4" ht="15.75" customHeight="1" x14ac:dyDescent="0.3">
      <c r="B188" s="42"/>
      <c r="D188" s="2"/>
    </row>
    <row r="189" spans="2:4" ht="15.75" customHeight="1" x14ac:dyDescent="0.3">
      <c r="B189" s="42"/>
      <c r="D189" s="2"/>
    </row>
    <row r="190" spans="2:4" ht="15.75" customHeight="1" x14ac:dyDescent="0.3">
      <c r="B190" s="42"/>
      <c r="D190" s="2"/>
    </row>
    <row r="191" spans="2:4" ht="15.75" customHeight="1" x14ac:dyDescent="0.3">
      <c r="B191" s="42"/>
      <c r="D191" s="2"/>
    </row>
    <row r="192" spans="2:4" ht="15.75" customHeight="1" x14ac:dyDescent="0.3">
      <c r="B192" s="42"/>
      <c r="D192" s="2"/>
    </row>
    <row r="193" spans="2:4" ht="15.75" customHeight="1" x14ac:dyDescent="0.3">
      <c r="B193" s="42"/>
      <c r="D193" s="2"/>
    </row>
    <row r="194" spans="2:4" ht="15.75" customHeight="1" x14ac:dyDescent="0.3">
      <c r="B194" s="42"/>
      <c r="D194" s="2"/>
    </row>
    <row r="195" spans="2:4" ht="15.75" customHeight="1" x14ac:dyDescent="0.3">
      <c r="B195" s="42"/>
      <c r="D195" s="2"/>
    </row>
    <row r="196" spans="2:4" ht="15.75" customHeight="1" x14ac:dyDescent="0.3">
      <c r="B196" s="42"/>
      <c r="D196" s="2"/>
    </row>
    <row r="197" spans="2:4" ht="15.75" customHeight="1" x14ac:dyDescent="0.3">
      <c r="B197" s="42"/>
      <c r="D197" s="2"/>
    </row>
    <row r="198" spans="2:4" ht="15.75" customHeight="1" x14ac:dyDescent="0.3">
      <c r="B198" s="42"/>
      <c r="D198" s="2"/>
    </row>
    <row r="199" spans="2:4" ht="15.75" customHeight="1" x14ac:dyDescent="0.3">
      <c r="B199" s="42"/>
      <c r="D199" s="2"/>
    </row>
    <row r="200" spans="2:4" ht="15.75" customHeight="1" x14ac:dyDescent="0.3">
      <c r="B200" s="42"/>
      <c r="D200" s="2"/>
    </row>
    <row r="201" spans="2:4" ht="15.75" customHeight="1" x14ac:dyDescent="0.3">
      <c r="B201" s="42"/>
      <c r="D201" s="2"/>
    </row>
    <row r="202" spans="2:4" ht="15.75" customHeight="1" x14ac:dyDescent="0.3">
      <c r="B202" s="42"/>
      <c r="D202" s="2"/>
    </row>
    <row r="203" spans="2:4" ht="15.75" customHeight="1" x14ac:dyDescent="0.3">
      <c r="B203" s="42"/>
      <c r="D203" s="2"/>
    </row>
    <row r="204" spans="2:4" ht="15.75" customHeight="1" x14ac:dyDescent="0.3">
      <c r="B204" s="42"/>
      <c r="D204" s="2"/>
    </row>
    <row r="205" spans="2:4" ht="15.75" customHeight="1" x14ac:dyDescent="0.3">
      <c r="B205" s="42"/>
      <c r="D205" s="2"/>
    </row>
    <row r="206" spans="2:4" ht="15.75" customHeight="1" x14ac:dyDescent="0.3">
      <c r="B206" s="42"/>
      <c r="D206" s="2"/>
    </row>
    <row r="207" spans="2:4" ht="15.75" customHeight="1" x14ac:dyDescent="0.3">
      <c r="B207" s="42"/>
      <c r="D207" s="2"/>
    </row>
    <row r="208" spans="2:4" ht="15.75" customHeight="1" x14ac:dyDescent="0.3">
      <c r="B208" s="42"/>
      <c r="D208" s="2"/>
    </row>
    <row r="209" spans="2:4" ht="15.75" customHeight="1" x14ac:dyDescent="0.3">
      <c r="B209" s="42"/>
      <c r="D209" s="2"/>
    </row>
    <row r="210" spans="2:4" ht="15.75" customHeight="1" x14ac:dyDescent="0.3">
      <c r="B210" s="42"/>
      <c r="D210" s="2"/>
    </row>
    <row r="211" spans="2:4" ht="15.75" customHeight="1" x14ac:dyDescent="0.3">
      <c r="B211" s="42"/>
      <c r="D211" s="2"/>
    </row>
    <row r="212" spans="2:4" ht="15.75" customHeight="1" x14ac:dyDescent="0.3">
      <c r="B212" s="42"/>
      <c r="D212" s="2"/>
    </row>
    <row r="213" spans="2:4" ht="15.75" customHeight="1" x14ac:dyDescent="0.3">
      <c r="B213" s="42"/>
      <c r="D213" s="2"/>
    </row>
    <row r="214" spans="2:4" ht="15.75" customHeight="1" x14ac:dyDescent="0.3">
      <c r="B214" s="42"/>
      <c r="D214" s="2"/>
    </row>
    <row r="215" spans="2:4" ht="15.75" customHeight="1" x14ac:dyDescent="0.3">
      <c r="B215" s="42"/>
      <c r="D215" s="2"/>
    </row>
    <row r="216" spans="2:4" ht="15.75" customHeight="1" x14ac:dyDescent="0.3">
      <c r="B216" s="42"/>
      <c r="D216" s="2"/>
    </row>
    <row r="217" spans="2:4" ht="15.75" customHeight="1" x14ac:dyDescent="0.3">
      <c r="B217" s="42"/>
      <c r="D217" s="2"/>
    </row>
    <row r="218" spans="2:4" ht="15.75" customHeight="1" x14ac:dyDescent="0.3">
      <c r="B218" s="42"/>
      <c r="D218" s="2"/>
    </row>
    <row r="219" spans="2:4" ht="15.75" customHeight="1" x14ac:dyDescent="0.3">
      <c r="B219" s="42"/>
      <c r="D219" s="2"/>
    </row>
    <row r="220" spans="2:4" ht="15.75" customHeight="1" x14ac:dyDescent="0.3">
      <c r="B220" s="42"/>
      <c r="D220" s="2"/>
    </row>
    <row r="221" spans="2:4" ht="15.75" customHeight="1" x14ac:dyDescent="0.3">
      <c r="B221" s="42"/>
      <c r="D221" s="2"/>
    </row>
    <row r="222" spans="2:4" ht="15.75" customHeight="1" x14ac:dyDescent="0.3">
      <c r="B222" s="42"/>
      <c r="D222" s="2"/>
    </row>
    <row r="223" spans="2:4" ht="15.75" customHeight="1" x14ac:dyDescent="0.3">
      <c r="B223" s="42"/>
      <c r="D223" s="2"/>
    </row>
    <row r="224" spans="2:4" ht="15.75" customHeight="1" x14ac:dyDescent="0.3">
      <c r="B224" s="42"/>
      <c r="D224" s="2"/>
    </row>
    <row r="225" spans="2:4" ht="15.75" customHeight="1" x14ac:dyDescent="0.3">
      <c r="B225" s="42"/>
      <c r="D225" s="2"/>
    </row>
    <row r="226" spans="2:4" ht="15.75" customHeight="1" x14ac:dyDescent="0.3">
      <c r="B226" s="42"/>
      <c r="D226" s="2"/>
    </row>
    <row r="227" spans="2:4" ht="15.75" customHeight="1" x14ac:dyDescent="0.3">
      <c r="B227" s="42"/>
      <c r="D227" s="2"/>
    </row>
    <row r="228" spans="2:4" ht="15.75" customHeight="1" x14ac:dyDescent="0.3">
      <c r="B228" s="42"/>
      <c r="D228" s="2"/>
    </row>
    <row r="229" spans="2:4" ht="15.75" customHeight="1" x14ac:dyDescent="0.3">
      <c r="B229" s="42"/>
      <c r="D229" s="2"/>
    </row>
    <row r="230" spans="2:4" ht="15.75" customHeight="1" x14ac:dyDescent="0.3">
      <c r="B230" s="42"/>
      <c r="D230" s="2"/>
    </row>
    <row r="231" spans="2:4" ht="15.75" customHeight="1" x14ac:dyDescent="0.3">
      <c r="B231" s="42"/>
      <c r="D231" s="2"/>
    </row>
    <row r="232" spans="2:4" ht="15.75" customHeight="1" x14ac:dyDescent="0.3">
      <c r="B232" s="42"/>
      <c r="D232" s="2"/>
    </row>
    <row r="233" spans="2:4" ht="15.75" customHeight="1" x14ac:dyDescent="0.3">
      <c r="B233" s="42"/>
      <c r="D233" s="2"/>
    </row>
    <row r="234" spans="2:4" ht="15.75" customHeight="1" x14ac:dyDescent="0.3">
      <c r="B234" s="42"/>
      <c r="D234" s="2"/>
    </row>
    <row r="235" spans="2:4" ht="15.75" customHeight="1" x14ac:dyDescent="0.3">
      <c r="B235" s="42"/>
      <c r="D235" s="2"/>
    </row>
    <row r="236" spans="2:4" ht="15.75" customHeight="1" x14ac:dyDescent="0.3">
      <c r="B236" s="42"/>
      <c r="D236" s="2"/>
    </row>
    <row r="237" spans="2:4" ht="15.75" customHeight="1" x14ac:dyDescent="0.3">
      <c r="B237" s="42"/>
      <c r="D237" s="2"/>
    </row>
    <row r="238" spans="2:4" ht="15.75" customHeight="1" x14ac:dyDescent="0.3">
      <c r="B238" s="42"/>
      <c r="D238" s="2"/>
    </row>
    <row r="239" spans="2:4" ht="15.75" customHeight="1" x14ac:dyDescent="0.3">
      <c r="B239" s="42"/>
      <c r="D239" s="2"/>
    </row>
    <row r="240" spans="2:4" ht="15.75" customHeight="1" x14ac:dyDescent="0.3">
      <c r="B240" s="42"/>
      <c r="D240" s="2"/>
    </row>
    <row r="241" spans="2:4" ht="15.75" customHeight="1" x14ac:dyDescent="0.3">
      <c r="B241" s="42"/>
      <c r="D241" s="2"/>
    </row>
    <row r="242" spans="2:4" ht="15.75" customHeight="1" x14ac:dyDescent="0.3">
      <c r="B242" s="42"/>
      <c r="D242" s="2"/>
    </row>
    <row r="243" spans="2:4" ht="15.75" customHeight="1" x14ac:dyDescent="0.3">
      <c r="B243" s="42"/>
      <c r="D243" s="2"/>
    </row>
    <row r="244" spans="2:4" ht="15.75" customHeight="1" x14ac:dyDescent="0.3">
      <c r="B244" s="42"/>
      <c r="D244" s="2"/>
    </row>
    <row r="245" spans="2:4" ht="15.75" customHeight="1" x14ac:dyDescent="0.3">
      <c r="B245" s="42"/>
      <c r="D245" s="2"/>
    </row>
    <row r="246" spans="2:4" ht="15.75" customHeight="1" x14ac:dyDescent="0.3">
      <c r="B246" s="42"/>
      <c r="D246" s="2"/>
    </row>
    <row r="247" spans="2:4" ht="15.75" customHeight="1" x14ac:dyDescent="0.3">
      <c r="B247" s="42"/>
      <c r="D247" s="2"/>
    </row>
    <row r="248" spans="2:4" ht="15.75" customHeight="1" x14ac:dyDescent="0.3">
      <c r="B248" s="42"/>
      <c r="D248" s="2"/>
    </row>
    <row r="249" spans="2:4" ht="15.75" customHeight="1" x14ac:dyDescent="0.3">
      <c r="B249" s="42"/>
      <c r="D249" s="2"/>
    </row>
    <row r="250" spans="2:4" ht="15.75" customHeight="1" x14ac:dyDescent="0.3">
      <c r="B250" s="42"/>
      <c r="D250" s="2"/>
    </row>
    <row r="251" spans="2:4" ht="15.75" customHeight="1" x14ac:dyDescent="0.3">
      <c r="B251" s="42"/>
      <c r="D251" s="2"/>
    </row>
    <row r="252" spans="2:4" ht="15.75" customHeight="1" x14ac:dyDescent="0.3">
      <c r="B252" s="42"/>
      <c r="D252" s="2"/>
    </row>
    <row r="253" spans="2:4" ht="15.75" customHeight="1" x14ac:dyDescent="0.3">
      <c r="B253" s="42"/>
      <c r="D253" s="2"/>
    </row>
    <row r="254" spans="2:4" ht="15.75" customHeight="1" x14ac:dyDescent="0.3">
      <c r="B254" s="42"/>
      <c r="D254" s="2"/>
    </row>
    <row r="255" spans="2:4" ht="15.75" customHeight="1" x14ac:dyDescent="0.3">
      <c r="B255" s="42"/>
      <c r="D255" s="2"/>
    </row>
    <row r="256" spans="2:4" ht="15.75" customHeight="1" x14ac:dyDescent="0.3">
      <c r="B256" s="42"/>
      <c r="D256" s="2"/>
    </row>
    <row r="257" spans="2:4" ht="15.75" customHeight="1" x14ac:dyDescent="0.3">
      <c r="B257" s="42"/>
      <c r="D257" s="2"/>
    </row>
    <row r="258" spans="2:4" ht="15.75" customHeight="1" x14ac:dyDescent="0.3">
      <c r="B258" s="42"/>
      <c r="D258" s="2"/>
    </row>
    <row r="259" spans="2:4" ht="15.75" customHeight="1" x14ac:dyDescent="0.3">
      <c r="B259" s="42"/>
      <c r="D259" s="2"/>
    </row>
    <row r="260" spans="2:4" ht="15.75" customHeight="1" x14ac:dyDescent="0.3">
      <c r="B260" s="42"/>
      <c r="D260" s="2"/>
    </row>
    <row r="261" spans="2:4" ht="15.75" customHeight="1" x14ac:dyDescent="0.3">
      <c r="B261" s="42"/>
      <c r="D261" s="2"/>
    </row>
    <row r="262" spans="2:4" ht="15.75" customHeight="1" x14ac:dyDescent="0.3">
      <c r="B262" s="42"/>
      <c r="D262" s="2"/>
    </row>
    <row r="263" spans="2:4" ht="15.75" customHeight="1" x14ac:dyDescent="0.3">
      <c r="B263" s="42"/>
      <c r="D263" s="2"/>
    </row>
    <row r="264" spans="2:4" ht="15.75" customHeight="1" x14ac:dyDescent="0.3">
      <c r="B264" s="42"/>
      <c r="D264" s="2"/>
    </row>
    <row r="265" spans="2:4" ht="15.75" customHeight="1" x14ac:dyDescent="0.3">
      <c r="B265" s="42"/>
      <c r="D265" s="2"/>
    </row>
    <row r="266" spans="2:4" ht="15.75" customHeight="1" x14ac:dyDescent="0.3">
      <c r="B266" s="42"/>
      <c r="D266" s="2"/>
    </row>
    <row r="267" spans="2:4" ht="15.75" customHeight="1" x14ac:dyDescent="0.3">
      <c r="B267" s="42"/>
      <c r="D267" s="2"/>
    </row>
    <row r="268" spans="2:4" ht="15.75" customHeight="1" x14ac:dyDescent="0.3">
      <c r="B268" s="42"/>
      <c r="D268" s="2"/>
    </row>
    <row r="269" spans="2:4" ht="15.75" customHeight="1" x14ac:dyDescent="0.3">
      <c r="B269" s="42"/>
      <c r="D269" s="2"/>
    </row>
    <row r="270" spans="2:4" ht="15.75" customHeight="1" x14ac:dyDescent="0.3">
      <c r="B270" s="42"/>
      <c r="D270" s="2"/>
    </row>
    <row r="271" spans="2:4" ht="15.75" customHeight="1" x14ac:dyDescent="0.3">
      <c r="B271" s="42"/>
      <c r="D271" s="2"/>
    </row>
    <row r="272" spans="2:4" ht="15.75" customHeight="1" x14ac:dyDescent="0.3">
      <c r="B272" s="42"/>
      <c r="D272" s="2"/>
    </row>
    <row r="273" spans="2:4" ht="15.75" customHeight="1" x14ac:dyDescent="0.3">
      <c r="B273" s="42"/>
      <c r="D273" s="2"/>
    </row>
    <row r="274" spans="2:4" ht="15.75" customHeight="1" x14ac:dyDescent="0.3">
      <c r="B274" s="42"/>
      <c r="D274" s="2"/>
    </row>
    <row r="275" spans="2:4" ht="15.75" customHeight="1" x14ac:dyDescent="0.3">
      <c r="B275" s="42"/>
      <c r="D275" s="2"/>
    </row>
    <row r="276" spans="2:4" ht="15.75" customHeight="1" x14ac:dyDescent="0.3">
      <c r="B276" s="42"/>
      <c r="D276" s="2"/>
    </row>
    <row r="277" spans="2:4" ht="15.75" customHeight="1" x14ac:dyDescent="0.3">
      <c r="B277" s="42"/>
      <c r="D277" s="2"/>
    </row>
    <row r="278" spans="2:4" ht="15.75" customHeight="1" x14ac:dyDescent="0.3">
      <c r="B278" s="42"/>
      <c r="D278" s="2"/>
    </row>
    <row r="279" spans="2:4" ht="15.75" customHeight="1" x14ac:dyDescent="0.3">
      <c r="B279" s="42"/>
      <c r="D279" s="2"/>
    </row>
    <row r="280" spans="2:4" ht="15.75" customHeight="1" x14ac:dyDescent="0.3">
      <c r="B280" s="42"/>
      <c r="D280" s="2"/>
    </row>
    <row r="281" spans="2:4" ht="15.75" customHeight="1" x14ac:dyDescent="0.3">
      <c r="B281" s="42"/>
      <c r="D281" s="2"/>
    </row>
    <row r="282" spans="2:4" ht="15.75" customHeight="1" x14ac:dyDescent="0.3">
      <c r="B282" s="42"/>
      <c r="D282" s="2"/>
    </row>
    <row r="283" spans="2:4" ht="15.75" customHeight="1" x14ac:dyDescent="0.3">
      <c r="B283" s="42"/>
      <c r="D283" s="2"/>
    </row>
    <row r="284" spans="2:4" ht="15.75" customHeight="1" x14ac:dyDescent="0.3">
      <c r="B284" s="42"/>
      <c r="D284" s="2"/>
    </row>
    <row r="285" spans="2:4" ht="15.75" customHeight="1" x14ac:dyDescent="0.3">
      <c r="B285" s="42"/>
      <c r="D285" s="2"/>
    </row>
    <row r="286" spans="2:4" ht="15.75" customHeight="1" x14ac:dyDescent="0.3">
      <c r="B286" s="42"/>
      <c r="D286" s="2"/>
    </row>
    <row r="287" spans="2:4" ht="15.75" customHeight="1" x14ac:dyDescent="0.3">
      <c r="B287" s="42"/>
      <c r="D287" s="2"/>
    </row>
    <row r="288" spans="2:4" ht="15.75" customHeight="1" x14ac:dyDescent="0.3">
      <c r="B288" s="42"/>
      <c r="D288" s="2"/>
    </row>
    <row r="289" spans="2:4" ht="15.75" customHeight="1" x14ac:dyDescent="0.3">
      <c r="B289" s="42"/>
      <c r="D289" s="2"/>
    </row>
    <row r="290" spans="2:4" ht="15.75" customHeight="1" x14ac:dyDescent="0.3">
      <c r="B290" s="42"/>
      <c r="D290" s="2"/>
    </row>
    <row r="291" spans="2:4" ht="15.75" customHeight="1" x14ac:dyDescent="0.3">
      <c r="B291" s="42"/>
      <c r="D291" s="2"/>
    </row>
    <row r="292" spans="2:4" ht="15.75" customHeight="1" x14ac:dyDescent="0.3">
      <c r="B292" s="42"/>
      <c r="D292" s="2"/>
    </row>
    <row r="293" spans="2:4" ht="15.75" customHeight="1" x14ac:dyDescent="0.3">
      <c r="B293" s="42"/>
      <c r="D293" s="2"/>
    </row>
    <row r="294" spans="2:4" ht="15.75" customHeight="1" x14ac:dyDescent="0.3">
      <c r="B294" s="42"/>
      <c r="D294" s="2"/>
    </row>
    <row r="295" spans="2:4" ht="15.75" customHeight="1" x14ac:dyDescent="0.3">
      <c r="B295" s="42"/>
      <c r="D295" s="2"/>
    </row>
    <row r="296" spans="2:4" ht="15.75" customHeight="1" x14ac:dyDescent="0.3">
      <c r="B296" s="42"/>
      <c r="D296" s="2"/>
    </row>
    <row r="297" spans="2:4" ht="15.75" customHeight="1" x14ac:dyDescent="0.3">
      <c r="B297" s="42"/>
      <c r="D297" s="2"/>
    </row>
    <row r="298" spans="2:4" ht="15.75" customHeight="1" x14ac:dyDescent="0.3">
      <c r="B298" s="42"/>
      <c r="D298" s="2"/>
    </row>
    <row r="299" spans="2:4" ht="15.75" customHeight="1" x14ac:dyDescent="0.3">
      <c r="B299" s="42"/>
      <c r="D299" s="2"/>
    </row>
    <row r="300" spans="2:4" ht="15.75" customHeight="1" x14ac:dyDescent="0.3">
      <c r="B300" s="42"/>
      <c r="D300" s="2"/>
    </row>
    <row r="301" spans="2:4" ht="15.75" customHeight="1" x14ac:dyDescent="0.3">
      <c r="B301" s="42"/>
      <c r="D301" s="2"/>
    </row>
    <row r="302" spans="2:4" ht="15.75" customHeight="1" x14ac:dyDescent="0.3">
      <c r="B302" s="42"/>
      <c r="D302" s="2"/>
    </row>
    <row r="303" spans="2:4" ht="15.75" customHeight="1" x14ac:dyDescent="0.3">
      <c r="B303" s="42"/>
      <c r="D303" s="2"/>
    </row>
    <row r="304" spans="2:4" ht="15.75" customHeight="1" x14ac:dyDescent="0.3">
      <c r="B304" s="42"/>
      <c r="D304" s="2"/>
    </row>
    <row r="305" spans="2:4" ht="15.75" customHeight="1" x14ac:dyDescent="0.3">
      <c r="B305" s="42"/>
      <c r="D305" s="2"/>
    </row>
    <row r="306" spans="2:4" ht="15.75" customHeight="1" x14ac:dyDescent="0.3">
      <c r="B306" s="42"/>
      <c r="D306" s="2"/>
    </row>
    <row r="307" spans="2:4" ht="15.75" customHeight="1" x14ac:dyDescent="0.3">
      <c r="B307" s="42"/>
      <c r="D307" s="2"/>
    </row>
    <row r="308" spans="2:4" ht="15.75" customHeight="1" x14ac:dyDescent="0.3">
      <c r="B308" s="42"/>
      <c r="D308" s="2"/>
    </row>
    <row r="309" spans="2:4" ht="15.75" customHeight="1" x14ac:dyDescent="0.3">
      <c r="B309" s="42"/>
      <c r="D309" s="2"/>
    </row>
    <row r="310" spans="2:4" ht="15.75" customHeight="1" x14ac:dyDescent="0.3">
      <c r="B310" s="42"/>
      <c r="D310" s="2"/>
    </row>
    <row r="311" spans="2:4" ht="15.75" customHeight="1" x14ac:dyDescent="0.3">
      <c r="B311" s="42"/>
      <c r="D311" s="2"/>
    </row>
    <row r="312" spans="2:4" ht="15.75" customHeight="1" x14ac:dyDescent="0.3">
      <c r="B312" s="42"/>
      <c r="D312" s="2"/>
    </row>
    <row r="313" spans="2:4" ht="15.75" customHeight="1" x14ac:dyDescent="0.3">
      <c r="B313" s="42"/>
      <c r="D313" s="2"/>
    </row>
    <row r="314" spans="2:4" ht="15.75" customHeight="1" x14ac:dyDescent="0.3">
      <c r="B314" s="42"/>
      <c r="D314" s="2"/>
    </row>
    <row r="315" spans="2:4" ht="15.75" customHeight="1" x14ac:dyDescent="0.3">
      <c r="B315" s="42"/>
      <c r="D315" s="2"/>
    </row>
    <row r="316" spans="2:4" ht="15.75" customHeight="1" x14ac:dyDescent="0.3">
      <c r="B316" s="42"/>
      <c r="D316" s="2"/>
    </row>
    <row r="317" spans="2:4" ht="15.75" customHeight="1" x14ac:dyDescent="0.3">
      <c r="B317" s="42"/>
      <c r="D317" s="2"/>
    </row>
    <row r="318" spans="2:4" ht="15.75" customHeight="1" x14ac:dyDescent="0.3">
      <c r="B318" s="42"/>
      <c r="D318" s="2"/>
    </row>
    <row r="319" spans="2:4" ht="15.75" customHeight="1" x14ac:dyDescent="0.3">
      <c r="B319" s="42"/>
      <c r="D319" s="2"/>
    </row>
    <row r="320" spans="2:4" ht="15.75" customHeight="1" x14ac:dyDescent="0.3">
      <c r="B320" s="42"/>
      <c r="D320" s="2"/>
    </row>
    <row r="321" spans="2:4" ht="15.75" customHeight="1" x14ac:dyDescent="0.3">
      <c r="B321" s="42"/>
      <c r="D321" s="2"/>
    </row>
    <row r="322" spans="2:4" ht="15.75" customHeight="1" x14ac:dyDescent="0.3">
      <c r="B322" s="42"/>
      <c r="D322" s="2"/>
    </row>
    <row r="323" spans="2:4" ht="15.75" customHeight="1" x14ac:dyDescent="0.3">
      <c r="B323" s="42"/>
      <c r="D323" s="2"/>
    </row>
    <row r="324" spans="2:4" ht="15.75" customHeight="1" x14ac:dyDescent="0.3">
      <c r="B324" s="42"/>
      <c r="D324" s="2"/>
    </row>
    <row r="325" spans="2:4" ht="15.75" customHeight="1" x14ac:dyDescent="0.3">
      <c r="B325" s="42"/>
      <c r="D325" s="2"/>
    </row>
    <row r="326" spans="2:4" ht="15.75" customHeight="1" x14ac:dyDescent="0.3">
      <c r="B326" s="42"/>
      <c r="D326" s="2"/>
    </row>
    <row r="327" spans="2:4" ht="15.75" customHeight="1" x14ac:dyDescent="0.3">
      <c r="B327" s="42"/>
      <c r="D327" s="2"/>
    </row>
    <row r="328" spans="2:4" ht="15.75" customHeight="1" x14ac:dyDescent="0.3">
      <c r="B328" s="42"/>
      <c r="D328" s="2"/>
    </row>
    <row r="329" spans="2:4" ht="15.75" customHeight="1" x14ac:dyDescent="0.3">
      <c r="B329" s="42"/>
      <c r="D329" s="2"/>
    </row>
    <row r="330" spans="2:4" ht="15.75" customHeight="1" x14ac:dyDescent="0.3">
      <c r="B330" s="42"/>
      <c r="D330" s="2"/>
    </row>
    <row r="331" spans="2:4" ht="15.75" customHeight="1" x14ac:dyDescent="0.3">
      <c r="B331" s="42"/>
      <c r="D331" s="2"/>
    </row>
    <row r="332" spans="2:4" ht="15.75" customHeight="1" x14ac:dyDescent="0.3">
      <c r="B332" s="42"/>
      <c r="D332" s="2"/>
    </row>
    <row r="333" spans="2:4" ht="15.75" customHeight="1" x14ac:dyDescent="0.3">
      <c r="B333" s="42"/>
      <c r="D333" s="2"/>
    </row>
    <row r="334" spans="2:4" ht="15.75" customHeight="1" x14ac:dyDescent="0.3">
      <c r="B334" s="42"/>
      <c r="D334" s="2"/>
    </row>
    <row r="335" spans="2:4" ht="15.75" customHeight="1" x14ac:dyDescent="0.3">
      <c r="B335" s="42"/>
      <c r="D335" s="2"/>
    </row>
    <row r="336" spans="2:4" ht="15.75" customHeight="1" x14ac:dyDescent="0.3">
      <c r="B336" s="42"/>
      <c r="D336" s="2"/>
    </row>
    <row r="337" spans="2:4" ht="15.75" customHeight="1" x14ac:dyDescent="0.3">
      <c r="B337" s="42"/>
      <c r="D337" s="2"/>
    </row>
    <row r="338" spans="2:4" ht="15.75" customHeight="1" x14ac:dyDescent="0.3">
      <c r="B338" s="42"/>
      <c r="D338" s="2"/>
    </row>
    <row r="339" spans="2:4" ht="15.75" customHeight="1" x14ac:dyDescent="0.3">
      <c r="B339" s="42"/>
      <c r="D339" s="2"/>
    </row>
    <row r="340" spans="2:4" ht="15.75" customHeight="1" x14ac:dyDescent="0.3">
      <c r="B340" s="42"/>
      <c r="D340" s="2"/>
    </row>
    <row r="341" spans="2:4" ht="15.75" customHeight="1" x14ac:dyDescent="0.3">
      <c r="B341" s="42"/>
      <c r="D341" s="2"/>
    </row>
    <row r="342" spans="2:4" ht="15.75" customHeight="1" x14ac:dyDescent="0.3">
      <c r="B342" s="42"/>
      <c r="D342" s="2"/>
    </row>
    <row r="343" spans="2:4" ht="15.75" customHeight="1" x14ac:dyDescent="0.3">
      <c r="B343" s="42"/>
      <c r="D343" s="2"/>
    </row>
    <row r="344" spans="2:4" ht="15.75" customHeight="1" x14ac:dyDescent="0.3">
      <c r="B344" s="42"/>
      <c r="D344" s="2"/>
    </row>
    <row r="345" spans="2:4" ht="15.75" customHeight="1" x14ac:dyDescent="0.3">
      <c r="B345" s="42"/>
      <c r="D345" s="2"/>
    </row>
    <row r="346" spans="2:4" ht="15.75" customHeight="1" x14ac:dyDescent="0.3">
      <c r="B346" s="42"/>
      <c r="D346" s="2"/>
    </row>
    <row r="347" spans="2:4" ht="15.75" customHeight="1" x14ac:dyDescent="0.3">
      <c r="B347" s="42"/>
      <c r="D347" s="2"/>
    </row>
    <row r="348" spans="2:4" ht="15.75" customHeight="1" x14ac:dyDescent="0.3">
      <c r="B348" s="42"/>
      <c r="D348" s="2"/>
    </row>
    <row r="349" spans="2:4" ht="15.75" customHeight="1" x14ac:dyDescent="0.3">
      <c r="B349" s="42"/>
      <c r="D349" s="2"/>
    </row>
    <row r="350" spans="2:4" ht="15.75" customHeight="1" x14ac:dyDescent="0.3">
      <c r="B350" s="42"/>
      <c r="D350" s="2"/>
    </row>
    <row r="351" spans="2:4" ht="15.75" customHeight="1" x14ac:dyDescent="0.3">
      <c r="B351" s="42"/>
      <c r="D351" s="2"/>
    </row>
    <row r="352" spans="2:4" ht="15.75" customHeight="1" x14ac:dyDescent="0.3">
      <c r="B352" s="42"/>
      <c r="D352" s="2"/>
    </row>
    <row r="353" spans="2:4" ht="15.75" customHeight="1" x14ac:dyDescent="0.3">
      <c r="B353" s="42"/>
      <c r="D353" s="2"/>
    </row>
    <row r="354" spans="2:4" ht="15.75" customHeight="1" x14ac:dyDescent="0.3">
      <c r="B354" s="42"/>
      <c r="D354" s="2"/>
    </row>
    <row r="355" spans="2:4" ht="15.75" customHeight="1" x14ac:dyDescent="0.3">
      <c r="B355" s="42"/>
      <c r="D355" s="2"/>
    </row>
    <row r="356" spans="2:4" ht="15.75" customHeight="1" x14ac:dyDescent="0.3">
      <c r="B356" s="42"/>
      <c r="D356" s="2"/>
    </row>
    <row r="357" spans="2:4" ht="15.75" customHeight="1" x14ac:dyDescent="0.3">
      <c r="B357" s="42"/>
      <c r="D357" s="2"/>
    </row>
    <row r="358" spans="2:4" ht="15.75" customHeight="1" x14ac:dyDescent="0.3">
      <c r="B358" s="42"/>
      <c r="D358" s="2"/>
    </row>
    <row r="359" spans="2:4" ht="15.75" customHeight="1" x14ac:dyDescent="0.3">
      <c r="B359" s="42"/>
      <c r="D359" s="2"/>
    </row>
    <row r="360" spans="2:4" ht="15.75" customHeight="1" x14ac:dyDescent="0.3">
      <c r="B360" s="42"/>
      <c r="D360" s="2"/>
    </row>
    <row r="361" spans="2:4" ht="15.75" customHeight="1" x14ac:dyDescent="0.3">
      <c r="B361" s="42"/>
      <c r="D361" s="2"/>
    </row>
    <row r="362" spans="2:4" ht="15.75" customHeight="1" x14ac:dyDescent="0.3">
      <c r="B362" s="42"/>
      <c r="D362" s="2"/>
    </row>
    <row r="363" spans="2:4" ht="15.75" customHeight="1" x14ac:dyDescent="0.3">
      <c r="B363" s="42"/>
      <c r="D363" s="2"/>
    </row>
    <row r="364" spans="2:4" ht="15.75" customHeight="1" x14ac:dyDescent="0.3">
      <c r="B364" s="42"/>
      <c r="D364" s="2"/>
    </row>
    <row r="365" spans="2:4" ht="15.75" customHeight="1" x14ac:dyDescent="0.3">
      <c r="B365" s="42"/>
      <c r="D365" s="2"/>
    </row>
    <row r="366" spans="2:4" ht="15.75" customHeight="1" x14ac:dyDescent="0.3">
      <c r="B366" s="42"/>
      <c r="D366" s="2"/>
    </row>
    <row r="367" spans="2:4" ht="15.75" customHeight="1" x14ac:dyDescent="0.3">
      <c r="B367" s="42"/>
      <c r="D367" s="2"/>
    </row>
    <row r="368" spans="2:4" ht="15.75" customHeight="1" x14ac:dyDescent="0.3">
      <c r="B368" s="42"/>
      <c r="D368" s="2"/>
    </row>
    <row r="369" spans="2:4" ht="15.75" customHeight="1" x14ac:dyDescent="0.3">
      <c r="B369" s="42"/>
      <c r="D369" s="2"/>
    </row>
    <row r="370" spans="2:4" ht="15.75" customHeight="1" x14ac:dyDescent="0.3">
      <c r="B370" s="42"/>
      <c r="D370" s="2"/>
    </row>
    <row r="371" spans="2:4" ht="15.75" customHeight="1" x14ac:dyDescent="0.3">
      <c r="B371" s="42"/>
      <c r="D371" s="2"/>
    </row>
    <row r="372" spans="2:4" ht="15.75" customHeight="1" x14ac:dyDescent="0.3">
      <c r="B372" s="42"/>
      <c r="D372" s="2"/>
    </row>
    <row r="373" spans="2:4" ht="15.75" customHeight="1" x14ac:dyDescent="0.3">
      <c r="B373" s="42"/>
      <c r="D373" s="2"/>
    </row>
    <row r="374" spans="2:4" ht="15.75" customHeight="1" x14ac:dyDescent="0.3">
      <c r="B374" s="42"/>
      <c r="D374" s="2"/>
    </row>
    <row r="375" spans="2:4" ht="15.75" customHeight="1" x14ac:dyDescent="0.3">
      <c r="B375" s="42"/>
      <c r="D375" s="2"/>
    </row>
    <row r="376" spans="2:4" ht="15.75" customHeight="1" x14ac:dyDescent="0.3">
      <c r="B376" s="42"/>
      <c r="D376" s="2"/>
    </row>
    <row r="377" spans="2:4" ht="15.75" customHeight="1" x14ac:dyDescent="0.3">
      <c r="B377" s="42"/>
      <c r="D377" s="2"/>
    </row>
    <row r="378" spans="2:4" ht="15.75" customHeight="1" x14ac:dyDescent="0.3">
      <c r="B378" s="42"/>
      <c r="D378" s="2"/>
    </row>
    <row r="379" spans="2:4" ht="15.75" customHeight="1" x14ac:dyDescent="0.3">
      <c r="B379" s="42"/>
      <c r="D379" s="2"/>
    </row>
    <row r="380" spans="2:4" ht="15.75" customHeight="1" x14ac:dyDescent="0.3">
      <c r="B380" s="42"/>
      <c r="D380" s="2"/>
    </row>
    <row r="381" spans="2:4" ht="15.75" customHeight="1" x14ac:dyDescent="0.3">
      <c r="B381" s="42"/>
      <c r="D381" s="2"/>
    </row>
    <row r="382" spans="2:4" ht="15.75" customHeight="1" x14ac:dyDescent="0.3">
      <c r="B382" s="42"/>
      <c r="D382" s="2"/>
    </row>
    <row r="383" spans="2:4" ht="15.75" customHeight="1" x14ac:dyDescent="0.3">
      <c r="B383" s="42"/>
      <c r="D383" s="2"/>
    </row>
    <row r="384" spans="2:4" ht="15.75" customHeight="1" x14ac:dyDescent="0.3">
      <c r="B384" s="42"/>
      <c r="D384" s="2"/>
    </row>
    <row r="385" spans="2:4" ht="15.75" customHeight="1" x14ac:dyDescent="0.3">
      <c r="B385" s="42"/>
      <c r="D385" s="2"/>
    </row>
    <row r="386" spans="2:4" ht="15.75" customHeight="1" x14ac:dyDescent="0.3">
      <c r="B386" s="42"/>
      <c r="D386" s="2"/>
    </row>
    <row r="387" spans="2:4" ht="15.75" customHeight="1" x14ac:dyDescent="0.3">
      <c r="B387" s="42"/>
      <c r="D387" s="2"/>
    </row>
    <row r="388" spans="2:4" ht="15.75" customHeight="1" x14ac:dyDescent="0.3">
      <c r="B388" s="42"/>
      <c r="D388" s="2"/>
    </row>
    <row r="389" spans="2:4" ht="15.75" customHeight="1" x14ac:dyDescent="0.3">
      <c r="B389" s="42"/>
      <c r="D389" s="2"/>
    </row>
    <row r="390" spans="2:4" ht="15.75" customHeight="1" x14ac:dyDescent="0.3">
      <c r="B390" s="42"/>
      <c r="D390" s="2"/>
    </row>
    <row r="391" spans="2:4" ht="15.75" customHeight="1" x14ac:dyDescent="0.3">
      <c r="B391" s="42"/>
      <c r="D391" s="2"/>
    </row>
    <row r="392" spans="2:4" ht="15.75" customHeight="1" x14ac:dyDescent="0.3">
      <c r="B392" s="42"/>
      <c r="D392" s="2"/>
    </row>
    <row r="393" spans="2:4" ht="15.75" customHeight="1" x14ac:dyDescent="0.3">
      <c r="B393" s="42"/>
      <c r="D393" s="2"/>
    </row>
    <row r="394" spans="2:4" ht="15.75" customHeight="1" x14ac:dyDescent="0.3">
      <c r="B394" s="42"/>
      <c r="D394" s="2"/>
    </row>
    <row r="395" spans="2:4" ht="15.75" customHeight="1" x14ac:dyDescent="0.3">
      <c r="B395" s="42"/>
      <c r="D395" s="2"/>
    </row>
    <row r="396" spans="2:4" ht="15.75" customHeight="1" x14ac:dyDescent="0.3">
      <c r="B396" s="42"/>
      <c r="D396" s="2"/>
    </row>
    <row r="397" spans="2:4" ht="15.75" customHeight="1" x14ac:dyDescent="0.3">
      <c r="B397" s="42"/>
      <c r="D397" s="2"/>
    </row>
    <row r="398" spans="2:4" ht="15.75" customHeight="1" x14ac:dyDescent="0.3">
      <c r="B398" s="42"/>
      <c r="D398" s="2"/>
    </row>
    <row r="399" spans="2:4" ht="15.75" customHeight="1" x14ac:dyDescent="0.3">
      <c r="B399" s="42"/>
      <c r="D399" s="2"/>
    </row>
    <row r="400" spans="2:4" ht="15.75" customHeight="1" x14ac:dyDescent="0.3">
      <c r="B400" s="42"/>
      <c r="D400" s="2"/>
    </row>
    <row r="401" spans="2:4" ht="15.75" customHeight="1" x14ac:dyDescent="0.3">
      <c r="B401" s="42"/>
      <c r="D401" s="2"/>
    </row>
    <row r="402" spans="2:4" ht="15.75" customHeight="1" x14ac:dyDescent="0.3">
      <c r="B402" s="42"/>
      <c r="D402" s="2"/>
    </row>
    <row r="403" spans="2:4" ht="15.75" customHeight="1" x14ac:dyDescent="0.3">
      <c r="B403" s="42"/>
      <c r="D403" s="2"/>
    </row>
    <row r="404" spans="2:4" ht="15.75" customHeight="1" x14ac:dyDescent="0.3">
      <c r="B404" s="42"/>
      <c r="D404" s="2"/>
    </row>
    <row r="405" spans="2:4" ht="15.75" customHeight="1" x14ac:dyDescent="0.3">
      <c r="B405" s="42"/>
      <c r="D405" s="2"/>
    </row>
    <row r="406" spans="2:4" ht="15.75" customHeight="1" x14ac:dyDescent="0.3">
      <c r="B406" s="42"/>
      <c r="D406" s="2"/>
    </row>
    <row r="407" spans="2:4" ht="15.75" customHeight="1" x14ac:dyDescent="0.3">
      <c r="B407" s="42"/>
      <c r="D407" s="2"/>
    </row>
    <row r="408" spans="2:4" ht="15.75" customHeight="1" x14ac:dyDescent="0.3">
      <c r="B408" s="42"/>
      <c r="D408" s="2"/>
    </row>
    <row r="409" spans="2:4" ht="15.75" customHeight="1" x14ac:dyDescent="0.3">
      <c r="B409" s="42"/>
      <c r="D409" s="2"/>
    </row>
    <row r="410" spans="2:4" ht="15.75" customHeight="1" x14ac:dyDescent="0.3">
      <c r="B410" s="42"/>
      <c r="D410" s="2"/>
    </row>
    <row r="411" spans="2:4" ht="15.75" customHeight="1" x14ac:dyDescent="0.3">
      <c r="B411" s="42"/>
      <c r="D411" s="2"/>
    </row>
    <row r="412" spans="2:4" ht="15.75" customHeight="1" x14ac:dyDescent="0.3">
      <c r="B412" s="42"/>
      <c r="D412" s="2"/>
    </row>
    <row r="413" spans="2:4" ht="15.75" customHeight="1" x14ac:dyDescent="0.3">
      <c r="B413" s="42"/>
      <c r="D413" s="2"/>
    </row>
    <row r="414" spans="2:4" ht="15.75" customHeight="1" x14ac:dyDescent="0.3">
      <c r="B414" s="42"/>
      <c r="D414" s="2"/>
    </row>
    <row r="415" spans="2:4" ht="15.75" customHeight="1" x14ac:dyDescent="0.3">
      <c r="B415" s="42"/>
      <c r="D415" s="2"/>
    </row>
    <row r="416" spans="2:4" ht="15.75" customHeight="1" x14ac:dyDescent="0.3">
      <c r="B416" s="42"/>
      <c r="D416" s="2"/>
    </row>
    <row r="417" spans="2:4" ht="15.75" customHeight="1" x14ac:dyDescent="0.3">
      <c r="B417" s="42"/>
      <c r="D417" s="2"/>
    </row>
    <row r="418" spans="2:4" ht="15.75" customHeight="1" x14ac:dyDescent="0.3">
      <c r="B418" s="42"/>
      <c r="D418" s="2"/>
    </row>
    <row r="419" spans="2:4" ht="15.75" customHeight="1" x14ac:dyDescent="0.3">
      <c r="B419" s="42"/>
      <c r="D419" s="2"/>
    </row>
    <row r="420" spans="2:4" ht="15.75" customHeight="1" x14ac:dyDescent="0.3">
      <c r="B420" s="42"/>
      <c r="D420" s="2"/>
    </row>
    <row r="421" spans="2:4" ht="15.75" customHeight="1" x14ac:dyDescent="0.3">
      <c r="B421" s="42"/>
      <c r="D421" s="2"/>
    </row>
    <row r="422" spans="2:4" ht="15.75" customHeight="1" x14ac:dyDescent="0.3">
      <c r="B422" s="42"/>
      <c r="D422" s="2"/>
    </row>
    <row r="423" spans="2:4" ht="15.75" customHeight="1" x14ac:dyDescent="0.3">
      <c r="B423" s="42"/>
      <c r="D423" s="2"/>
    </row>
    <row r="424" spans="2:4" ht="15.75" customHeight="1" x14ac:dyDescent="0.3">
      <c r="B424" s="42"/>
      <c r="D424" s="2"/>
    </row>
    <row r="425" spans="2:4" ht="15.75" customHeight="1" x14ac:dyDescent="0.3">
      <c r="B425" s="42"/>
      <c r="D425" s="2"/>
    </row>
    <row r="426" spans="2:4" ht="15.75" customHeight="1" x14ac:dyDescent="0.3">
      <c r="B426" s="42"/>
      <c r="D426" s="2"/>
    </row>
    <row r="427" spans="2:4" ht="15.75" customHeight="1" x14ac:dyDescent="0.3">
      <c r="B427" s="42"/>
      <c r="D427" s="2"/>
    </row>
    <row r="428" spans="2:4" ht="15.75" customHeight="1" x14ac:dyDescent="0.3">
      <c r="B428" s="42"/>
      <c r="D428" s="2"/>
    </row>
    <row r="429" spans="2:4" ht="15.75" customHeight="1" x14ac:dyDescent="0.3">
      <c r="B429" s="42"/>
      <c r="D429" s="2"/>
    </row>
    <row r="430" spans="2:4" ht="15.75" customHeight="1" x14ac:dyDescent="0.3">
      <c r="B430" s="42"/>
      <c r="D430" s="2"/>
    </row>
    <row r="431" spans="2:4" ht="15.75" customHeight="1" x14ac:dyDescent="0.3">
      <c r="B431" s="42"/>
      <c r="D431" s="2"/>
    </row>
    <row r="432" spans="2:4" ht="15.75" customHeight="1" x14ac:dyDescent="0.3">
      <c r="B432" s="42"/>
      <c r="D432" s="2"/>
    </row>
    <row r="433" spans="2:4" ht="15.75" customHeight="1" x14ac:dyDescent="0.3">
      <c r="B433" s="42"/>
      <c r="D433" s="2"/>
    </row>
    <row r="434" spans="2:4" ht="15.75" customHeight="1" x14ac:dyDescent="0.3">
      <c r="B434" s="42"/>
      <c r="D434" s="2"/>
    </row>
    <row r="435" spans="2:4" ht="15.75" customHeight="1" x14ac:dyDescent="0.3">
      <c r="B435" s="42"/>
      <c r="D435" s="2"/>
    </row>
    <row r="436" spans="2:4" ht="15.75" customHeight="1" x14ac:dyDescent="0.3">
      <c r="B436" s="42"/>
      <c r="D436" s="2"/>
    </row>
    <row r="437" spans="2:4" ht="15.75" customHeight="1" x14ac:dyDescent="0.3">
      <c r="B437" s="42"/>
      <c r="D437" s="2"/>
    </row>
    <row r="438" spans="2:4" ht="15.75" customHeight="1" x14ac:dyDescent="0.3">
      <c r="B438" s="42"/>
      <c r="D438" s="2"/>
    </row>
    <row r="439" spans="2:4" ht="15.75" customHeight="1" x14ac:dyDescent="0.3">
      <c r="B439" s="42"/>
      <c r="D439" s="2"/>
    </row>
    <row r="440" spans="2:4" ht="15.75" customHeight="1" x14ac:dyDescent="0.3">
      <c r="B440" s="42"/>
      <c r="D440" s="2"/>
    </row>
    <row r="441" spans="2:4" ht="15.75" customHeight="1" x14ac:dyDescent="0.3">
      <c r="B441" s="42"/>
      <c r="D441" s="2"/>
    </row>
    <row r="442" spans="2:4" ht="15.75" customHeight="1" x14ac:dyDescent="0.3">
      <c r="B442" s="42"/>
      <c r="D442" s="2"/>
    </row>
    <row r="443" spans="2:4" ht="15.75" customHeight="1" x14ac:dyDescent="0.3">
      <c r="B443" s="42"/>
      <c r="D443" s="2"/>
    </row>
    <row r="444" spans="2:4" ht="15.75" customHeight="1" x14ac:dyDescent="0.3">
      <c r="B444" s="42"/>
      <c r="D444" s="2"/>
    </row>
    <row r="445" spans="2:4" ht="15.75" customHeight="1" x14ac:dyDescent="0.3">
      <c r="B445" s="42"/>
      <c r="D445" s="2"/>
    </row>
    <row r="446" spans="2:4" ht="15.75" customHeight="1" x14ac:dyDescent="0.3">
      <c r="B446" s="42"/>
      <c r="D446" s="2"/>
    </row>
    <row r="447" spans="2:4" ht="15.75" customHeight="1" x14ac:dyDescent="0.3">
      <c r="B447" s="42"/>
      <c r="D447" s="2"/>
    </row>
    <row r="448" spans="2:4" ht="15.75" customHeight="1" x14ac:dyDescent="0.3">
      <c r="B448" s="42"/>
      <c r="D448" s="2"/>
    </row>
    <row r="449" spans="2:4" ht="15.75" customHeight="1" x14ac:dyDescent="0.3">
      <c r="B449" s="42"/>
      <c r="D449" s="2"/>
    </row>
    <row r="450" spans="2:4" ht="15.75" customHeight="1" x14ac:dyDescent="0.3">
      <c r="B450" s="42"/>
      <c r="D450" s="2"/>
    </row>
    <row r="451" spans="2:4" ht="15.75" customHeight="1" x14ac:dyDescent="0.3">
      <c r="B451" s="42"/>
      <c r="D451" s="2"/>
    </row>
    <row r="452" spans="2:4" ht="15.75" customHeight="1" x14ac:dyDescent="0.3">
      <c r="B452" s="42"/>
      <c r="D452" s="2"/>
    </row>
    <row r="453" spans="2:4" ht="15.75" customHeight="1" x14ac:dyDescent="0.3">
      <c r="B453" s="42"/>
      <c r="D453" s="2"/>
    </row>
    <row r="454" spans="2:4" ht="15.75" customHeight="1" x14ac:dyDescent="0.3">
      <c r="B454" s="42"/>
      <c r="D454" s="2"/>
    </row>
    <row r="455" spans="2:4" ht="15.75" customHeight="1" x14ac:dyDescent="0.3">
      <c r="B455" s="42"/>
      <c r="D455" s="2"/>
    </row>
    <row r="456" spans="2:4" ht="15.75" customHeight="1" x14ac:dyDescent="0.3">
      <c r="B456" s="42"/>
      <c r="D456" s="2"/>
    </row>
    <row r="457" spans="2:4" ht="15.75" customHeight="1" x14ac:dyDescent="0.3">
      <c r="B457" s="42"/>
      <c r="D457" s="2"/>
    </row>
    <row r="458" spans="2:4" ht="15.75" customHeight="1" x14ac:dyDescent="0.3">
      <c r="B458" s="42"/>
      <c r="D458" s="2"/>
    </row>
    <row r="459" spans="2:4" ht="15.75" customHeight="1" x14ac:dyDescent="0.3">
      <c r="B459" s="42"/>
      <c r="D459" s="2"/>
    </row>
    <row r="460" spans="2:4" ht="15.75" customHeight="1" x14ac:dyDescent="0.3">
      <c r="B460" s="42"/>
      <c r="D460" s="2"/>
    </row>
    <row r="461" spans="2:4" ht="15.75" customHeight="1" x14ac:dyDescent="0.3">
      <c r="B461" s="42"/>
      <c r="D461" s="2"/>
    </row>
    <row r="462" spans="2:4" ht="15.75" customHeight="1" x14ac:dyDescent="0.3">
      <c r="B462" s="42"/>
      <c r="D462" s="2"/>
    </row>
    <row r="463" spans="2:4" ht="15.75" customHeight="1" x14ac:dyDescent="0.3">
      <c r="B463" s="42"/>
      <c r="D463" s="2"/>
    </row>
    <row r="464" spans="2:4" ht="15.75" customHeight="1" x14ac:dyDescent="0.3">
      <c r="B464" s="42"/>
      <c r="D464" s="2"/>
    </row>
    <row r="465" spans="2:4" ht="15.75" customHeight="1" x14ac:dyDescent="0.3">
      <c r="B465" s="42"/>
      <c r="D465" s="2"/>
    </row>
    <row r="466" spans="2:4" ht="15.75" customHeight="1" x14ac:dyDescent="0.3">
      <c r="B466" s="42"/>
      <c r="D466" s="2"/>
    </row>
    <row r="467" spans="2:4" ht="15.75" customHeight="1" x14ac:dyDescent="0.3">
      <c r="B467" s="42"/>
      <c r="D467" s="2"/>
    </row>
    <row r="468" spans="2:4" ht="15.75" customHeight="1" x14ac:dyDescent="0.3">
      <c r="B468" s="42"/>
      <c r="D468" s="2"/>
    </row>
    <row r="469" spans="2:4" ht="15.75" customHeight="1" x14ac:dyDescent="0.3">
      <c r="B469" s="42"/>
      <c r="D469" s="2"/>
    </row>
    <row r="470" spans="2:4" ht="15.75" customHeight="1" x14ac:dyDescent="0.3">
      <c r="B470" s="42"/>
      <c r="D470" s="2"/>
    </row>
    <row r="471" spans="2:4" ht="15.75" customHeight="1" x14ac:dyDescent="0.3">
      <c r="B471" s="42"/>
      <c r="D471" s="2"/>
    </row>
    <row r="472" spans="2:4" ht="15.75" customHeight="1" x14ac:dyDescent="0.3">
      <c r="B472" s="42"/>
      <c r="D472" s="2"/>
    </row>
    <row r="473" spans="2:4" ht="15.75" customHeight="1" x14ac:dyDescent="0.3">
      <c r="B473" s="42"/>
      <c r="D473" s="2"/>
    </row>
    <row r="474" spans="2:4" ht="15.75" customHeight="1" x14ac:dyDescent="0.3">
      <c r="B474" s="42"/>
      <c r="D474" s="2"/>
    </row>
    <row r="475" spans="2:4" ht="15.75" customHeight="1" x14ac:dyDescent="0.3">
      <c r="B475" s="42"/>
      <c r="D475" s="2"/>
    </row>
    <row r="476" spans="2:4" ht="15.75" customHeight="1" x14ac:dyDescent="0.3">
      <c r="B476" s="42"/>
      <c r="D476" s="2"/>
    </row>
    <row r="477" spans="2:4" ht="15.75" customHeight="1" x14ac:dyDescent="0.3">
      <c r="B477" s="42"/>
      <c r="D477" s="2"/>
    </row>
    <row r="478" spans="2:4" ht="15.75" customHeight="1" x14ac:dyDescent="0.3">
      <c r="B478" s="42"/>
      <c r="D478" s="2"/>
    </row>
    <row r="479" spans="2:4" ht="15.75" customHeight="1" x14ac:dyDescent="0.3">
      <c r="B479" s="42"/>
      <c r="D479" s="2"/>
    </row>
    <row r="480" spans="2:4" ht="15.75" customHeight="1" x14ac:dyDescent="0.3">
      <c r="B480" s="42"/>
      <c r="D480" s="2"/>
    </row>
    <row r="481" spans="2:4" ht="15.75" customHeight="1" x14ac:dyDescent="0.3">
      <c r="B481" s="42"/>
      <c r="D481" s="2"/>
    </row>
    <row r="482" spans="2:4" ht="15.75" customHeight="1" x14ac:dyDescent="0.3">
      <c r="B482" s="42"/>
      <c r="D482" s="2"/>
    </row>
    <row r="483" spans="2:4" ht="15.75" customHeight="1" x14ac:dyDescent="0.3">
      <c r="B483" s="42"/>
      <c r="D483" s="2"/>
    </row>
    <row r="484" spans="2:4" ht="15.75" customHeight="1" x14ac:dyDescent="0.3">
      <c r="B484" s="42"/>
      <c r="D484" s="2"/>
    </row>
    <row r="485" spans="2:4" ht="15.75" customHeight="1" x14ac:dyDescent="0.3">
      <c r="B485" s="42"/>
      <c r="D485" s="2"/>
    </row>
    <row r="486" spans="2:4" ht="15.75" customHeight="1" x14ac:dyDescent="0.3">
      <c r="B486" s="42"/>
      <c r="D486" s="2"/>
    </row>
    <row r="487" spans="2:4" ht="15.75" customHeight="1" x14ac:dyDescent="0.3">
      <c r="B487" s="42"/>
      <c r="D487" s="2"/>
    </row>
    <row r="488" spans="2:4" ht="15.75" customHeight="1" x14ac:dyDescent="0.3">
      <c r="B488" s="42"/>
      <c r="D488" s="2"/>
    </row>
    <row r="489" spans="2:4" ht="15.75" customHeight="1" x14ac:dyDescent="0.3">
      <c r="B489" s="42"/>
      <c r="D489" s="2"/>
    </row>
    <row r="490" spans="2:4" ht="15.75" customHeight="1" x14ac:dyDescent="0.3">
      <c r="B490" s="42"/>
      <c r="D490" s="2"/>
    </row>
    <row r="491" spans="2:4" ht="15.75" customHeight="1" x14ac:dyDescent="0.3">
      <c r="B491" s="42"/>
      <c r="D491" s="2"/>
    </row>
    <row r="492" spans="2:4" ht="15.75" customHeight="1" x14ac:dyDescent="0.3">
      <c r="B492" s="42"/>
      <c r="D492" s="2"/>
    </row>
    <row r="493" spans="2:4" ht="15.75" customHeight="1" x14ac:dyDescent="0.3">
      <c r="B493" s="42"/>
      <c r="D493" s="2"/>
    </row>
    <row r="494" spans="2:4" ht="15.75" customHeight="1" x14ac:dyDescent="0.3">
      <c r="B494" s="42"/>
      <c r="D494" s="2"/>
    </row>
    <row r="495" spans="2:4" ht="15.75" customHeight="1" x14ac:dyDescent="0.3">
      <c r="B495" s="42"/>
      <c r="D495" s="2"/>
    </row>
    <row r="496" spans="2:4" ht="15.75" customHeight="1" x14ac:dyDescent="0.3">
      <c r="B496" s="42"/>
      <c r="D496" s="2"/>
    </row>
    <row r="497" spans="2:4" ht="15.75" customHeight="1" x14ac:dyDescent="0.3">
      <c r="B497" s="42"/>
      <c r="D497" s="2"/>
    </row>
    <row r="498" spans="2:4" ht="15.75" customHeight="1" x14ac:dyDescent="0.3">
      <c r="B498" s="42"/>
      <c r="D498" s="2"/>
    </row>
    <row r="499" spans="2:4" ht="15.75" customHeight="1" x14ac:dyDescent="0.3">
      <c r="B499" s="42"/>
      <c r="D499" s="2"/>
    </row>
    <row r="500" spans="2:4" ht="15.75" customHeight="1" x14ac:dyDescent="0.3">
      <c r="B500" s="42"/>
      <c r="D500" s="2"/>
    </row>
    <row r="501" spans="2:4" ht="15.75" customHeight="1" x14ac:dyDescent="0.3">
      <c r="B501" s="42"/>
      <c r="D501" s="2"/>
    </row>
    <row r="502" spans="2:4" ht="15.75" customHeight="1" x14ac:dyDescent="0.3">
      <c r="B502" s="42"/>
      <c r="D502" s="2"/>
    </row>
    <row r="503" spans="2:4" ht="15.75" customHeight="1" x14ac:dyDescent="0.3">
      <c r="B503" s="42"/>
      <c r="D503" s="2"/>
    </row>
    <row r="504" spans="2:4" ht="15.75" customHeight="1" x14ac:dyDescent="0.3">
      <c r="B504" s="42"/>
      <c r="D504" s="2"/>
    </row>
    <row r="505" spans="2:4" ht="15.75" customHeight="1" x14ac:dyDescent="0.3">
      <c r="B505" s="42"/>
      <c r="D505" s="2"/>
    </row>
    <row r="506" spans="2:4" ht="15.75" customHeight="1" x14ac:dyDescent="0.3">
      <c r="B506" s="42"/>
      <c r="D506" s="2"/>
    </row>
    <row r="507" spans="2:4" ht="15.75" customHeight="1" x14ac:dyDescent="0.3">
      <c r="B507" s="42"/>
      <c r="D507" s="2"/>
    </row>
    <row r="508" spans="2:4" ht="15.75" customHeight="1" x14ac:dyDescent="0.3">
      <c r="B508" s="42"/>
      <c r="D508" s="2"/>
    </row>
    <row r="509" spans="2:4" ht="15.75" customHeight="1" x14ac:dyDescent="0.3">
      <c r="B509" s="42"/>
      <c r="D509" s="2"/>
    </row>
    <row r="510" spans="2:4" ht="15.75" customHeight="1" x14ac:dyDescent="0.3">
      <c r="B510" s="42"/>
      <c r="D510" s="2"/>
    </row>
    <row r="511" spans="2:4" ht="15.75" customHeight="1" x14ac:dyDescent="0.3">
      <c r="B511" s="42"/>
      <c r="D511" s="2"/>
    </row>
    <row r="512" spans="2:4" ht="15.75" customHeight="1" x14ac:dyDescent="0.3">
      <c r="B512" s="42"/>
      <c r="D512" s="2"/>
    </row>
    <row r="513" spans="2:4" ht="15.75" customHeight="1" x14ac:dyDescent="0.3">
      <c r="B513" s="42"/>
      <c r="D513" s="2"/>
    </row>
    <row r="514" spans="2:4" ht="15.75" customHeight="1" x14ac:dyDescent="0.3">
      <c r="B514" s="42"/>
      <c r="D514" s="2"/>
    </row>
    <row r="515" spans="2:4" ht="15.75" customHeight="1" x14ac:dyDescent="0.3">
      <c r="B515" s="42"/>
      <c r="D515" s="2"/>
    </row>
    <row r="516" spans="2:4" ht="15.75" customHeight="1" x14ac:dyDescent="0.3">
      <c r="B516" s="42"/>
      <c r="D516" s="2"/>
    </row>
    <row r="517" spans="2:4" ht="15.75" customHeight="1" x14ac:dyDescent="0.3">
      <c r="B517" s="42"/>
      <c r="D517" s="2"/>
    </row>
    <row r="518" spans="2:4" ht="15.75" customHeight="1" x14ac:dyDescent="0.3">
      <c r="B518" s="42"/>
      <c r="D518" s="2"/>
    </row>
    <row r="519" spans="2:4" ht="15.75" customHeight="1" x14ac:dyDescent="0.3">
      <c r="B519" s="42"/>
      <c r="D519" s="2"/>
    </row>
    <row r="520" spans="2:4" ht="15.75" customHeight="1" x14ac:dyDescent="0.3">
      <c r="B520" s="42"/>
      <c r="D520" s="2"/>
    </row>
    <row r="521" spans="2:4" ht="15.75" customHeight="1" x14ac:dyDescent="0.3">
      <c r="B521" s="42"/>
      <c r="D521" s="2"/>
    </row>
    <row r="522" spans="2:4" ht="15.75" customHeight="1" x14ac:dyDescent="0.3">
      <c r="B522" s="42"/>
      <c r="D522" s="2"/>
    </row>
    <row r="523" spans="2:4" ht="15.75" customHeight="1" x14ac:dyDescent="0.3">
      <c r="B523" s="42"/>
      <c r="D523" s="2"/>
    </row>
    <row r="524" spans="2:4" ht="15.75" customHeight="1" x14ac:dyDescent="0.3">
      <c r="B524" s="42"/>
      <c r="D524" s="2"/>
    </row>
    <row r="525" spans="2:4" ht="15.75" customHeight="1" x14ac:dyDescent="0.3">
      <c r="B525" s="42"/>
      <c r="D525" s="2"/>
    </row>
    <row r="526" spans="2:4" ht="15.75" customHeight="1" x14ac:dyDescent="0.3">
      <c r="B526" s="42"/>
      <c r="D526" s="2"/>
    </row>
    <row r="527" spans="2:4" ht="15.75" customHeight="1" x14ac:dyDescent="0.3">
      <c r="B527" s="42"/>
      <c r="D527" s="2"/>
    </row>
    <row r="528" spans="2:4" ht="15.75" customHeight="1" x14ac:dyDescent="0.3">
      <c r="B528" s="42"/>
      <c r="D528" s="2"/>
    </row>
    <row r="529" spans="2:4" ht="15.75" customHeight="1" x14ac:dyDescent="0.3">
      <c r="B529" s="42"/>
      <c r="D529" s="2"/>
    </row>
    <row r="530" spans="2:4" ht="15.75" customHeight="1" x14ac:dyDescent="0.3">
      <c r="B530" s="42"/>
      <c r="D530" s="2"/>
    </row>
    <row r="531" spans="2:4" ht="15.75" customHeight="1" x14ac:dyDescent="0.3">
      <c r="B531" s="42"/>
      <c r="D531" s="2"/>
    </row>
    <row r="532" spans="2:4" ht="15.75" customHeight="1" x14ac:dyDescent="0.3">
      <c r="B532" s="42"/>
      <c r="D532" s="2"/>
    </row>
    <row r="533" spans="2:4" ht="15.75" customHeight="1" x14ac:dyDescent="0.3">
      <c r="B533" s="42"/>
      <c r="D533" s="2"/>
    </row>
    <row r="534" spans="2:4" ht="15.75" customHeight="1" x14ac:dyDescent="0.3">
      <c r="B534" s="42"/>
      <c r="D534" s="2"/>
    </row>
    <row r="535" spans="2:4" ht="15.75" customHeight="1" x14ac:dyDescent="0.3">
      <c r="B535" s="42"/>
      <c r="D535" s="2"/>
    </row>
    <row r="536" spans="2:4" ht="15.75" customHeight="1" x14ac:dyDescent="0.3">
      <c r="B536" s="42"/>
      <c r="D536" s="2"/>
    </row>
    <row r="537" spans="2:4" ht="15.75" customHeight="1" x14ac:dyDescent="0.3">
      <c r="B537" s="42"/>
      <c r="D537" s="2"/>
    </row>
    <row r="538" spans="2:4" ht="15.75" customHeight="1" x14ac:dyDescent="0.3">
      <c r="B538" s="42"/>
      <c r="D538" s="2"/>
    </row>
    <row r="539" spans="2:4" ht="15.75" customHeight="1" x14ac:dyDescent="0.3">
      <c r="B539" s="42"/>
      <c r="D539" s="2"/>
    </row>
    <row r="540" spans="2:4" ht="15.75" customHeight="1" x14ac:dyDescent="0.3">
      <c r="B540" s="42"/>
      <c r="D540" s="2"/>
    </row>
    <row r="541" spans="2:4" ht="15.75" customHeight="1" x14ac:dyDescent="0.3">
      <c r="B541" s="42"/>
      <c r="D541" s="2"/>
    </row>
    <row r="542" spans="2:4" ht="15.75" customHeight="1" x14ac:dyDescent="0.3">
      <c r="B542" s="42"/>
      <c r="D542" s="2"/>
    </row>
    <row r="543" spans="2:4" ht="15.75" customHeight="1" x14ac:dyDescent="0.3">
      <c r="B543" s="42"/>
      <c r="D543" s="2"/>
    </row>
    <row r="544" spans="2:4" ht="15.75" customHeight="1" x14ac:dyDescent="0.3">
      <c r="B544" s="42"/>
      <c r="D544" s="2"/>
    </row>
    <row r="545" spans="2:4" ht="15.75" customHeight="1" x14ac:dyDescent="0.3">
      <c r="B545" s="42"/>
      <c r="D545" s="2"/>
    </row>
    <row r="546" spans="2:4" ht="15.75" customHeight="1" x14ac:dyDescent="0.3">
      <c r="B546" s="42"/>
      <c r="D546" s="2"/>
    </row>
    <row r="547" spans="2:4" ht="15.75" customHeight="1" x14ac:dyDescent="0.3">
      <c r="B547" s="42"/>
      <c r="D547" s="2"/>
    </row>
    <row r="548" spans="2:4" ht="15.75" customHeight="1" x14ac:dyDescent="0.3">
      <c r="B548" s="42"/>
      <c r="D548" s="2"/>
    </row>
    <row r="549" spans="2:4" ht="15.75" customHeight="1" x14ac:dyDescent="0.3">
      <c r="B549" s="42"/>
      <c r="D549" s="2"/>
    </row>
    <row r="550" spans="2:4" ht="15.75" customHeight="1" x14ac:dyDescent="0.3">
      <c r="B550" s="42"/>
      <c r="D550" s="2"/>
    </row>
    <row r="551" spans="2:4" ht="15.75" customHeight="1" x14ac:dyDescent="0.3">
      <c r="B551" s="42"/>
      <c r="D551" s="2"/>
    </row>
    <row r="552" spans="2:4" ht="15.75" customHeight="1" x14ac:dyDescent="0.3">
      <c r="B552" s="42"/>
      <c r="D552" s="2"/>
    </row>
    <row r="553" spans="2:4" ht="15.75" customHeight="1" x14ac:dyDescent="0.3">
      <c r="B553" s="42"/>
      <c r="D553" s="2"/>
    </row>
    <row r="554" spans="2:4" ht="15.75" customHeight="1" x14ac:dyDescent="0.3">
      <c r="B554" s="42"/>
      <c r="D554" s="2"/>
    </row>
    <row r="555" spans="2:4" ht="15.75" customHeight="1" x14ac:dyDescent="0.3">
      <c r="B555" s="42"/>
      <c r="D555" s="2"/>
    </row>
    <row r="556" spans="2:4" ht="15.75" customHeight="1" x14ac:dyDescent="0.3">
      <c r="B556" s="42"/>
      <c r="D556" s="2"/>
    </row>
    <row r="557" spans="2:4" ht="15.75" customHeight="1" x14ac:dyDescent="0.3">
      <c r="B557" s="42"/>
      <c r="D557" s="2"/>
    </row>
    <row r="558" spans="2:4" ht="15.75" customHeight="1" x14ac:dyDescent="0.3">
      <c r="B558" s="42"/>
      <c r="D558" s="2"/>
    </row>
    <row r="559" spans="2:4" ht="15.75" customHeight="1" x14ac:dyDescent="0.3">
      <c r="B559" s="42"/>
      <c r="D559" s="2"/>
    </row>
    <row r="560" spans="2:4" ht="15.75" customHeight="1" x14ac:dyDescent="0.3">
      <c r="B560" s="42"/>
      <c r="D560" s="2"/>
    </row>
    <row r="561" spans="2:4" ht="15.75" customHeight="1" x14ac:dyDescent="0.3">
      <c r="B561" s="42"/>
      <c r="D561" s="2"/>
    </row>
    <row r="562" spans="2:4" ht="15.75" customHeight="1" x14ac:dyDescent="0.3">
      <c r="B562" s="42"/>
      <c r="D562" s="2"/>
    </row>
    <row r="563" spans="2:4" ht="15.75" customHeight="1" x14ac:dyDescent="0.3">
      <c r="B563" s="42"/>
      <c r="D563" s="2"/>
    </row>
    <row r="564" spans="2:4" ht="15.75" customHeight="1" x14ac:dyDescent="0.3">
      <c r="B564" s="42"/>
      <c r="D564" s="2"/>
    </row>
    <row r="565" spans="2:4" ht="15.75" customHeight="1" x14ac:dyDescent="0.3">
      <c r="B565" s="42"/>
      <c r="D565" s="2"/>
    </row>
    <row r="566" spans="2:4" ht="15.75" customHeight="1" x14ac:dyDescent="0.3">
      <c r="B566" s="42"/>
      <c r="D566" s="2"/>
    </row>
    <row r="567" spans="2:4" ht="15.75" customHeight="1" x14ac:dyDescent="0.3">
      <c r="B567" s="42"/>
      <c r="D567" s="2"/>
    </row>
    <row r="568" spans="2:4" ht="15.75" customHeight="1" x14ac:dyDescent="0.3">
      <c r="B568" s="42"/>
      <c r="D568" s="2"/>
    </row>
    <row r="569" spans="2:4" ht="15.75" customHeight="1" x14ac:dyDescent="0.3">
      <c r="B569" s="42"/>
      <c r="D569" s="2"/>
    </row>
    <row r="570" spans="2:4" ht="15.75" customHeight="1" x14ac:dyDescent="0.3">
      <c r="B570" s="42"/>
      <c r="D570" s="2"/>
    </row>
    <row r="571" spans="2:4" ht="15.75" customHeight="1" x14ac:dyDescent="0.3">
      <c r="B571" s="42"/>
      <c r="D571" s="2"/>
    </row>
    <row r="572" spans="2:4" ht="15.75" customHeight="1" x14ac:dyDescent="0.3">
      <c r="B572" s="42"/>
      <c r="D572" s="2"/>
    </row>
    <row r="573" spans="2:4" ht="15.75" customHeight="1" x14ac:dyDescent="0.3">
      <c r="B573" s="42"/>
      <c r="D573" s="2"/>
    </row>
    <row r="574" spans="2:4" ht="15.75" customHeight="1" x14ac:dyDescent="0.3">
      <c r="B574" s="42"/>
      <c r="D574" s="2"/>
    </row>
    <row r="575" spans="2:4" ht="15.75" customHeight="1" x14ac:dyDescent="0.3">
      <c r="B575" s="42"/>
      <c r="D575" s="2"/>
    </row>
    <row r="576" spans="2:4" ht="15.75" customHeight="1" x14ac:dyDescent="0.3">
      <c r="B576" s="42"/>
      <c r="D576" s="2"/>
    </row>
    <row r="577" spans="2:4" ht="15.75" customHeight="1" x14ac:dyDescent="0.3">
      <c r="B577" s="42"/>
      <c r="D577" s="2"/>
    </row>
    <row r="578" spans="2:4" ht="15.75" customHeight="1" x14ac:dyDescent="0.3">
      <c r="B578" s="42"/>
      <c r="D578" s="2"/>
    </row>
    <row r="579" spans="2:4" ht="15.75" customHeight="1" x14ac:dyDescent="0.3">
      <c r="B579" s="42"/>
      <c r="D579" s="2"/>
    </row>
    <row r="580" spans="2:4" ht="15.75" customHeight="1" x14ac:dyDescent="0.3">
      <c r="B580" s="42"/>
      <c r="D580" s="2"/>
    </row>
    <row r="581" spans="2:4" ht="15.75" customHeight="1" x14ac:dyDescent="0.3">
      <c r="B581" s="42"/>
      <c r="D581" s="2"/>
    </row>
    <row r="582" spans="2:4" ht="15.75" customHeight="1" x14ac:dyDescent="0.3">
      <c r="B582" s="42"/>
      <c r="D582" s="2"/>
    </row>
    <row r="583" spans="2:4" ht="15.75" customHeight="1" x14ac:dyDescent="0.3">
      <c r="B583" s="42"/>
      <c r="D583" s="2"/>
    </row>
    <row r="584" spans="2:4" ht="15.75" customHeight="1" x14ac:dyDescent="0.3">
      <c r="B584" s="42"/>
      <c r="D584" s="2"/>
    </row>
    <row r="585" spans="2:4" ht="15.75" customHeight="1" x14ac:dyDescent="0.3">
      <c r="B585" s="42"/>
      <c r="D585" s="2"/>
    </row>
    <row r="586" spans="2:4" ht="15.75" customHeight="1" x14ac:dyDescent="0.3">
      <c r="B586" s="42"/>
      <c r="D586" s="2"/>
    </row>
    <row r="587" spans="2:4" ht="15.75" customHeight="1" x14ac:dyDescent="0.3">
      <c r="B587" s="42"/>
      <c r="D587" s="2"/>
    </row>
    <row r="588" spans="2:4" ht="15.75" customHeight="1" x14ac:dyDescent="0.3">
      <c r="B588" s="42"/>
      <c r="D588" s="2"/>
    </row>
    <row r="589" spans="2:4" ht="15.75" customHeight="1" x14ac:dyDescent="0.3">
      <c r="B589" s="42"/>
      <c r="D589" s="2"/>
    </row>
    <row r="590" spans="2:4" ht="15.75" customHeight="1" x14ac:dyDescent="0.3">
      <c r="B590" s="42"/>
      <c r="D590" s="2"/>
    </row>
    <row r="591" spans="2:4" ht="15.75" customHeight="1" x14ac:dyDescent="0.3">
      <c r="B591" s="42"/>
      <c r="D591" s="2"/>
    </row>
    <row r="592" spans="2:4" ht="15.75" customHeight="1" x14ac:dyDescent="0.3">
      <c r="B592" s="42"/>
      <c r="D592" s="2"/>
    </row>
    <row r="593" spans="2:4" ht="15.75" customHeight="1" x14ac:dyDescent="0.3">
      <c r="B593" s="42"/>
      <c r="D593" s="2"/>
    </row>
    <row r="594" spans="2:4" ht="15.75" customHeight="1" x14ac:dyDescent="0.3">
      <c r="B594" s="42"/>
      <c r="D594" s="2"/>
    </row>
    <row r="595" spans="2:4" ht="15.75" customHeight="1" x14ac:dyDescent="0.3">
      <c r="B595" s="42"/>
      <c r="D595" s="2"/>
    </row>
    <row r="596" spans="2:4" ht="15.75" customHeight="1" x14ac:dyDescent="0.3">
      <c r="B596" s="42"/>
      <c r="D596" s="2"/>
    </row>
    <row r="597" spans="2:4" ht="15.75" customHeight="1" x14ac:dyDescent="0.3">
      <c r="B597" s="42"/>
      <c r="D597" s="2"/>
    </row>
    <row r="598" spans="2:4" ht="15.75" customHeight="1" x14ac:dyDescent="0.3">
      <c r="B598" s="42"/>
      <c r="D598" s="2"/>
    </row>
    <row r="599" spans="2:4" ht="15.75" customHeight="1" x14ac:dyDescent="0.3">
      <c r="B599" s="42"/>
      <c r="D599" s="2"/>
    </row>
    <row r="600" spans="2:4" ht="15.75" customHeight="1" x14ac:dyDescent="0.3">
      <c r="B600" s="42"/>
      <c r="D600" s="2"/>
    </row>
    <row r="601" spans="2:4" ht="15.75" customHeight="1" x14ac:dyDescent="0.3">
      <c r="B601" s="42"/>
      <c r="D601" s="2"/>
    </row>
    <row r="602" spans="2:4" ht="15.75" customHeight="1" x14ac:dyDescent="0.3">
      <c r="B602" s="42"/>
      <c r="D602" s="2"/>
    </row>
    <row r="603" spans="2:4" ht="15.75" customHeight="1" x14ac:dyDescent="0.3">
      <c r="B603" s="42"/>
      <c r="D603" s="2"/>
    </row>
    <row r="604" spans="2:4" ht="15.75" customHeight="1" x14ac:dyDescent="0.3">
      <c r="B604" s="42"/>
      <c r="D604" s="2"/>
    </row>
    <row r="605" spans="2:4" ht="15.75" customHeight="1" x14ac:dyDescent="0.3">
      <c r="B605" s="42"/>
      <c r="D605" s="2"/>
    </row>
    <row r="606" spans="2:4" ht="15.75" customHeight="1" x14ac:dyDescent="0.3">
      <c r="B606" s="42"/>
      <c r="D606" s="2"/>
    </row>
    <row r="607" spans="2:4" ht="15.75" customHeight="1" x14ac:dyDescent="0.3">
      <c r="B607" s="42"/>
      <c r="D607" s="2"/>
    </row>
    <row r="608" spans="2:4" ht="15.75" customHeight="1" x14ac:dyDescent="0.3">
      <c r="B608" s="42"/>
      <c r="D608" s="2"/>
    </row>
    <row r="609" spans="2:4" ht="15.75" customHeight="1" x14ac:dyDescent="0.3">
      <c r="B609" s="42"/>
      <c r="D609" s="2"/>
    </row>
    <row r="610" spans="2:4" ht="15.75" customHeight="1" x14ac:dyDescent="0.3">
      <c r="B610" s="42"/>
      <c r="D610" s="2"/>
    </row>
    <row r="611" spans="2:4" ht="15.75" customHeight="1" x14ac:dyDescent="0.3">
      <c r="B611" s="42"/>
      <c r="D611" s="2"/>
    </row>
    <row r="612" spans="2:4" ht="15.75" customHeight="1" x14ac:dyDescent="0.3">
      <c r="B612" s="42"/>
      <c r="D612" s="2"/>
    </row>
    <row r="613" spans="2:4" ht="15.75" customHeight="1" x14ac:dyDescent="0.3">
      <c r="B613" s="42"/>
      <c r="D613" s="2"/>
    </row>
    <row r="614" spans="2:4" ht="15.75" customHeight="1" x14ac:dyDescent="0.3">
      <c r="B614" s="42"/>
      <c r="D614" s="2"/>
    </row>
    <row r="615" spans="2:4" ht="15.75" customHeight="1" x14ac:dyDescent="0.3">
      <c r="B615" s="42"/>
      <c r="D615" s="2"/>
    </row>
    <row r="616" spans="2:4" ht="15.75" customHeight="1" x14ac:dyDescent="0.3">
      <c r="B616" s="42"/>
      <c r="D616" s="2"/>
    </row>
    <row r="617" spans="2:4" ht="15.75" customHeight="1" x14ac:dyDescent="0.3">
      <c r="B617" s="42"/>
      <c r="D617" s="2"/>
    </row>
    <row r="618" spans="2:4" ht="15.75" customHeight="1" x14ac:dyDescent="0.3">
      <c r="B618" s="42"/>
      <c r="D618" s="2"/>
    </row>
    <row r="619" spans="2:4" ht="15.75" customHeight="1" x14ac:dyDescent="0.3">
      <c r="B619" s="42"/>
      <c r="D619" s="2"/>
    </row>
    <row r="620" spans="2:4" ht="15.75" customHeight="1" x14ac:dyDescent="0.3">
      <c r="B620" s="42"/>
      <c r="D620" s="2"/>
    </row>
    <row r="621" spans="2:4" ht="15.75" customHeight="1" x14ac:dyDescent="0.3">
      <c r="B621" s="42"/>
      <c r="D621" s="2"/>
    </row>
    <row r="622" spans="2:4" ht="15.75" customHeight="1" x14ac:dyDescent="0.3">
      <c r="B622" s="42"/>
      <c r="D622" s="2"/>
    </row>
    <row r="623" spans="2:4" ht="15.75" customHeight="1" x14ac:dyDescent="0.3">
      <c r="B623" s="42"/>
      <c r="D623" s="2"/>
    </row>
    <row r="624" spans="2:4" ht="15.75" customHeight="1" x14ac:dyDescent="0.3">
      <c r="B624" s="42"/>
      <c r="D624" s="2"/>
    </row>
    <row r="625" spans="2:4" ht="15.75" customHeight="1" x14ac:dyDescent="0.3">
      <c r="B625" s="42"/>
      <c r="D625" s="2"/>
    </row>
    <row r="626" spans="2:4" ht="15.75" customHeight="1" x14ac:dyDescent="0.3">
      <c r="B626" s="42"/>
      <c r="D626" s="2"/>
    </row>
    <row r="627" spans="2:4" ht="15.75" customHeight="1" x14ac:dyDescent="0.3">
      <c r="B627" s="42"/>
      <c r="D627" s="2"/>
    </row>
    <row r="628" spans="2:4" ht="15.75" customHeight="1" x14ac:dyDescent="0.3">
      <c r="B628" s="42"/>
      <c r="D628" s="2"/>
    </row>
    <row r="629" spans="2:4" ht="15.75" customHeight="1" x14ac:dyDescent="0.3">
      <c r="B629" s="42"/>
      <c r="D629" s="2"/>
    </row>
    <row r="630" spans="2:4" ht="15.75" customHeight="1" x14ac:dyDescent="0.3">
      <c r="B630" s="42"/>
      <c r="D630" s="2"/>
    </row>
    <row r="631" spans="2:4" ht="15.75" customHeight="1" x14ac:dyDescent="0.3">
      <c r="B631" s="42"/>
      <c r="D631" s="2"/>
    </row>
    <row r="632" spans="2:4" ht="15.75" customHeight="1" x14ac:dyDescent="0.3">
      <c r="B632" s="42"/>
      <c r="D632" s="2"/>
    </row>
    <row r="633" spans="2:4" ht="15.75" customHeight="1" x14ac:dyDescent="0.3">
      <c r="B633" s="42"/>
      <c r="D633" s="2"/>
    </row>
    <row r="634" spans="2:4" ht="15.75" customHeight="1" x14ac:dyDescent="0.3">
      <c r="B634" s="42"/>
      <c r="D634" s="2"/>
    </row>
    <row r="635" spans="2:4" ht="15.75" customHeight="1" x14ac:dyDescent="0.3">
      <c r="B635" s="42"/>
      <c r="D635" s="2"/>
    </row>
    <row r="636" spans="2:4" ht="15.75" customHeight="1" x14ac:dyDescent="0.3">
      <c r="B636" s="42"/>
      <c r="D636" s="2"/>
    </row>
    <row r="637" spans="2:4" ht="15.75" customHeight="1" x14ac:dyDescent="0.3">
      <c r="B637" s="42"/>
      <c r="D637" s="2"/>
    </row>
    <row r="638" spans="2:4" ht="15.75" customHeight="1" x14ac:dyDescent="0.3">
      <c r="B638" s="42"/>
      <c r="D638" s="2"/>
    </row>
    <row r="639" spans="2:4" ht="15.75" customHeight="1" x14ac:dyDescent="0.3">
      <c r="B639" s="42"/>
      <c r="D639" s="2"/>
    </row>
    <row r="640" spans="2:4" ht="15.75" customHeight="1" x14ac:dyDescent="0.3">
      <c r="B640" s="42"/>
      <c r="D640" s="2"/>
    </row>
    <row r="641" spans="2:4" ht="15.75" customHeight="1" x14ac:dyDescent="0.3">
      <c r="B641" s="42"/>
      <c r="D641" s="2"/>
    </row>
    <row r="642" spans="2:4" ht="15.75" customHeight="1" x14ac:dyDescent="0.3">
      <c r="B642" s="42"/>
      <c r="D642" s="2"/>
    </row>
    <row r="643" spans="2:4" ht="15.75" customHeight="1" x14ac:dyDescent="0.3">
      <c r="B643" s="42"/>
      <c r="D643" s="2"/>
    </row>
    <row r="644" spans="2:4" ht="15.75" customHeight="1" x14ac:dyDescent="0.3">
      <c r="B644" s="42"/>
      <c r="D644" s="2"/>
    </row>
    <row r="645" spans="2:4" ht="15.75" customHeight="1" x14ac:dyDescent="0.3">
      <c r="B645" s="42"/>
      <c r="D645" s="2"/>
    </row>
    <row r="646" spans="2:4" ht="15.75" customHeight="1" x14ac:dyDescent="0.3">
      <c r="B646" s="42"/>
      <c r="D646" s="2"/>
    </row>
    <row r="647" spans="2:4" ht="15.75" customHeight="1" x14ac:dyDescent="0.3">
      <c r="B647" s="42"/>
      <c r="D647" s="2"/>
    </row>
    <row r="648" spans="2:4" ht="15.75" customHeight="1" x14ac:dyDescent="0.3">
      <c r="B648" s="42"/>
      <c r="D648" s="2"/>
    </row>
    <row r="649" spans="2:4" ht="15.75" customHeight="1" x14ac:dyDescent="0.3">
      <c r="B649" s="42"/>
      <c r="D649" s="2"/>
    </row>
    <row r="650" spans="2:4" ht="15.75" customHeight="1" x14ac:dyDescent="0.3">
      <c r="B650" s="42"/>
      <c r="D650" s="2"/>
    </row>
    <row r="651" spans="2:4" ht="15.75" customHeight="1" x14ac:dyDescent="0.3">
      <c r="B651" s="42"/>
      <c r="D651" s="2"/>
    </row>
    <row r="652" spans="2:4" ht="15.75" customHeight="1" x14ac:dyDescent="0.3">
      <c r="B652" s="42"/>
      <c r="D652" s="2"/>
    </row>
    <row r="653" spans="2:4" ht="15.75" customHeight="1" x14ac:dyDescent="0.3">
      <c r="B653" s="42"/>
      <c r="D653" s="2"/>
    </row>
    <row r="654" spans="2:4" ht="15.75" customHeight="1" x14ac:dyDescent="0.3">
      <c r="B654" s="42"/>
      <c r="D654" s="2"/>
    </row>
    <row r="655" spans="2:4" ht="15.75" customHeight="1" x14ac:dyDescent="0.3">
      <c r="B655" s="42"/>
      <c r="D655" s="2"/>
    </row>
    <row r="656" spans="2:4" ht="15.75" customHeight="1" x14ac:dyDescent="0.3">
      <c r="B656" s="42"/>
      <c r="D656" s="2"/>
    </row>
    <row r="657" spans="2:4" ht="15.75" customHeight="1" x14ac:dyDescent="0.3">
      <c r="B657" s="42"/>
      <c r="D657" s="2"/>
    </row>
    <row r="658" spans="2:4" ht="15.75" customHeight="1" x14ac:dyDescent="0.3">
      <c r="B658" s="42"/>
      <c r="D658" s="2"/>
    </row>
    <row r="659" spans="2:4" ht="15.75" customHeight="1" x14ac:dyDescent="0.3">
      <c r="B659" s="42"/>
      <c r="D659" s="2"/>
    </row>
    <row r="660" spans="2:4" ht="15.75" customHeight="1" x14ac:dyDescent="0.3">
      <c r="B660" s="42"/>
      <c r="D660" s="2"/>
    </row>
    <row r="661" spans="2:4" ht="15.75" customHeight="1" x14ac:dyDescent="0.3">
      <c r="B661" s="42"/>
      <c r="D661" s="2"/>
    </row>
    <row r="662" spans="2:4" ht="15.75" customHeight="1" x14ac:dyDescent="0.3">
      <c r="B662" s="42"/>
      <c r="D662" s="2"/>
    </row>
    <row r="663" spans="2:4" ht="15.75" customHeight="1" x14ac:dyDescent="0.3">
      <c r="B663" s="42"/>
      <c r="D663" s="2"/>
    </row>
    <row r="664" spans="2:4" ht="15.75" customHeight="1" x14ac:dyDescent="0.3">
      <c r="B664" s="42"/>
      <c r="D664" s="2"/>
    </row>
    <row r="665" spans="2:4" ht="15.75" customHeight="1" x14ac:dyDescent="0.3">
      <c r="B665" s="42"/>
      <c r="D665" s="2"/>
    </row>
    <row r="666" spans="2:4" ht="15.75" customHeight="1" x14ac:dyDescent="0.3">
      <c r="B666" s="42"/>
      <c r="D666" s="2"/>
    </row>
    <row r="667" spans="2:4" ht="15.75" customHeight="1" x14ac:dyDescent="0.3">
      <c r="B667" s="42"/>
      <c r="D667" s="2"/>
    </row>
    <row r="668" spans="2:4" ht="15.75" customHeight="1" x14ac:dyDescent="0.3">
      <c r="B668" s="42"/>
      <c r="D668" s="2"/>
    </row>
    <row r="669" spans="2:4" ht="15.75" customHeight="1" x14ac:dyDescent="0.3">
      <c r="B669" s="42"/>
      <c r="D669" s="2"/>
    </row>
    <row r="670" spans="2:4" ht="15.75" customHeight="1" x14ac:dyDescent="0.3">
      <c r="B670" s="42"/>
      <c r="D670" s="2"/>
    </row>
    <row r="671" spans="2:4" ht="15.75" customHeight="1" x14ac:dyDescent="0.3">
      <c r="B671" s="42"/>
      <c r="D671" s="2"/>
    </row>
    <row r="672" spans="2:4" ht="15.75" customHeight="1" x14ac:dyDescent="0.3">
      <c r="B672" s="42"/>
      <c r="D672" s="2"/>
    </row>
    <row r="673" spans="2:4" ht="15.75" customHeight="1" x14ac:dyDescent="0.3">
      <c r="B673" s="42"/>
      <c r="D673" s="2"/>
    </row>
    <row r="674" spans="2:4" ht="15.75" customHeight="1" x14ac:dyDescent="0.3">
      <c r="B674" s="42"/>
      <c r="D674" s="2"/>
    </row>
    <row r="675" spans="2:4" ht="15.75" customHeight="1" x14ac:dyDescent="0.3">
      <c r="B675" s="42"/>
      <c r="D675" s="2"/>
    </row>
    <row r="676" spans="2:4" ht="15.75" customHeight="1" x14ac:dyDescent="0.3">
      <c r="B676" s="42"/>
      <c r="D676" s="2"/>
    </row>
    <row r="677" spans="2:4" ht="15.75" customHeight="1" x14ac:dyDescent="0.3">
      <c r="B677" s="42"/>
      <c r="D677" s="2"/>
    </row>
    <row r="678" spans="2:4" ht="15.75" customHeight="1" x14ac:dyDescent="0.3">
      <c r="B678" s="42"/>
      <c r="D678" s="2"/>
    </row>
    <row r="679" spans="2:4" ht="15.75" customHeight="1" x14ac:dyDescent="0.3">
      <c r="B679" s="42"/>
      <c r="D679" s="2"/>
    </row>
    <row r="680" spans="2:4" ht="15.75" customHeight="1" x14ac:dyDescent="0.3">
      <c r="B680" s="42"/>
      <c r="D680" s="2"/>
    </row>
    <row r="681" spans="2:4" ht="15.75" customHeight="1" x14ac:dyDescent="0.3">
      <c r="B681" s="42"/>
      <c r="D681" s="2"/>
    </row>
    <row r="682" spans="2:4" ht="15.75" customHeight="1" x14ac:dyDescent="0.3">
      <c r="B682" s="42"/>
      <c r="D682" s="2"/>
    </row>
    <row r="683" spans="2:4" ht="15.75" customHeight="1" x14ac:dyDescent="0.3">
      <c r="B683" s="42"/>
      <c r="D683" s="2"/>
    </row>
    <row r="684" spans="2:4" ht="15.75" customHeight="1" x14ac:dyDescent="0.3">
      <c r="B684" s="42"/>
      <c r="D684" s="2"/>
    </row>
    <row r="685" spans="2:4" ht="15.75" customHeight="1" x14ac:dyDescent="0.3">
      <c r="B685" s="42"/>
      <c r="D685" s="2"/>
    </row>
    <row r="686" spans="2:4" ht="15.75" customHeight="1" x14ac:dyDescent="0.3">
      <c r="B686" s="42"/>
      <c r="D686" s="2"/>
    </row>
    <row r="687" spans="2:4" ht="15.75" customHeight="1" x14ac:dyDescent="0.3">
      <c r="B687" s="42"/>
      <c r="D687" s="2"/>
    </row>
    <row r="688" spans="2:4" ht="15.75" customHeight="1" x14ac:dyDescent="0.3">
      <c r="B688" s="42"/>
      <c r="D688" s="2"/>
    </row>
    <row r="689" spans="2:4" ht="15.75" customHeight="1" x14ac:dyDescent="0.3">
      <c r="B689" s="42"/>
      <c r="D689" s="2"/>
    </row>
    <row r="690" spans="2:4" ht="15.75" customHeight="1" x14ac:dyDescent="0.3">
      <c r="B690" s="42"/>
      <c r="D690" s="2"/>
    </row>
    <row r="691" spans="2:4" ht="15.75" customHeight="1" x14ac:dyDescent="0.3">
      <c r="B691" s="42"/>
      <c r="D691" s="2"/>
    </row>
    <row r="692" spans="2:4" ht="15.75" customHeight="1" x14ac:dyDescent="0.3">
      <c r="B692" s="42"/>
      <c r="D692" s="2"/>
    </row>
    <row r="693" spans="2:4" ht="15.75" customHeight="1" x14ac:dyDescent="0.3">
      <c r="B693" s="42"/>
      <c r="D693" s="2"/>
    </row>
    <row r="694" spans="2:4" ht="15.75" customHeight="1" x14ac:dyDescent="0.3">
      <c r="B694" s="42"/>
      <c r="D694" s="2"/>
    </row>
    <row r="695" spans="2:4" ht="15.75" customHeight="1" x14ac:dyDescent="0.3">
      <c r="B695" s="42"/>
      <c r="D695" s="2"/>
    </row>
    <row r="696" spans="2:4" ht="15.75" customHeight="1" x14ac:dyDescent="0.3">
      <c r="B696" s="42"/>
      <c r="D696" s="2"/>
    </row>
    <row r="697" spans="2:4" ht="15.75" customHeight="1" x14ac:dyDescent="0.3">
      <c r="B697" s="42"/>
      <c r="D697" s="2"/>
    </row>
    <row r="698" spans="2:4" ht="15.75" customHeight="1" x14ac:dyDescent="0.3">
      <c r="B698" s="42"/>
      <c r="D698" s="2"/>
    </row>
    <row r="699" spans="2:4" ht="15.75" customHeight="1" x14ac:dyDescent="0.3">
      <c r="B699" s="42"/>
      <c r="D699" s="2"/>
    </row>
    <row r="700" spans="2:4" ht="15.75" customHeight="1" x14ac:dyDescent="0.3">
      <c r="B700" s="42"/>
      <c r="D700" s="2"/>
    </row>
    <row r="701" spans="2:4" ht="15.75" customHeight="1" x14ac:dyDescent="0.3">
      <c r="B701" s="42"/>
      <c r="D701" s="2"/>
    </row>
    <row r="702" spans="2:4" ht="15.75" customHeight="1" x14ac:dyDescent="0.3">
      <c r="B702" s="42"/>
      <c r="D702" s="2"/>
    </row>
    <row r="703" spans="2:4" ht="15.75" customHeight="1" x14ac:dyDescent="0.3">
      <c r="B703" s="42"/>
      <c r="D703" s="2"/>
    </row>
    <row r="704" spans="2:4" ht="15.75" customHeight="1" x14ac:dyDescent="0.3">
      <c r="B704" s="42"/>
      <c r="D704" s="2"/>
    </row>
    <row r="705" spans="2:4" ht="15.75" customHeight="1" x14ac:dyDescent="0.3">
      <c r="B705" s="42"/>
      <c r="D705" s="2"/>
    </row>
    <row r="706" spans="2:4" ht="15.75" customHeight="1" x14ac:dyDescent="0.3">
      <c r="B706" s="42"/>
      <c r="D706" s="2"/>
    </row>
    <row r="707" spans="2:4" ht="15.75" customHeight="1" x14ac:dyDescent="0.3">
      <c r="B707" s="42"/>
      <c r="D707" s="2"/>
    </row>
    <row r="708" spans="2:4" ht="15.75" customHeight="1" x14ac:dyDescent="0.3">
      <c r="B708" s="42"/>
      <c r="D708" s="2"/>
    </row>
    <row r="709" spans="2:4" ht="15.75" customHeight="1" x14ac:dyDescent="0.3">
      <c r="B709" s="42"/>
      <c r="D709" s="2"/>
    </row>
    <row r="710" spans="2:4" ht="15.75" customHeight="1" x14ac:dyDescent="0.3">
      <c r="B710" s="42"/>
      <c r="D710" s="2"/>
    </row>
    <row r="711" spans="2:4" ht="15.75" customHeight="1" x14ac:dyDescent="0.3">
      <c r="B711" s="42"/>
      <c r="D711" s="2"/>
    </row>
    <row r="712" spans="2:4" ht="15.75" customHeight="1" x14ac:dyDescent="0.3">
      <c r="B712" s="42"/>
      <c r="D712" s="2"/>
    </row>
    <row r="713" spans="2:4" ht="15.75" customHeight="1" x14ac:dyDescent="0.3">
      <c r="B713" s="42"/>
      <c r="D713" s="2"/>
    </row>
    <row r="714" spans="2:4" ht="15.75" customHeight="1" x14ac:dyDescent="0.3">
      <c r="B714" s="42"/>
      <c r="D714" s="2"/>
    </row>
    <row r="715" spans="2:4" ht="15.75" customHeight="1" x14ac:dyDescent="0.3">
      <c r="B715" s="42"/>
      <c r="D715" s="2"/>
    </row>
    <row r="716" spans="2:4" ht="15.75" customHeight="1" x14ac:dyDescent="0.3">
      <c r="B716" s="42"/>
      <c r="D716" s="2"/>
    </row>
    <row r="717" spans="2:4" ht="15.75" customHeight="1" x14ac:dyDescent="0.3">
      <c r="B717" s="42"/>
      <c r="D717" s="2"/>
    </row>
    <row r="718" spans="2:4" ht="15.75" customHeight="1" x14ac:dyDescent="0.3">
      <c r="B718" s="42"/>
      <c r="D718" s="2"/>
    </row>
    <row r="719" spans="2:4" ht="15.75" customHeight="1" x14ac:dyDescent="0.3">
      <c r="B719" s="42"/>
      <c r="D719" s="2"/>
    </row>
    <row r="720" spans="2:4" ht="15.75" customHeight="1" x14ac:dyDescent="0.3">
      <c r="B720" s="42"/>
      <c r="D720" s="2"/>
    </row>
    <row r="721" spans="2:4" ht="15.75" customHeight="1" x14ac:dyDescent="0.3">
      <c r="B721" s="42"/>
      <c r="D721" s="2"/>
    </row>
    <row r="722" spans="2:4" ht="15.75" customHeight="1" x14ac:dyDescent="0.3">
      <c r="B722" s="42"/>
      <c r="D722" s="2"/>
    </row>
    <row r="723" spans="2:4" ht="15.75" customHeight="1" x14ac:dyDescent="0.3">
      <c r="B723" s="42"/>
      <c r="D723" s="2"/>
    </row>
    <row r="724" spans="2:4" ht="15.75" customHeight="1" x14ac:dyDescent="0.3">
      <c r="B724" s="42"/>
      <c r="D724" s="2"/>
    </row>
    <row r="725" spans="2:4" ht="15.75" customHeight="1" x14ac:dyDescent="0.3">
      <c r="B725" s="42"/>
      <c r="D725" s="2"/>
    </row>
    <row r="726" spans="2:4" ht="15.75" customHeight="1" x14ac:dyDescent="0.3">
      <c r="B726" s="42"/>
      <c r="D726" s="2"/>
    </row>
    <row r="727" spans="2:4" ht="15.75" customHeight="1" x14ac:dyDescent="0.3">
      <c r="B727" s="42"/>
      <c r="D727" s="2"/>
    </row>
    <row r="728" spans="2:4" ht="15.75" customHeight="1" x14ac:dyDescent="0.3">
      <c r="B728" s="42"/>
      <c r="D728" s="2"/>
    </row>
    <row r="729" spans="2:4" ht="15.75" customHeight="1" x14ac:dyDescent="0.3">
      <c r="B729" s="42"/>
      <c r="D729" s="2"/>
    </row>
    <row r="730" spans="2:4" ht="15.75" customHeight="1" x14ac:dyDescent="0.3">
      <c r="B730" s="42"/>
      <c r="D730" s="2"/>
    </row>
    <row r="731" spans="2:4" ht="15.75" customHeight="1" x14ac:dyDescent="0.3">
      <c r="B731" s="42"/>
      <c r="D731" s="2"/>
    </row>
    <row r="732" spans="2:4" ht="15.75" customHeight="1" x14ac:dyDescent="0.3">
      <c r="B732" s="42"/>
      <c r="D732" s="2"/>
    </row>
    <row r="733" spans="2:4" ht="15.75" customHeight="1" x14ac:dyDescent="0.3">
      <c r="B733" s="42"/>
      <c r="D733" s="2"/>
    </row>
    <row r="734" spans="2:4" ht="15.75" customHeight="1" x14ac:dyDescent="0.3">
      <c r="B734" s="42"/>
      <c r="D734" s="2"/>
    </row>
    <row r="735" spans="2:4" ht="15.75" customHeight="1" x14ac:dyDescent="0.3">
      <c r="B735" s="42"/>
      <c r="D735" s="2"/>
    </row>
    <row r="736" spans="2:4" ht="15.75" customHeight="1" x14ac:dyDescent="0.3">
      <c r="B736" s="42"/>
      <c r="D736" s="2"/>
    </row>
    <row r="737" spans="2:4" ht="15.75" customHeight="1" x14ac:dyDescent="0.3">
      <c r="B737" s="42"/>
      <c r="D737" s="2"/>
    </row>
    <row r="738" spans="2:4" ht="15.75" customHeight="1" x14ac:dyDescent="0.3">
      <c r="B738" s="42"/>
      <c r="D738" s="2"/>
    </row>
    <row r="739" spans="2:4" ht="15.75" customHeight="1" x14ac:dyDescent="0.3">
      <c r="B739" s="42"/>
      <c r="D739" s="2"/>
    </row>
    <row r="740" spans="2:4" ht="15.75" customHeight="1" x14ac:dyDescent="0.3">
      <c r="B740" s="42"/>
      <c r="D740" s="2"/>
    </row>
    <row r="741" spans="2:4" ht="15.75" customHeight="1" x14ac:dyDescent="0.3">
      <c r="B741" s="42"/>
      <c r="D741" s="2"/>
    </row>
    <row r="742" spans="2:4" ht="15.75" customHeight="1" x14ac:dyDescent="0.3">
      <c r="B742" s="42"/>
      <c r="D742" s="2"/>
    </row>
    <row r="743" spans="2:4" ht="15.75" customHeight="1" x14ac:dyDescent="0.3">
      <c r="B743" s="42"/>
      <c r="D743" s="2"/>
    </row>
    <row r="744" spans="2:4" ht="15.75" customHeight="1" x14ac:dyDescent="0.3">
      <c r="B744" s="42"/>
      <c r="D744" s="2"/>
    </row>
    <row r="745" spans="2:4" ht="15.75" customHeight="1" x14ac:dyDescent="0.3">
      <c r="B745" s="42"/>
      <c r="D745" s="2"/>
    </row>
    <row r="746" spans="2:4" ht="15.75" customHeight="1" x14ac:dyDescent="0.3">
      <c r="B746" s="42"/>
      <c r="D746" s="2"/>
    </row>
    <row r="747" spans="2:4" ht="15.75" customHeight="1" x14ac:dyDescent="0.3">
      <c r="B747" s="42"/>
      <c r="D747" s="2"/>
    </row>
    <row r="748" spans="2:4" ht="15.75" customHeight="1" x14ac:dyDescent="0.3">
      <c r="B748" s="42"/>
      <c r="D748" s="2"/>
    </row>
    <row r="749" spans="2:4" ht="15.75" customHeight="1" x14ac:dyDescent="0.3">
      <c r="B749" s="42"/>
      <c r="D749" s="2"/>
    </row>
    <row r="750" spans="2:4" ht="15.75" customHeight="1" x14ac:dyDescent="0.3">
      <c r="B750" s="42"/>
      <c r="D750" s="2"/>
    </row>
    <row r="751" spans="2:4" ht="15.75" customHeight="1" x14ac:dyDescent="0.3">
      <c r="B751" s="42"/>
      <c r="D751" s="2"/>
    </row>
    <row r="752" spans="2:4" ht="15.75" customHeight="1" x14ac:dyDescent="0.3">
      <c r="B752" s="42"/>
      <c r="D752" s="2"/>
    </row>
    <row r="753" spans="2:4" ht="15.75" customHeight="1" x14ac:dyDescent="0.3">
      <c r="B753" s="42"/>
      <c r="D753" s="2"/>
    </row>
    <row r="754" spans="2:4" ht="15.75" customHeight="1" x14ac:dyDescent="0.3">
      <c r="B754" s="42"/>
      <c r="D754" s="2"/>
    </row>
    <row r="755" spans="2:4" ht="15.75" customHeight="1" x14ac:dyDescent="0.3">
      <c r="B755" s="42"/>
      <c r="D755" s="2"/>
    </row>
    <row r="756" spans="2:4" ht="15.75" customHeight="1" x14ac:dyDescent="0.3">
      <c r="B756" s="42"/>
      <c r="D756" s="2"/>
    </row>
    <row r="757" spans="2:4" ht="15.75" customHeight="1" x14ac:dyDescent="0.3">
      <c r="B757" s="42"/>
      <c r="D757" s="2"/>
    </row>
    <row r="758" spans="2:4" ht="15.75" customHeight="1" x14ac:dyDescent="0.3">
      <c r="B758" s="42"/>
      <c r="D758" s="2"/>
    </row>
    <row r="759" spans="2:4" ht="15.75" customHeight="1" x14ac:dyDescent="0.3">
      <c r="B759" s="42"/>
      <c r="D759" s="2"/>
    </row>
    <row r="760" spans="2:4" ht="15.75" customHeight="1" x14ac:dyDescent="0.3">
      <c r="B760" s="42"/>
      <c r="D760" s="2"/>
    </row>
    <row r="761" spans="2:4" ht="15.75" customHeight="1" x14ac:dyDescent="0.3">
      <c r="B761" s="42"/>
      <c r="D761" s="2"/>
    </row>
    <row r="762" spans="2:4" ht="15.75" customHeight="1" x14ac:dyDescent="0.3">
      <c r="B762" s="42"/>
      <c r="D762" s="2"/>
    </row>
    <row r="763" spans="2:4" ht="15.75" customHeight="1" x14ac:dyDescent="0.3">
      <c r="B763" s="42"/>
      <c r="D763" s="2"/>
    </row>
    <row r="764" spans="2:4" ht="15.75" customHeight="1" x14ac:dyDescent="0.3">
      <c r="B764" s="42"/>
      <c r="D764" s="2"/>
    </row>
    <row r="765" spans="2:4" ht="15.75" customHeight="1" x14ac:dyDescent="0.3">
      <c r="B765" s="42"/>
      <c r="D765" s="2"/>
    </row>
    <row r="766" spans="2:4" ht="15.75" customHeight="1" x14ac:dyDescent="0.3">
      <c r="B766" s="42"/>
      <c r="D766" s="2"/>
    </row>
    <row r="767" spans="2:4" ht="15.75" customHeight="1" x14ac:dyDescent="0.3">
      <c r="B767" s="42"/>
      <c r="D767" s="2"/>
    </row>
    <row r="768" spans="2:4" ht="15.75" customHeight="1" x14ac:dyDescent="0.3">
      <c r="B768" s="42"/>
      <c r="D768" s="2"/>
    </row>
    <row r="769" spans="2:4" ht="15.75" customHeight="1" x14ac:dyDescent="0.3">
      <c r="B769" s="42"/>
      <c r="D769" s="2"/>
    </row>
    <row r="770" spans="2:4" ht="15.75" customHeight="1" x14ac:dyDescent="0.3">
      <c r="B770" s="42"/>
      <c r="D770" s="2"/>
    </row>
    <row r="771" spans="2:4" ht="15.75" customHeight="1" x14ac:dyDescent="0.3">
      <c r="B771" s="42"/>
      <c r="D771" s="2"/>
    </row>
    <row r="772" spans="2:4" ht="15.75" customHeight="1" x14ac:dyDescent="0.3">
      <c r="B772" s="42"/>
      <c r="D772" s="2"/>
    </row>
    <row r="773" spans="2:4" ht="15.75" customHeight="1" x14ac:dyDescent="0.3">
      <c r="B773" s="42"/>
      <c r="D773" s="2"/>
    </row>
    <row r="774" spans="2:4" ht="15.75" customHeight="1" x14ac:dyDescent="0.3">
      <c r="B774" s="42"/>
      <c r="D774" s="2"/>
    </row>
    <row r="775" spans="2:4" ht="15.75" customHeight="1" x14ac:dyDescent="0.3">
      <c r="B775" s="42"/>
      <c r="D775" s="2"/>
    </row>
    <row r="776" spans="2:4" ht="15.75" customHeight="1" x14ac:dyDescent="0.3">
      <c r="B776" s="42"/>
      <c r="D776" s="2"/>
    </row>
    <row r="777" spans="2:4" ht="15.75" customHeight="1" x14ac:dyDescent="0.3">
      <c r="B777" s="42"/>
      <c r="D777" s="2"/>
    </row>
    <row r="778" spans="2:4" ht="15.75" customHeight="1" x14ac:dyDescent="0.3">
      <c r="B778" s="42"/>
      <c r="D778" s="2"/>
    </row>
    <row r="779" spans="2:4" ht="15.75" customHeight="1" x14ac:dyDescent="0.3">
      <c r="B779" s="42"/>
      <c r="D779" s="2"/>
    </row>
    <row r="780" spans="2:4" ht="15.75" customHeight="1" x14ac:dyDescent="0.3">
      <c r="B780" s="42"/>
      <c r="D780" s="2"/>
    </row>
    <row r="781" spans="2:4" ht="15.75" customHeight="1" x14ac:dyDescent="0.3">
      <c r="B781" s="42"/>
      <c r="D781" s="2"/>
    </row>
    <row r="782" spans="2:4" ht="15.75" customHeight="1" x14ac:dyDescent="0.3">
      <c r="B782" s="42"/>
      <c r="D782" s="2"/>
    </row>
    <row r="783" spans="2:4" ht="15.75" customHeight="1" x14ac:dyDescent="0.3">
      <c r="B783" s="42"/>
      <c r="D783" s="2"/>
    </row>
    <row r="784" spans="2:4" ht="15.75" customHeight="1" x14ac:dyDescent="0.3">
      <c r="B784" s="42"/>
      <c r="D784" s="2"/>
    </row>
    <row r="785" spans="2:4" ht="15.75" customHeight="1" x14ac:dyDescent="0.3">
      <c r="B785" s="42"/>
      <c r="D785" s="2"/>
    </row>
    <row r="786" spans="2:4" ht="15.75" customHeight="1" x14ac:dyDescent="0.3">
      <c r="B786" s="42"/>
      <c r="D786" s="2"/>
    </row>
    <row r="787" spans="2:4" ht="15.75" customHeight="1" x14ac:dyDescent="0.3">
      <c r="B787" s="42"/>
      <c r="D787" s="2"/>
    </row>
    <row r="788" spans="2:4" ht="15.75" customHeight="1" x14ac:dyDescent="0.3">
      <c r="B788" s="42"/>
      <c r="D788" s="2"/>
    </row>
    <row r="789" spans="2:4" ht="15.75" customHeight="1" x14ac:dyDescent="0.3">
      <c r="B789" s="42"/>
      <c r="D789" s="2"/>
    </row>
    <row r="790" spans="2:4" ht="15.75" customHeight="1" x14ac:dyDescent="0.3">
      <c r="B790" s="42"/>
      <c r="D790" s="2"/>
    </row>
    <row r="791" spans="2:4" ht="15.75" customHeight="1" x14ac:dyDescent="0.3">
      <c r="B791" s="42"/>
      <c r="D791" s="2"/>
    </row>
    <row r="792" spans="2:4" ht="15.75" customHeight="1" x14ac:dyDescent="0.3">
      <c r="B792" s="42"/>
      <c r="D792" s="2"/>
    </row>
    <row r="793" spans="2:4" ht="15.75" customHeight="1" x14ac:dyDescent="0.3">
      <c r="B793" s="42"/>
      <c r="D793" s="2"/>
    </row>
    <row r="794" spans="2:4" ht="15.75" customHeight="1" x14ac:dyDescent="0.3">
      <c r="B794" s="42"/>
      <c r="D794" s="2"/>
    </row>
    <row r="795" spans="2:4" ht="15.75" customHeight="1" x14ac:dyDescent="0.3">
      <c r="B795" s="42"/>
      <c r="D795" s="2"/>
    </row>
    <row r="796" spans="2:4" ht="15.75" customHeight="1" x14ac:dyDescent="0.3">
      <c r="B796" s="42"/>
      <c r="D796" s="2"/>
    </row>
    <row r="797" spans="2:4" ht="15.75" customHeight="1" x14ac:dyDescent="0.3">
      <c r="B797" s="42"/>
      <c r="D797" s="2"/>
    </row>
    <row r="798" spans="2:4" ht="15.75" customHeight="1" x14ac:dyDescent="0.3">
      <c r="B798" s="42"/>
      <c r="D798" s="2"/>
    </row>
    <row r="799" spans="2:4" ht="15.75" customHeight="1" x14ac:dyDescent="0.3">
      <c r="B799" s="42"/>
      <c r="D799" s="2"/>
    </row>
    <row r="800" spans="2:4" ht="15.75" customHeight="1" x14ac:dyDescent="0.3">
      <c r="B800" s="42"/>
      <c r="D800" s="2"/>
    </row>
    <row r="801" spans="2:4" ht="15.75" customHeight="1" x14ac:dyDescent="0.3">
      <c r="B801" s="42"/>
      <c r="D801" s="2"/>
    </row>
    <row r="802" spans="2:4" ht="15.75" customHeight="1" x14ac:dyDescent="0.3">
      <c r="B802" s="42"/>
      <c r="D802" s="2"/>
    </row>
    <row r="803" spans="2:4" ht="15.75" customHeight="1" x14ac:dyDescent="0.3">
      <c r="B803" s="42"/>
      <c r="D803" s="2"/>
    </row>
    <row r="804" spans="2:4" ht="15.75" customHeight="1" x14ac:dyDescent="0.3">
      <c r="B804" s="42"/>
      <c r="D804" s="2"/>
    </row>
    <row r="805" spans="2:4" ht="15.75" customHeight="1" x14ac:dyDescent="0.3">
      <c r="B805" s="42"/>
      <c r="D805" s="2"/>
    </row>
    <row r="806" spans="2:4" ht="15.75" customHeight="1" x14ac:dyDescent="0.3">
      <c r="B806" s="42"/>
      <c r="D806" s="2"/>
    </row>
    <row r="807" spans="2:4" ht="15.75" customHeight="1" x14ac:dyDescent="0.3">
      <c r="B807" s="42"/>
      <c r="D807" s="2"/>
    </row>
    <row r="808" spans="2:4" ht="15.75" customHeight="1" x14ac:dyDescent="0.3">
      <c r="B808" s="42"/>
      <c r="D808" s="2"/>
    </row>
    <row r="809" spans="2:4" ht="15.75" customHeight="1" x14ac:dyDescent="0.3">
      <c r="B809" s="42"/>
      <c r="D809" s="2"/>
    </row>
    <row r="810" spans="2:4" ht="15.75" customHeight="1" x14ac:dyDescent="0.3">
      <c r="B810" s="42"/>
      <c r="D810" s="2"/>
    </row>
    <row r="811" spans="2:4" ht="15.75" customHeight="1" x14ac:dyDescent="0.3">
      <c r="B811" s="42"/>
      <c r="D811" s="2"/>
    </row>
    <row r="812" spans="2:4" ht="15.75" customHeight="1" x14ac:dyDescent="0.3">
      <c r="B812" s="42"/>
      <c r="D812" s="2"/>
    </row>
    <row r="813" spans="2:4" ht="15.75" customHeight="1" x14ac:dyDescent="0.3">
      <c r="B813" s="42"/>
      <c r="D813" s="2"/>
    </row>
    <row r="814" spans="2:4" ht="15.75" customHeight="1" x14ac:dyDescent="0.3">
      <c r="B814" s="42"/>
      <c r="D814" s="2"/>
    </row>
    <row r="815" spans="2:4" ht="15.75" customHeight="1" x14ac:dyDescent="0.3">
      <c r="B815" s="42"/>
      <c r="D815" s="2"/>
    </row>
    <row r="816" spans="2:4" ht="15.75" customHeight="1" x14ac:dyDescent="0.3">
      <c r="B816" s="42"/>
      <c r="D816" s="2"/>
    </row>
    <row r="817" spans="2:4" ht="15.75" customHeight="1" x14ac:dyDescent="0.3">
      <c r="B817" s="42"/>
      <c r="D817" s="2"/>
    </row>
    <row r="818" spans="2:4" ht="15.75" customHeight="1" x14ac:dyDescent="0.3">
      <c r="B818" s="42"/>
      <c r="D818" s="2"/>
    </row>
    <row r="819" spans="2:4" ht="15.75" customHeight="1" x14ac:dyDescent="0.3">
      <c r="B819" s="42"/>
      <c r="D819" s="2"/>
    </row>
    <row r="820" spans="2:4" ht="15.75" customHeight="1" x14ac:dyDescent="0.3">
      <c r="B820" s="42"/>
      <c r="D820" s="2"/>
    </row>
    <row r="821" spans="2:4" ht="15.75" customHeight="1" x14ac:dyDescent="0.3">
      <c r="B821" s="42"/>
      <c r="D821" s="2"/>
    </row>
    <row r="822" spans="2:4" ht="15.75" customHeight="1" x14ac:dyDescent="0.3">
      <c r="B822" s="42"/>
      <c r="D822" s="2"/>
    </row>
    <row r="823" spans="2:4" ht="15.75" customHeight="1" x14ac:dyDescent="0.3">
      <c r="B823" s="42"/>
      <c r="D823" s="2"/>
    </row>
    <row r="824" spans="2:4" ht="15.75" customHeight="1" x14ac:dyDescent="0.3">
      <c r="B824" s="42"/>
      <c r="D824" s="2"/>
    </row>
    <row r="825" spans="2:4" ht="15.75" customHeight="1" x14ac:dyDescent="0.3">
      <c r="B825" s="42"/>
      <c r="D825" s="2"/>
    </row>
    <row r="826" spans="2:4" ht="15.75" customHeight="1" x14ac:dyDescent="0.3">
      <c r="B826" s="42"/>
      <c r="D826" s="2"/>
    </row>
    <row r="827" spans="2:4" ht="15.75" customHeight="1" x14ac:dyDescent="0.3">
      <c r="B827" s="42"/>
      <c r="D827" s="2"/>
    </row>
    <row r="828" spans="2:4" ht="15.75" customHeight="1" x14ac:dyDescent="0.3">
      <c r="B828" s="42"/>
      <c r="D828" s="2"/>
    </row>
    <row r="829" spans="2:4" ht="15.75" customHeight="1" x14ac:dyDescent="0.3">
      <c r="B829" s="42"/>
      <c r="D829" s="2"/>
    </row>
    <row r="830" spans="2:4" ht="15.75" customHeight="1" x14ac:dyDescent="0.3">
      <c r="B830" s="42"/>
      <c r="D830" s="2"/>
    </row>
    <row r="831" spans="2:4" ht="15.75" customHeight="1" x14ac:dyDescent="0.3">
      <c r="B831" s="42"/>
      <c r="D831" s="2"/>
    </row>
    <row r="832" spans="2:4" ht="15.75" customHeight="1" x14ac:dyDescent="0.3">
      <c r="B832" s="42"/>
      <c r="D832" s="2"/>
    </row>
    <row r="833" spans="2:4" ht="15.75" customHeight="1" x14ac:dyDescent="0.3">
      <c r="B833" s="42"/>
      <c r="D833" s="2"/>
    </row>
    <row r="834" spans="2:4" ht="15.75" customHeight="1" x14ac:dyDescent="0.3">
      <c r="B834" s="42"/>
      <c r="D834" s="2"/>
    </row>
    <row r="835" spans="2:4" ht="15.75" customHeight="1" x14ac:dyDescent="0.3">
      <c r="B835" s="42"/>
      <c r="D835" s="2"/>
    </row>
    <row r="836" spans="2:4" ht="15.75" customHeight="1" x14ac:dyDescent="0.3">
      <c r="B836" s="42"/>
      <c r="D836" s="2"/>
    </row>
    <row r="837" spans="2:4" ht="15.75" customHeight="1" x14ac:dyDescent="0.3">
      <c r="B837" s="42"/>
      <c r="D837" s="2"/>
    </row>
    <row r="838" spans="2:4" ht="15.75" customHeight="1" x14ac:dyDescent="0.3">
      <c r="B838" s="42"/>
      <c r="D838" s="2"/>
    </row>
    <row r="839" spans="2:4" ht="15.75" customHeight="1" x14ac:dyDescent="0.3">
      <c r="B839" s="42"/>
      <c r="D839" s="2"/>
    </row>
    <row r="840" spans="2:4" ht="15.75" customHeight="1" x14ac:dyDescent="0.3">
      <c r="B840" s="42"/>
      <c r="D840" s="2"/>
    </row>
    <row r="841" spans="2:4" ht="15.75" customHeight="1" x14ac:dyDescent="0.3">
      <c r="B841" s="42"/>
      <c r="D841" s="2"/>
    </row>
    <row r="842" spans="2:4" ht="15.75" customHeight="1" x14ac:dyDescent="0.3">
      <c r="B842" s="42"/>
      <c r="D842" s="2"/>
    </row>
    <row r="843" spans="2:4" ht="15.75" customHeight="1" x14ac:dyDescent="0.3">
      <c r="B843" s="42"/>
      <c r="D843" s="2"/>
    </row>
    <row r="844" spans="2:4" ht="15.75" customHeight="1" x14ac:dyDescent="0.3">
      <c r="B844" s="42"/>
      <c r="D844" s="2"/>
    </row>
    <row r="845" spans="2:4" ht="15.75" customHeight="1" x14ac:dyDescent="0.3">
      <c r="B845" s="42"/>
      <c r="D845" s="2"/>
    </row>
    <row r="846" spans="2:4" ht="15.75" customHeight="1" x14ac:dyDescent="0.3">
      <c r="B846" s="42"/>
      <c r="D846" s="2"/>
    </row>
    <row r="847" spans="2:4" ht="15.75" customHeight="1" x14ac:dyDescent="0.3">
      <c r="B847" s="42"/>
      <c r="D847" s="2"/>
    </row>
    <row r="848" spans="2:4" ht="15.75" customHeight="1" x14ac:dyDescent="0.3">
      <c r="B848" s="42"/>
      <c r="D848" s="2"/>
    </row>
    <row r="849" spans="2:4" ht="15.75" customHeight="1" x14ac:dyDescent="0.3">
      <c r="B849" s="42"/>
      <c r="D849" s="2"/>
    </row>
    <row r="850" spans="2:4" ht="15.75" customHeight="1" x14ac:dyDescent="0.3">
      <c r="B850" s="42"/>
      <c r="D850" s="2"/>
    </row>
    <row r="851" spans="2:4" ht="15.75" customHeight="1" x14ac:dyDescent="0.3">
      <c r="B851" s="42"/>
      <c r="D851" s="2"/>
    </row>
    <row r="852" spans="2:4" ht="15.75" customHeight="1" x14ac:dyDescent="0.3">
      <c r="B852" s="42"/>
      <c r="D852" s="2"/>
    </row>
    <row r="853" spans="2:4" ht="15.75" customHeight="1" x14ac:dyDescent="0.3">
      <c r="B853" s="42"/>
      <c r="D853" s="2"/>
    </row>
    <row r="854" spans="2:4" ht="15.75" customHeight="1" x14ac:dyDescent="0.3">
      <c r="B854" s="42"/>
      <c r="D854" s="2"/>
    </row>
    <row r="855" spans="2:4" ht="15.75" customHeight="1" x14ac:dyDescent="0.3">
      <c r="B855" s="42"/>
      <c r="D855" s="2"/>
    </row>
    <row r="856" spans="2:4" ht="15.75" customHeight="1" x14ac:dyDescent="0.3">
      <c r="B856" s="42"/>
      <c r="D856" s="2"/>
    </row>
    <row r="857" spans="2:4" ht="15.75" customHeight="1" x14ac:dyDescent="0.3">
      <c r="B857" s="42"/>
      <c r="D857" s="2"/>
    </row>
    <row r="858" spans="2:4" ht="15.75" customHeight="1" x14ac:dyDescent="0.3">
      <c r="B858" s="42"/>
      <c r="D858" s="2"/>
    </row>
    <row r="859" spans="2:4" ht="15.75" customHeight="1" x14ac:dyDescent="0.3">
      <c r="B859" s="42"/>
      <c r="D859" s="2"/>
    </row>
    <row r="860" spans="2:4" ht="15.75" customHeight="1" x14ac:dyDescent="0.3">
      <c r="B860" s="42"/>
      <c r="D860" s="2"/>
    </row>
    <row r="861" spans="2:4" ht="15.75" customHeight="1" x14ac:dyDescent="0.3">
      <c r="B861" s="42"/>
      <c r="D861" s="2"/>
    </row>
    <row r="862" spans="2:4" ht="15.75" customHeight="1" x14ac:dyDescent="0.3">
      <c r="B862" s="42"/>
      <c r="D862" s="2"/>
    </row>
    <row r="863" spans="2:4" ht="15.75" customHeight="1" x14ac:dyDescent="0.3">
      <c r="B863" s="42"/>
      <c r="D863" s="2"/>
    </row>
    <row r="864" spans="2:4" ht="15.75" customHeight="1" x14ac:dyDescent="0.3">
      <c r="B864" s="42"/>
      <c r="D864" s="2"/>
    </row>
    <row r="865" spans="2:4" ht="15.75" customHeight="1" x14ac:dyDescent="0.3">
      <c r="B865" s="42"/>
      <c r="D865" s="2"/>
    </row>
    <row r="866" spans="2:4" ht="15.75" customHeight="1" x14ac:dyDescent="0.3">
      <c r="B866" s="42"/>
      <c r="D866" s="2"/>
    </row>
    <row r="867" spans="2:4" ht="15.75" customHeight="1" x14ac:dyDescent="0.3">
      <c r="B867" s="42"/>
      <c r="D867" s="2"/>
    </row>
    <row r="868" spans="2:4" ht="15.75" customHeight="1" x14ac:dyDescent="0.3">
      <c r="B868" s="42"/>
      <c r="D868" s="2"/>
    </row>
    <row r="869" spans="2:4" ht="15.75" customHeight="1" x14ac:dyDescent="0.3">
      <c r="B869" s="42"/>
      <c r="D869" s="2"/>
    </row>
    <row r="870" spans="2:4" ht="15.75" customHeight="1" x14ac:dyDescent="0.3">
      <c r="B870" s="42"/>
      <c r="D870" s="2"/>
    </row>
    <row r="871" spans="2:4" ht="15.75" customHeight="1" x14ac:dyDescent="0.3">
      <c r="B871" s="42"/>
      <c r="D871" s="2"/>
    </row>
    <row r="872" spans="2:4" ht="15.75" customHeight="1" x14ac:dyDescent="0.3">
      <c r="B872" s="42"/>
      <c r="D872" s="2"/>
    </row>
    <row r="873" spans="2:4" ht="15.75" customHeight="1" x14ac:dyDescent="0.3">
      <c r="B873" s="42"/>
      <c r="D873" s="2"/>
    </row>
    <row r="874" spans="2:4" ht="15.75" customHeight="1" x14ac:dyDescent="0.3">
      <c r="B874" s="42"/>
      <c r="D874" s="2"/>
    </row>
    <row r="875" spans="2:4" ht="15.75" customHeight="1" x14ac:dyDescent="0.3">
      <c r="B875" s="42"/>
      <c r="D875" s="2"/>
    </row>
    <row r="876" spans="2:4" ht="15.75" customHeight="1" x14ac:dyDescent="0.3">
      <c r="B876" s="42"/>
      <c r="D876" s="2"/>
    </row>
    <row r="877" spans="2:4" ht="15.75" customHeight="1" x14ac:dyDescent="0.3">
      <c r="B877" s="42"/>
      <c r="D877" s="2"/>
    </row>
    <row r="878" spans="2:4" ht="15.75" customHeight="1" x14ac:dyDescent="0.3">
      <c r="B878" s="42"/>
      <c r="D878" s="2"/>
    </row>
    <row r="879" spans="2:4" ht="15.75" customHeight="1" x14ac:dyDescent="0.3">
      <c r="B879" s="42"/>
      <c r="D879" s="2"/>
    </row>
    <row r="880" spans="2:4" ht="15.75" customHeight="1" x14ac:dyDescent="0.3">
      <c r="B880" s="42"/>
      <c r="D880" s="2"/>
    </row>
    <row r="881" spans="2:4" ht="15.75" customHeight="1" x14ac:dyDescent="0.3">
      <c r="B881" s="42"/>
      <c r="D881" s="2"/>
    </row>
    <row r="882" spans="2:4" ht="15.75" customHeight="1" x14ac:dyDescent="0.3">
      <c r="B882" s="42"/>
      <c r="D882" s="2"/>
    </row>
    <row r="883" spans="2:4" ht="15.75" customHeight="1" x14ac:dyDescent="0.3">
      <c r="B883" s="42"/>
      <c r="D883" s="2"/>
    </row>
    <row r="884" spans="2:4" ht="15.75" customHeight="1" x14ac:dyDescent="0.3">
      <c r="B884" s="42"/>
      <c r="D884" s="2"/>
    </row>
    <row r="885" spans="2:4" ht="15.75" customHeight="1" x14ac:dyDescent="0.3">
      <c r="B885" s="42"/>
      <c r="D885" s="2"/>
    </row>
    <row r="886" spans="2:4" ht="15.75" customHeight="1" x14ac:dyDescent="0.3">
      <c r="B886" s="42"/>
      <c r="D886" s="2"/>
    </row>
    <row r="887" spans="2:4" ht="15.75" customHeight="1" x14ac:dyDescent="0.3">
      <c r="B887" s="42"/>
      <c r="D887" s="2"/>
    </row>
    <row r="888" spans="2:4" ht="15.75" customHeight="1" x14ac:dyDescent="0.3">
      <c r="B888" s="42"/>
      <c r="D888" s="2"/>
    </row>
    <row r="889" spans="2:4" ht="15.75" customHeight="1" x14ac:dyDescent="0.3">
      <c r="B889" s="42"/>
      <c r="D889" s="2"/>
    </row>
    <row r="890" spans="2:4" ht="15.75" customHeight="1" x14ac:dyDescent="0.3">
      <c r="B890" s="42"/>
      <c r="D890" s="2"/>
    </row>
    <row r="891" spans="2:4" ht="15.75" customHeight="1" x14ac:dyDescent="0.3">
      <c r="B891" s="42"/>
      <c r="D891" s="2"/>
    </row>
    <row r="892" spans="2:4" ht="15.75" customHeight="1" x14ac:dyDescent="0.3">
      <c r="B892" s="42"/>
      <c r="D892" s="2"/>
    </row>
    <row r="893" spans="2:4" ht="15.75" customHeight="1" x14ac:dyDescent="0.3">
      <c r="B893" s="42"/>
      <c r="D893" s="2"/>
    </row>
    <row r="894" spans="2:4" ht="15.75" customHeight="1" x14ac:dyDescent="0.3">
      <c r="B894" s="42"/>
      <c r="D894" s="2"/>
    </row>
    <row r="895" spans="2:4" ht="15.75" customHeight="1" x14ac:dyDescent="0.3">
      <c r="B895" s="42"/>
      <c r="D895" s="2"/>
    </row>
    <row r="896" spans="2:4" ht="15.75" customHeight="1" x14ac:dyDescent="0.3">
      <c r="B896" s="42"/>
      <c r="D896" s="2"/>
    </row>
    <row r="897" spans="2:4" ht="15.75" customHeight="1" x14ac:dyDescent="0.3">
      <c r="B897" s="42"/>
      <c r="D897" s="2"/>
    </row>
    <row r="898" spans="2:4" ht="15.75" customHeight="1" x14ac:dyDescent="0.3">
      <c r="B898" s="42"/>
      <c r="D898" s="2"/>
    </row>
    <row r="899" spans="2:4" ht="15.75" customHeight="1" x14ac:dyDescent="0.3">
      <c r="B899" s="42"/>
      <c r="D899" s="2"/>
    </row>
    <row r="900" spans="2:4" ht="15.75" customHeight="1" x14ac:dyDescent="0.3">
      <c r="B900" s="42"/>
      <c r="D900" s="2"/>
    </row>
    <row r="901" spans="2:4" ht="15.75" customHeight="1" x14ac:dyDescent="0.3">
      <c r="B901" s="42"/>
      <c r="D901" s="2"/>
    </row>
    <row r="902" spans="2:4" ht="15.75" customHeight="1" x14ac:dyDescent="0.3">
      <c r="B902" s="42"/>
      <c r="D902" s="2"/>
    </row>
    <row r="903" spans="2:4" ht="15.75" customHeight="1" x14ac:dyDescent="0.3">
      <c r="B903" s="42"/>
      <c r="D903" s="2"/>
    </row>
    <row r="904" spans="2:4" ht="15.75" customHeight="1" x14ac:dyDescent="0.3">
      <c r="B904" s="42"/>
      <c r="D904" s="2"/>
    </row>
    <row r="905" spans="2:4" ht="15.75" customHeight="1" x14ac:dyDescent="0.3">
      <c r="B905" s="42"/>
      <c r="D905" s="2"/>
    </row>
    <row r="906" spans="2:4" ht="15.75" customHeight="1" x14ac:dyDescent="0.3">
      <c r="B906" s="42"/>
      <c r="D906" s="2"/>
    </row>
    <row r="907" spans="2:4" ht="15.75" customHeight="1" x14ac:dyDescent="0.3">
      <c r="B907" s="42"/>
      <c r="D907" s="2"/>
    </row>
    <row r="908" spans="2:4" ht="15.75" customHeight="1" x14ac:dyDescent="0.3">
      <c r="B908" s="42"/>
      <c r="D908" s="2"/>
    </row>
    <row r="909" spans="2:4" ht="15.75" customHeight="1" x14ac:dyDescent="0.3">
      <c r="B909" s="42"/>
      <c r="D909" s="2"/>
    </row>
    <row r="910" spans="2:4" ht="15.75" customHeight="1" x14ac:dyDescent="0.3">
      <c r="B910" s="42"/>
      <c r="D910" s="2"/>
    </row>
    <row r="911" spans="2:4" ht="15.75" customHeight="1" x14ac:dyDescent="0.3">
      <c r="B911" s="42"/>
      <c r="D911" s="2"/>
    </row>
    <row r="912" spans="2:4" ht="15.75" customHeight="1" x14ac:dyDescent="0.3">
      <c r="B912" s="42"/>
      <c r="D912" s="2"/>
    </row>
    <row r="913" spans="2:4" ht="15.75" customHeight="1" x14ac:dyDescent="0.3">
      <c r="B913" s="42"/>
      <c r="D913" s="2"/>
    </row>
    <row r="914" spans="2:4" ht="15.75" customHeight="1" x14ac:dyDescent="0.3">
      <c r="B914" s="42"/>
      <c r="D914" s="2"/>
    </row>
    <row r="915" spans="2:4" ht="15.75" customHeight="1" x14ac:dyDescent="0.3">
      <c r="B915" s="42"/>
      <c r="D915" s="2"/>
    </row>
    <row r="916" spans="2:4" ht="15.75" customHeight="1" x14ac:dyDescent="0.3">
      <c r="B916" s="42"/>
      <c r="D916" s="2"/>
    </row>
    <row r="917" spans="2:4" ht="15.75" customHeight="1" x14ac:dyDescent="0.3">
      <c r="B917" s="42"/>
      <c r="D917" s="2"/>
    </row>
    <row r="918" spans="2:4" ht="15.75" customHeight="1" x14ac:dyDescent="0.3">
      <c r="B918" s="42"/>
      <c r="D918" s="2"/>
    </row>
    <row r="919" spans="2:4" ht="15.75" customHeight="1" x14ac:dyDescent="0.3">
      <c r="B919" s="42"/>
      <c r="D919" s="2"/>
    </row>
    <row r="920" spans="2:4" ht="15.75" customHeight="1" x14ac:dyDescent="0.3">
      <c r="B920" s="42"/>
      <c r="D920" s="2"/>
    </row>
    <row r="921" spans="2:4" ht="15.75" customHeight="1" x14ac:dyDescent="0.3">
      <c r="B921" s="42"/>
      <c r="D921" s="2"/>
    </row>
    <row r="922" spans="2:4" ht="15.75" customHeight="1" x14ac:dyDescent="0.3">
      <c r="B922" s="42"/>
      <c r="D922" s="2"/>
    </row>
    <row r="923" spans="2:4" ht="15.75" customHeight="1" x14ac:dyDescent="0.3">
      <c r="B923" s="42"/>
      <c r="D923" s="2"/>
    </row>
    <row r="924" spans="2:4" ht="15.75" customHeight="1" x14ac:dyDescent="0.3">
      <c r="B924" s="42"/>
      <c r="D924" s="2"/>
    </row>
    <row r="925" spans="2:4" ht="15.75" customHeight="1" x14ac:dyDescent="0.3">
      <c r="B925" s="42"/>
      <c r="D925" s="2"/>
    </row>
    <row r="926" spans="2:4" ht="15.75" customHeight="1" x14ac:dyDescent="0.3">
      <c r="B926" s="42"/>
      <c r="D926" s="2"/>
    </row>
    <row r="927" spans="2:4" ht="15.75" customHeight="1" x14ac:dyDescent="0.3">
      <c r="B927" s="42"/>
      <c r="D927" s="2"/>
    </row>
    <row r="928" spans="2:4" ht="15.75" customHeight="1" x14ac:dyDescent="0.3">
      <c r="B928" s="42"/>
      <c r="D928" s="2"/>
    </row>
    <row r="929" spans="2:4" ht="15.75" customHeight="1" x14ac:dyDescent="0.3">
      <c r="B929" s="42"/>
      <c r="D929" s="2"/>
    </row>
    <row r="930" spans="2:4" ht="15.75" customHeight="1" x14ac:dyDescent="0.3">
      <c r="B930" s="42"/>
      <c r="D930" s="2"/>
    </row>
    <row r="931" spans="2:4" ht="15.75" customHeight="1" x14ac:dyDescent="0.3">
      <c r="B931" s="42"/>
      <c r="D931" s="2"/>
    </row>
    <row r="932" spans="2:4" ht="15.75" customHeight="1" x14ac:dyDescent="0.3">
      <c r="B932" s="42"/>
      <c r="D932" s="2"/>
    </row>
    <row r="933" spans="2:4" ht="15.75" customHeight="1" x14ac:dyDescent="0.3">
      <c r="B933" s="42"/>
      <c r="D933" s="2"/>
    </row>
    <row r="934" spans="2:4" ht="15.75" customHeight="1" x14ac:dyDescent="0.3">
      <c r="B934" s="42"/>
      <c r="D934" s="2"/>
    </row>
    <row r="935" spans="2:4" ht="15.75" customHeight="1" x14ac:dyDescent="0.3">
      <c r="B935" s="42"/>
      <c r="D935" s="2"/>
    </row>
    <row r="936" spans="2:4" ht="15.75" customHeight="1" x14ac:dyDescent="0.3">
      <c r="B936" s="42"/>
      <c r="D936" s="2"/>
    </row>
    <row r="937" spans="2:4" ht="15.75" customHeight="1" x14ac:dyDescent="0.3">
      <c r="B937" s="42"/>
      <c r="D937" s="2"/>
    </row>
    <row r="938" spans="2:4" ht="15.75" customHeight="1" x14ac:dyDescent="0.3">
      <c r="B938" s="42"/>
      <c r="D938" s="2"/>
    </row>
    <row r="939" spans="2:4" ht="15.75" customHeight="1" x14ac:dyDescent="0.3">
      <c r="B939" s="42"/>
      <c r="D939" s="2"/>
    </row>
    <row r="940" spans="2:4" ht="15.75" customHeight="1" x14ac:dyDescent="0.3">
      <c r="B940" s="42"/>
      <c r="D940" s="2"/>
    </row>
    <row r="941" spans="2:4" ht="15.75" customHeight="1" x14ac:dyDescent="0.3">
      <c r="B941" s="42"/>
      <c r="D941" s="2"/>
    </row>
    <row r="942" spans="2:4" ht="15.75" customHeight="1" x14ac:dyDescent="0.3">
      <c r="B942" s="42"/>
      <c r="D942" s="2"/>
    </row>
    <row r="943" spans="2:4" ht="15.75" customHeight="1" x14ac:dyDescent="0.3">
      <c r="B943" s="42"/>
      <c r="D943" s="2"/>
    </row>
    <row r="944" spans="2:4" ht="15.75" customHeight="1" x14ac:dyDescent="0.3">
      <c r="B944" s="42"/>
      <c r="D944" s="2"/>
    </row>
    <row r="945" spans="2:4" ht="15.75" customHeight="1" x14ac:dyDescent="0.3">
      <c r="B945" s="42"/>
      <c r="D945" s="2"/>
    </row>
    <row r="946" spans="2:4" ht="15.75" customHeight="1" x14ac:dyDescent="0.3">
      <c r="B946" s="42"/>
      <c r="D946" s="2"/>
    </row>
    <row r="947" spans="2:4" ht="15.75" customHeight="1" x14ac:dyDescent="0.3">
      <c r="B947" s="42"/>
      <c r="D947" s="2"/>
    </row>
    <row r="948" spans="2:4" ht="15.75" customHeight="1" x14ac:dyDescent="0.3">
      <c r="B948" s="42"/>
      <c r="D948" s="2"/>
    </row>
    <row r="949" spans="2:4" ht="15.75" customHeight="1" x14ac:dyDescent="0.3">
      <c r="B949" s="42"/>
      <c r="D949" s="2"/>
    </row>
    <row r="950" spans="2:4" ht="15.75" customHeight="1" x14ac:dyDescent="0.3">
      <c r="B950" s="42"/>
      <c r="D950" s="2"/>
    </row>
    <row r="951" spans="2:4" ht="15.75" customHeight="1" x14ac:dyDescent="0.3">
      <c r="B951" s="42"/>
      <c r="D951" s="2"/>
    </row>
    <row r="952" spans="2:4" ht="15.75" customHeight="1" x14ac:dyDescent="0.3">
      <c r="B952" s="42"/>
      <c r="D952" s="2"/>
    </row>
    <row r="953" spans="2:4" ht="15.75" customHeight="1" x14ac:dyDescent="0.3">
      <c r="B953" s="42"/>
      <c r="D953" s="2"/>
    </row>
    <row r="954" spans="2:4" ht="15.75" customHeight="1" x14ac:dyDescent="0.3">
      <c r="B954" s="42"/>
      <c r="D954" s="2"/>
    </row>
    <row r="955" spans="2:4" ht="15.75" customHeight="1" x14ac:dyDescent="0.3">
      <c r="B955" s="42"/>
      <c r="D955" s="2"/>
    </row>
    <row r="956" spans="2:4" ht="15.75" customHeight="1" x14ac:dyDescent="0.3">
      <c r="B956" s="42"/>
      <c r="D956" s="2"/>
    </row>
    <row r="957" spans="2:4" ht="15.75" customHeight="1" x14ac:dyDescent="0.3">
      <c r="B957" s="42"/>
      <c r="D957" s="2"/>
    </row>
    <row r="958" spans="2:4" ht="15.75" customHeight="1" x14ac:dyDescent="0.3">
      <c r="B958" s="42"/>
      <c r="D958" s="2"/>
    </row>
    <row r="959" spans="2:4" ht="15.75" customHeight="1" x14ac:dyDescent="0.3">
      <c r="B959" s="42"/>
      <c r="D959" s="2"/>
    </row>
    <row r="960" spans="2:4" ht="15.75" customHeight="1" x14ac:dyDescent="0.3">
      <c r="B960" s="42"/>
      <c r="D960" s="2"/>
    </row>
    <row r="961" spans="2:4" ht="15.75" customHeight="1" x14ac:dyDescent="0.3">
      <c r="B961" s="42"/>
      <c r="D961" s="2"/>
    </row>
    <row r="962" spans="2:4" ht="15.75" customHeight="1" x14ac:dyDescent="0.3">
      <c r="B962" s="42"/>
      <c r="D962" s="2"/>
    </row>
    <row r="963" spans="2:4" ht="15.75" customHeight="1" x14ac:dyDescent="0.3">
      <c r="B963" s="42"/>
      <c r="D963" s="2"/>
    </row>
    <row r="964" spans="2:4" ht="15.75" customHeight="1" x14ac:dyDescent="0.3">
      <c r="B964" s="42"/>
      <c r="D964" s="2"/>
    </row>
    <row r="965" spans="2:4" ht="15.75" customHeight="1" x14ac:dyDescent="0.3">
      <c r="B965" s="42"/>
      <c r="D965" s="2"/>
    </row>
    <row r="966" spans="2:4" ht="15.75" customHeight="1" x14ac:dyDescent="0.3">
      <c r="B966" s="42"/>
      <c r="D966" s="2"/>
    </row>
    <row r="967" spans="2:4" ht="15.75" customHeight="1" x14ac:dyDescent="0.3">
      <c r="B967" s="42"/>
      <c r="D967" s="2"/>
    </row>
    <row r="968" spans="2:4" ht="15.75" customHeight="1" x14ac:dyDescent="0.3">
      <c r="B968" s="42"/>
      <c r="D968" s="2"/>
    </row>
    <row r="969" spans="2:4" ht="15.75" customHeight="1" x14ac:dyDescent="0.3">
      <c r="B969" s="42"/>
      <c r="D969" s="2"/>
    </row>
    <row r="970" spans="2:4" ht="15.75" customHeight="1" x14ac:dyDescent="0.3">
      <c r="B970" s="42"/>
      <c r="D970" s="2"/>
    </row>
    <row r="971" spans="2:4" ht="15.75" customHeight="1" x14ac:dyDescent="0.3">
      <c r="B971" s="42"/>
      <c r="D971" s="2"/>
    </row>
    <row r="972" spans="2:4" ht="15.75" customHeight="1" x14ac:dyDescent="0.3">
      <c r="B972" s="42"/>
      <c r="D972" s="2"/>
    </row>
    <row r="973" spans="2:4" ht="15.75" customHeight="1" x14ac:dyDescent="0.3">
      <c r="B973" s="42"/>
      <c r="D973" s="2"/>
    </row>
    <row r="974" spans="2:4" ht="15.75" customHeight="1" x14ac:dyDescent="0.3">
      <c r="B974" s="42"/>
      <c r="D974" s="2"/>
    </row>
    <row r="975" spans="2:4" ht="15.75" customHeight="1" x14ac:dyDescent="0.3">
      <c r="B975" s="42"/>
      <c r="D975" s="2"/>
    </row>
    <row r="976" spans="2:4" ht="15.75" customHeight="1" x14ac:dyDescent="0.3">
      <c r="B976" s="42"/>
      <c r="D976" s="2"/>
    </row>
    <row r="977" spans="2:4" ht="15.75" customHeight="1" x14ac:dyDescent="0.3">
      <c r="B977" s="42"/>
      <c r="D977" s="2"/>
    </row>
    <row r="978" spans="2:4" ht="15.75" customHeight="1" x14ac:dyDescent="0.3">
      <c r="B978" s="42"/>
      <c r="D978" s="2"/>
    </row>
    <row r="979" spans="2:4" ht="15.75" customHeight="1" x14ac:dyDescent="0.3">
      <c r="B979" s="42"/>
      <c r="D979" s="2"/>
    </row>
    <row r="980" spans="2:4" ht="15.75" customHeight="1" x14ac:dyDescent="0.3">
      <c r="B980" s="42"/>
      <c r="D980" s="2"/>
    </row>
    <row r="981" spans="2:4" ht="15.75" customHeight="1" x14ac:dyDescent="0.3">
      <c r="B981" s="42"/>
      <c r="D981" s="2"/>
    </row>
    <row r="982" spans="2:4" ht="15.75" customHeight="1" x14ac:dyDescent="0.3">
      <c r="B982" s="42"/>
      <c r="D982" s="2"/>
    </row>
    <row r="983" spans="2:4" ht="15.75" customHeight="1" x14ac:dyDescent="0.3">
      <c r="B983" s="42"/>
      <c r="D983" s="2"/>
    </row>
    <row r="984" spans="2:4" ht="15.75" customHeight="1" x14ac:dyDescent="0.3">
      <c r="B984" s="42"/>
      <c r="D984" s="2"/>
    </row>
    <row r="985" spans="2:4" ht="15.75" customHeight="1" x14ac:dyDescent="0.3">
      <c r="B985" s="42"/>
      <c r="D985" s="2"/>
    </row>
    <row r="986" spans="2:4" ht="15.75" customHeight="1" x14ac:dyDescent="0.3">
      <c r="B986" s="42"/>
      <c r="D986" s="2"/>
    </row>
    <row r="987" spans="2:4" ht="15.75" customHeight="1" x14ac:dyDescent="0.3">
      <c r="B987" s="42"/>
      <c r="D987" s="2"/>
    </row>
    <row r="988" spans="2:4" ht="15.75" customHeight="1" x14ac:dyDescent="0.3">
      <c r="B988" s="42"/>
      <c r="D988" s="2"/>
    </row>
    <row r="989" spans="2:4" ht="15.75" customHeight="1" x14ac:dyDescent="0.3">
      <c r="B989" s="42"/>
      <c r="D989" s="2"/>
    </row>
    <row r="990" spans="2:4" ht="15.75" customHeight="1" x14ac:dyDescent="0.3">
      <c r="B990" s="42"/>
      <c r="D990" s="2"/>
    </row>
    <row r="991" spans="2:4" ht="15.75" customHeight="1" x14ac:dyDescent="0.3">
      <c r="B991" s="42"/>
      <c r="D991" s="2"/>
    </row>
    <row r="992" spans="2:4" ht="15.75" customHeight="1" x14ac:dyDescent="0.3">
      <c r="B992" s="42"/>
      <c r="D992" s="2"/>
    </row>
    <row r="993" spans="2:4" ht="15.75" customHeight="1" x14ac:dyDescent="0.3">
      <c r="B993" s="42"/>
      <c r="D993" s="2"/>
    </row>
    <row r="994" spans="2:4" ht="15.75" customHeight="1" x14ac:dyDescent="0.3">
      <c r="B994" s="42"/>
      <c r="D994" s="2"/>
    </row>
    <row r="995" spans="2:4" ht="15.75" customHeight="1" x14ac:dyDescent="0.3">
      <c r="B995" s="42"/>
      <c r="D995" s="2"/>
    </row>
    <row r="996" spans="2:4" ht="15.75" customHeight="1" x14ac:dyDescent="0.3">
      <c r="B996" s="42"/>
      <c r="D996" s="2"/>
    </row>
    <row r="997" spans="2:4" ht="15.75" customHeight="1" x14ac:dyDescent="0.3">
      <c r="B997" s="42"/>
      <c r="D997" s="2"/>
    </row>
    <row r="998" spans="2:4" ht="15.75" customHeight="1" x14ac:dyDescent="0.3">
      <c r="B998" s="42"/>
      <c r="D998" s="2"/>
    </row>
    <row r="999" spans="2:4" ht="15.75" customHeight="1" x14ac:dyDescent="0.3">
      <c r="B999" s="42"/>
      <c r="D999" s="2"/>
    </row>
    <row r="1000" spans="2:4" ht="15.75" customHeight="1" x14ac:dyDescent="0.3">
      <c r="B1000" s="42"/>
      <c r="D1000" s="2"/>
    </row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F3D4-34AD-45B7-BF62-843484F3220B}">
  <dimension ref="A1:Z1000"/>
  <sheetViews>
    <sheetView workbookViewId="0">
      <selection activeCell="S3" sqref="S3"/>
    </sheetView>
  </sheetViews>
  <sheetFormatPr defaultColWidth="14.44140625" defaultRowHeight="14.4" x14ac:dyDescent="0.3"/>
  <cols>
    <col min="1" max="1" width="8.44140625" style="3" customWidth="1"/>
    <col min="2" max="2" width="8.77734375" style="3" customWidth="1"/>
    <col min="3" max="3" width="31.88671875" style="1" customWidth="1"/>
    <col min="4" max="4" width="13.44140625" style="1" customWidth="1"/>
    <col min="5" max="5" width="10" style="1" customWidth="1"/>
    <col min="6" max="6" width="6.88671875" style="1" customWidth="1"/>
    <col min="7" max="7" width="5.6640625" style="1" customWidth="1"/>
    <col min="8" max="8" width="4.44140625" style="1" customWidth="1"/>
    <col min="9" max="9" width="4.109375" style="1" customWidth="1"/>
    <col min="10" max="10" width="5.109375" style="1" customWidth="1"/>
    <col min="11" max="11" width="4.33203125" style="1" customWidth="1"/>
    <col min="12" max="12" width="3.88671875" style="1" customWidth="1"/>
    <col min="13" max="14" width="4.88671875" style="1" customWidth="1"/>
    <col min="15" max="15" width="5" style="1" customWidth="1"/>
    <col min="16" max="16" width="4.6640625" style="1" customWidth="1"/>
    <col min="17" max="17" width="4.88671875" style="1" customWidth="1"/>
    <col min="18" max="18" width="6.88671875" style="1" customWidth="1"/>
    <col min="19" max="20" width="10.6640625" style="1" customWidth="1"/>
    <col min="21" max="21" width="16.5546875" style="1" customWidth="1"/>
    <col min="22" max="22" width="10.6640625" style="1" customWidth="1"/>
    <col min="23" max="23" width="19.5546875" style="1" customWidth="1"/>
    <col min="24" max="26" width="10.6640625" style="1" customWidth="1"/>
    <col min="27" max="16384" width="14.44140625" style="1"/>
  </cols>
  <sheetData>
    <row r="1" spans="1:26" x14ac:dyDescent="0.3">
      <c r="B1" s="42"/>
      <c r="D1" s="2"/>
    </row>
    <row r="2" spans="1:26" ht="2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7"/>
    </row>
    <row r="3" spans="1:26" ht="21" x14ac:dyDescent="0.4">
      <c r="A3" s="4" t="s">
        <v>1</v>
      </c>
      <c r="B3" s="5"/>
      <c r="C3" s="6">
        <f>E143+R143</f>
        <v>6860</v>
      </c>
      <c r="D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V3" s="8" t="e">
        <f>#REF!</f>
        <v>#REF!</v>
      </c>
      <c r="W3" s="9" t="e">
        <f>V3-C3</f>
        <v>#REF!</v>
      </c>
      <c r="Y3" s="8">
        <v>4360</v>
      </c>
    </row>
    <row r="4" spans="1:26" x14ac:dyDescent="0.3">
      <c r="B4" s="42"/>
      <c r="D4" s="2"/>
      <c r="Y4" s="8">
        <v>408</v>
      </c>
    </row>
    <row r="5" spans="1:26" x14ac:dyDescent="0.3">
      <c r="A5" s="10" t="s">
        <v>2</v>
      </c>
      <c r="B5" s="11" t="s">
        <v>3</v>
      </c>
      <c r="C5" s="10" t="s">
        <v>4</v>
      </c>
      <c r="D5" s="11" t="s">
        <v>5</v>
      </c>
      <c r="E5" s="113" t="s">
        <v>6</v>
      </c>
      <c r="F5" s="12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43"/>
    </row>
    <row r="6" spans="1:26" x14ac:dyDescent="0.3">
      <c r="A6" s="16"/>
      <c r="B6" s="16"/>
      <c r="C6" s="15"/>
      <c r="D6" s="15"/>
      <c r="E6" s="114"/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  <c r="O6" s="17" t="s">
        <v>17</v>
      </c>
      <c r="P6" s="17" t="s">
        <v>18</v>
      </c>
      <c r="Q6" s="17" t="s">
        <v>19</v>
      </c>
      <c r="R6" s="17" t="s">
        <v>20</v>
      </c>
      <c r="S6" s="44"/>
      <c r="Y6" s="8">
        <f>Y3+Y4+Y5</f>
        <v>4768</v>
      </c>
    </row>
    <row r="7" spans="1:26" x14ac:dyDescent="0.3">
      <c r="A7" s="22">
        <v>1</v>
      </c>
      <c r="B7" s="89" t="s">
        <v>21</v>
      </c>
      <c r="C7" s="87" t="s">
        <v>22</v>
      </c>
      <c r="D7" s="54" t="s">
        <v>23</v>
      </c>
      <c r="E7" s="57"/>
      <c r="F7" s="57">
        <v>10</v>
      </c>
      <c r="G7" s="57">
        <v>10</v>
      </c>
      <c r="H7" s="57">
        <v>10</v>
      </c>
      <c r="I7" s="57">
        <v>10</v>
      </c>
      <c r="J7" s="57">
        <v>10</v>
      </c>
      <c r="K7" s="57">
        <v>10</v>
      </c>
      <c r="L7" s="57">
        <v>10</v>
      </c>
      <c r="M7" s="57">
        <v>10</v>
      </c>
      <c r="N7" s="57">
        <v>10</v>
      </c>
      <c r="O7" s="57">
        <v>10</v>
      </c>
      <c r="P7" s="57">
        <v>10</v>
      </c>
      <c r="Q7" s="57">
        <v>10</v>
      </c>
      <c r="R7" s="57">
        <f>SUM(F7:Q7)</f>
        <v>120</v>
      </c>
      <c r="S7" s="58"/>
      <c r="T7" s="58" t="s">
        <v>445</v>
      </c>
      <c r="U7" s="58"/>
      <c r="V7" s="59"/>
      <c r="Y7" s="8">
        <v>276.8</v>
      </c>
    </row>
    <row r="8" spans="1:26" x14ac:dyDescent="0.3">
      <c r="A8" s="22">
        <v>2</v>
      </c>
      <c r="B8" s="65" t="s">
        <v>25</v>
      </c>
      <c r="C8" s="18" t="s">
        <v>26</v>
      </c>
      <c r="D8" s="21" t="s">
        <v>27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46"/>
      <c r="S8" s="8"/>
      <c r="Y8" s="8">
        <f>Y6-Y7</f>
        <v>4491.2</v>
      </c>
    </row>
    <row r="9" spans="1:26" x14ac:dyDescent="0.3">
      <c r="A9" s="22">
        <v>3</v>
      </c>
      <c r="B9" s="115" t="s">
        <v>29</v>
      </c>
      <c r="C9" s="116" t="s">
        <v>400</v>
      </c>
      <c r="D9" s="117" t="s">
        <v>31</v>
      </c>
      <c r="E9" s="118"/>
      <c r="F9" s="118">
        <v>10</v>
      </c>
      <c r="G9" s="118">
        <v>10</v>
      </c>
      <c r="H9" s="118">
        <v>10</v>
      </c>
      <c r="I9" s="118">
        <v>10</v>
      </c>
      <c r="J9" s="118">
        <v>10</v>
      </c>
      <c r="K9" s="118">
        <v>10</v>
      </c>
      <c r="L9" s="118">
        <v>10</v>
      </c>
      <c r="M9" s="118">
        <v>10</v>
      </c>
      <c r="N9" s="118">
        <v>10</v>
      </c>
      <c r="O9" s="118">
        <v>10</v>
      </c>
      <c r="P9" s="118">
        <v>10</v>
      </c>
      <c r="Q9" s="118">
        <v>10</v>
      </c>
      <c r="R9" s="118">
        <f>SUM(F9:Q9)</f>
        <v>120</v>
      </c>
      <c r="S9" s="119"/>
      <c r="T9" s="120" t="s">
        <v>401</v>
      </c>
      <c r="U9" s="119"/>
      <c r="V9" s="59"/>
    </row>
    <row r="10" spans="1:26" x14ac:dyDescent="0.3">
      <c r="A10" s="22">
        <v>4</v>
      </c>
      <c r="B10" s="45" t="s">
        <v>32</v>
      </c>
      <c r="C10" s="18" t="s">
        <v>33</v>
      </c>
      <c r="D10" s="21" t="s">
        <v>34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8"/>
    </row>
    <row r="11" spans="1:26" x14ac:dyDescent="0.3">
      <c r="A11" s="22">
        <v>5</v>
      </c>
      <c r="B11" s="45" t="s">
        <v>36</v>
      </c>
      <c r="C11" s="30" t="s">
        <v>37</v>
      </c>
      <c r="D11" s="21" t="s">
        <v>38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46"/>
      <c r="S11" s="8"/>
    </row>
    <row r="12" spans="1:26" x14ac:dyDescent="0.3">
      <c r="A12" s="22">
        <v>6</v>
      </c>
      <c r="B12" s="62" t="s">
        <v>39</v>
      </c>
      <c r="C12" s="121" t="s">
        <v>446</v>
      </c>
      <c r="D12" s="60" t="s">
        <v>41</v>
      </c>
      <c r="E12" s="63"/>
      <c r="F12" s="57">
        <v>10</v>
      </c>
      <c r="G12" s="57">
        <v>10</v>
      </c>
      <c r="H12" s="57">
        <v>10</v>
      </c>
      <c r="I12" s="57">
        <v>10</v>
      </c>
      <c r="J12" s="57">
        <v>10</v>
      </c>
      <c r="K12" s="57">
        <v>10</v>
      </c>
      <c r="L12" s="57">
        <v>10</v>
      </c>
      <c r="M12" s="57">
        <v>10</v>
      </c>
      <c r="N12" s="57">
        <v>10</v>
      </c>
      <c r="O12" s="57">
        <v>10</v>
      </c>
      <c r="P12" s="57">
        <v>10</v>
      </c>
      <c r="Q12" s="57">
        <v>10</v>
      </c>
      <c r="R12" s="57">
        <f t="shared" ref="R12:R16" si="0">SUM(F12:Q12)</f>
        <v>120</v>
      </c>
      <c r="S12" s="58"/>
      <c r="T12" s="58" t="s">
        <v>447</v>
      </c>
      <c r="U12" s="58"/>
      <c r="V12" s="59"/>
    </row>
    <row r="13" spans="1:26" x14ac:dyDescent="0.3">
      <c r="A13" s="22">
        <v>7</v>
      </c>
      <c r="B13" s="56" t="s">
        <v>43</v>
      </c>
      <c r="C13" s="57" t="s">
        <v>44</v>
      </c>
      <c r="D13" s="122" t="s">
        <v>428</v>
      </c>
      <c r="E13" s="57"/>
      <c r="F13" s="57">
        <v>10</v>
      </c>
      <c r="G13" s="57">
        <v>10</v>
      </c>
      <c r="H13" s="57">
        <v>10</v>
      </c>
      <c r="I13" s="57">
        <v>10</v>
      </c>
      <c r="J13" s="57">
        <v>10</v>
      </c>
      <c r="K13" s="57">
        <v>10</v>
      </c>
      <c r="L13" s="57">
        <v>10</v>
      </c>
      <c r="M13" s="57">
        <v>10</v>
      </c>
      <c r="N13" s="57">
        <v>10</v>
      </c>
      <c r="O13" s="57">
        <v>10</v>
      </c>
      <c r="P13" s="57">
        <v>10</v>
      </c>
      <c r="Q13" s="57">
        <v>10</v>
      </c>
      <c r="R13" s="57">
        <f t="shared" si="0"/>
        <v>120</v>
      </c>
      <c r="S13" s="58"/>
      <c r="T13" s="58" t="s">
        <v>448</v>
      </c>
      <c r="U13" s="58"/>
      <c r="V13" s="59"/>
    </row>
    <row r="14" spans="1:26" x14ac:dyDescent="0.3">
      <c r="A14" s="22">
        <v>8</v>
      </c>
      <c r="B14" s="56" t="s">
        <v>46</v>
      </c>
      <c r="C14" s="87" t="s">
        <v>47</v>
      </c>
      <c r="D14" s="54" t="s">
        <v>48</v>
      </c>
      <c r="E14" s="57"/>
      <c r="F14" s="57">
        <v>10</v>
      </c>
      <c r="G14" s="57">
        <v>10</v>
      </c>
      <c r="H14" s="57">
        <v>10</v>
      </c>
      <c r="I14" s="57">
        <v>10</v>
      </c>
      <c r="J14" s="57">
        <v>10</v>
      </c>
      <c r="K14" s="57">
        <v>10</v>
      </c>
      <c r="L14" s="57">
        <v>10</v>
      </c>
      <c r="M14" s="57">
        <v>10</v>
      </c>
      <c r="N14" s="57">
        <v>10</v>
      </c>
      <c r="O14" s="57">
        <v>10</v>
      </c>
      <c r="P14" s="57">
        <v>10</v>
      </c>
      <c r="Q14" s="57">
        <v>10</v>
      </c>
      <c r="R14" s="57">
        <f t="shared" si="0"/>
        <v>120</v>
      </c>
      <c r="S14" s="58"/>
      <c r="T14" s="58" t="s">
        <v>449</v>
      </c>
      <c r="U14" s="58"/>
      <c r="V14" s="59"/>
      <c r="W14" s="8"/>
      <c r="X14" s="8"/>
      <c r="Y14" s="8"/>
      <c r="Z14" s="8"/>
    </row>
    <row r="15" spans="1:26" x14ac:dyDescent="0.3">
      <c r="A15" s="22">
        <v>9</v>
      </c>
      <c r="B15" s="115" t="s">
        <v>49</v>
      </c>
      <c r="C15" s="118" t="s">
        <v>50</v>
      </c>
      <c r="D15" s="117" t="s">
        <v>51</v>
      </c>
      <c r="E15" s="118"/>
      <c r="F15" s="118">
        <v>10</v>
      </c>
      <c r="G15" s="118">
        <v>10</v>
      </c>
      <c r="H15" s="118">
        <v>10</v>
      </c>
      <c r="I15" s="118">
        <v>10</v>
      </c>
      <c r="J15" s="118">
        <v>10</v>
      </c>
      <c r="K15" s="118">
        <v>10</v>
      </c>
      <c r="L15" s="118">
        <v>10</v>
      </c>
      <c r="M15" s="118">
        <v>10</v>
      </c>
      <c r="N15" s="118">
        <v>10</v>
      </c>
      <c r="O15" s="118">
        <v>10</v>
      </c>
      <c r="P15" s="118">
        <v>10</v>
      </c>
      <c r="Q15" s="118">
        <v>10</v>
      </c>
      <c r="R15" s="118">
        <f t="shared" si="0"/>
        <v>120</v>
      </c>
      <c r="S15" s="119"/>
      <c r="T15" s="119" t="s">
        <v>450</v>
      </c>
      <c r="U15" s="119"/>
      <c r="V15" s="119"/>
    </row>
    <row r="16" spans="1:26" x14ac:dyDescent="0.3">
      <c r="A16" s="22">
        <v>10</v>
      </c>
      <c r="B16" s="45" t="s">
        <v>52</v>
      </c>
      <c r="C16" s="87" t="s">
        <v>53</v>
      </c>
      <c r="D16" s="54" t="s">
        <v>54</v>
      </c>
      <c r="E16" s="57"/>
      <c r="F16" s="57">
        <v>10</v>
      </c>
      <c r="G16" s="57">
        <v>10</v>
      </c>
      <c r="H16" s="57">
        <v>10</v>
      </c>
      <c r="I16" s="57">
        <v>10</v>
      </c>
      <c r="J16" s="57">
        <v>10</v>
      </c>
      <c r="K16" s="57">
        <v>10</v>
      </c>
      <c r="L16" s="57">
        <v>10</v>
      </c>
      <c r="M16" s="57">
        <v>10</v>
      </c>
      <c r="N16" s="57">
        <v>10</v>
      </c>
      <c r="O16" s="57">
        <v>10</v>
      </c>
      <c r="P16" s="57">
        <v>10</v>
      </c>
      <c r="Q16" s="57">
        <v>10</v>
      </c>
      <c r="R16" s="57">
        <f t="shared" si="0"/>
        <v>120</v>
      </c>
      <c r="S16" s="58"/>
      <c r="T16" s="58" t="s">
        <v>436</v>
      </c>
      <c r="U16" s="58"/>
      <c r="V16" s="59"/>
    </row>
    <row r="17" spans="1:22" x14ac:dyDescent="0.3">
      <c r="A17" s="22">
        <v>11</v>
      </c>
      <c r="B17" s="45" t="s">
        <v>55</v>
      </c>
      <c r="C17" s="30" t="s">
        <v>56</v>
      </c>
      <c r="D17" s="21" t="s">
        <v>57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8"/>
    </row>
    <row r="18" spans="1:22" x14ac:dyDescent="0.3">
      <c r="A18" s="22">
        <v>12</v>
      </c>
      <c r="B18" s="45" t="s">
        <v>58</v>
      </c>
      <c r="C18" s="30" t="s">
        <v>59</v>
      </c>
      <c r="D18" s="21" t="s">
        <v>60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46"/>
      <c r="S18" s="8"/>
    </row>
    <row r="19" spans="1:22" x14ac:dyDescent="0.3">
      <c r="A19" s="22">
        <v>13</v>
      </c>
      <c r="B19" s="56" t="s">
        <v>61</v>
      </c>
      <c r="C19" s="57" t="s">
        <v>62</v>
      </c>
      <c r="D19" s="54" t="s">
        <v>63</v>
      </c>
      <c r="E19" s="57"/>
      <c r="F19" s="57">
        <v>10</v>
      </c>
      <c r="G19" s="57">
        <v>10</v>
      </c>
      <c r="H19" s="57">
        <v>10</v>
      </c>
      <c r="I19" s="57">
        <v>10</v>
      </c>
      <c r="J19" s="57">
        <v>10</v>
      </c>
      <c r="K19" s="57">
        <v>10</v>
      </c>
      <c r="L19" s="57">
        <v>10</v>
      </c>
      <c r="M19" s="57">
        <v>10</v>
      </c>
      <c r="N19" s="57">
        <v>10</v>
      </c>
      <c r="O19" s="57">
        <v>10</v>
      </c>
      <c r="P19" s="57">
        <v>10</v>
      </c>
      <c r="Q19" s="57">
        <v>10</v>
      </c>
      <c r="R19" s="57">
        <f t="shared" ref="R19:R20" si="1">SUM(F19:Q19)</f>
        <v>120</v>
      </c>
      <c r="S19" s="58"/>
      <c r="T19" s="58" t="s">
        <v>451</v>
      </c>
      <c r="U19" s="58"/>
      <c r="V19" s="59"/>
    </row>
    <row r="20" spans="1:22" x14ac:dyDescent="0.3">
      <c r="A20" s="22">
        <v>14</v>
      </c>
      <c r="B20" s="56" t="s">
        <v>65</v>
      </c>
      <c r="C20" s="87" t="s">
        <v>66</v>
      </c>
      <c r="D20" s="54" t="s">
        <v>67</v>
      </c>
      <c r="E20" s="57"/>
      <c r="F20" s="57">
        <v>10</v>
      </c>
      <c r="G20" s="57">
        <v>10</v>
      </c>
      <c r="H20" s="57">
        <v>10</v>
      </c>
      <c r="I20" s="57">
        <v>10</v>
      </c>
      <c r="J20" s="57">
        <v>10</v>
      </c>
      <c r="K20" s="57">
        <v>10</v>
      </c>
      <c r="L20" s="57">
        <v>10</v>
      </c>
      <c r="M20" s="57">
        <v>10</v>
      </c>
      <c r="N20" s="57">
        <v>10</v>
      </c>
      <c r="O20" s="57">
        <v>10</v>
      </c>
      <c r="P20" s="57">
        <v>10</v>
      </c>
      <c r="Q20" s="57">
        <v>10</v>
      </c>
      <c r="R20" s="57">
        <f t="shared" si="1"/>
        <v>120</v>
      </c>
      <c r="S20" s="58"/>
      <c r="T20" s="58" t="s">
        <v>421</v>
      </c>
      <c r="U20" s="58"/>
      <c r="V20" s="59"/>
    </row>
    <row r="21" spans="1:22" ht="15.75" customHeight="1" x14ac:dyDescent="0.3">
      <c r="A21" s="22">
        <v>15</v>
      </c>
      <c r="B21" s="56" t="s">
        <v>68</v>
      </c>
      <c r="C21" s="57" t="s">
        <v>69</v>
      </c>
      <c r="D21" s="54" t="s">
        <v>70</v>
      </c>
      <c r="E21" s="57"/>
      <c r="F21" s="104">
        <v>10</v>
      </c>
      <c r="G21" s="105">
        <v>10</v>
      </c>
      <c r="H21" s="105">
        <v>10</v>
      </c>
      <c r="I21" s="105">
        <v>10</v>
      </c>
      <c r="J21" s="105">
        <v>10</v>
      </c>
      <c r="K21" s="105">
        <v>10</v>
      </c>
      <c r="L21" s="105">
        <v>10</v>
      </c>
      <c r="M21" s="105">
        <v>10</v>
      </c>
      <c r="N21" s="105">
        <v>10</v>
      </c>
      <c r="O21" s="105">
        <v>10</v>
      </c>
      <c r="P21" s="105">
        <v>10</v>
      </c>
      <c r="Q21" s="105">
        <v>10</v>
      </c>
      <c r="R21" s="105">
        <v>120</v>
      </c>
      <c r="S21" s="58"/>
      <c r="T21" s="123" t="s">
        <v>452</v>
      </c>
      <c r="U21" s="123"/>
      <c r="V21" s="59"/>
    </row>
    <row r="22" spans="1:22" ht="15.75" customHeight="1" x14ac:dyDescent="0.3">
      <c r="A22" s="22">
        <v>16</v>
      </c>
      <c r="B22" s="45" t="s">
        <v>71</v>
      </c>
      <c r="C22" s="30" t="s">
        <v>72</v>
      </c>
      <c r="D22" s="21" t="s">
        <v>73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8"/>
    </row>
    <row r="23" spans="1:22" ht="15.75" customHeight="1" x14ac:dyDescent="0.3">
      <c r="A23" s="22">
        <v>17</v>
      </c>
      <c r="B23" s="45" t="s">
        <v>74</v>
      </c>
      <c r="C23" s="30" t="s">
        <v>75</v>
      </c>
      <c r="D23" s="21" t="s">
        <v>76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8"/>
    </row>
    <row r="24" spans="1:22" ht="15.75" customHeight="1" x14ac:dyDescent="0.3">
      <c r="A24" s="22">
        <v>18</v>
      </c>
      <c r="B24" s="56" t="s">
        <v>77</v>
      </c>
      <c r="C24" s="124" t="s">
        <v>78</v>
      </c>
      <c r="D24" s="54" t="s">
        <v>79</v>
      </c>
      <c r="E24" s="57"/>
      <c r="F24" s="57">
        <v>10</v>
      </c>
      <c r="G24" s="57">
        <v>10</v>
      </c>
      <c r="H24" s="57">
        <v>10</v>
      </c>
      <c r="I24" s="57">
        <v>10</v>
      </c>
      <c r="J24" s="57">
        <v>10</v>
      </c>
      <c r="K24" s="57">
        <v>10</v>
      </c>
      <c r="L24" s="57">
        <v>10</v>
      </c>
      <c r="M24" s="57">
        <v>10</v>
      </c>
      <c r="N24" s="57">
        <v>10</v>
      </c>
      <c r="O24" s="57">
        <v>10</v>
      </c>
      <c r="P24" s="57">
        <v>10</v>
      </c>
      <c r="Q24" s="57">
        <v>10</v>
      </c>
      <c r="R24" s="57">
        <f>SUM(F24:Q24)</f>
        <v>120</v>
      </c>
      <c r="S24" s="58"/>
      <c r="T24" s="123" t="s">
        <v>377</v>
      </c>
      <c r="U24" s="123"/>
      <c r="V24" s="59"/>
    </row>
    <row r="25" spans="1:22" ht="15.75" customHeight="1" x14ac:dyDescent="0.3">
      <c r="A25" s="22">
        <v>19</v>
      </c>
      <c r="B25" s="45" t="s">
        <v>80</v>
      </c>
      <c r="C25" s="18" t="s">
        <v>81</v>
      </c>
      <c r="D25" s="21" t="s">
        <v>82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8"/>
    </row>
    <row r="26" spans="1:22" ht="15.75" customHeight="1" x14ac:dyDescent="0.3">
      <c r="A26" s="22">
        <v>20</v>
      </c>
      <c r="B26" s="56" t="s">
        <v>83</v>
      </c>
      <c r="C26" s="87" t="s">
        <v>84</v>
      </c>
      <c r="D26" s="54" t="s">
        <v>85</v>
      </c>
      <c r="E26" s="57"/>
      <c r="F26" s="104">
        <v>10</v>
      </c>
      <c r="G26" s="105">
        <v>10</v>
      </c>
      <c r="H26" s="105">
        <v>10</v>
      </c>
      <c r="I26" s="105">
        <v>10</v>
      </c>
      <c r="J26" s="105">
        <v>10</v>
      </c>
      <c r="K26" s="105">
        <v>10</v>
      </c>
      <c r="L26" s="105">
        <v>10</v>
      </c>
      <c r="M26" s="105">
        <v>10</v>
      </c>
      <c r="N26" s="105">
        <v>10</v>
      </c>
      <c r="O26" s="105">
        <v>10</v>
      </c>
      <c r="P26" s="105">
        <v>10</v>
      </c>
      <c r="Q26" s="105">
        <v>10</v>
      </c>
      <c r="R26" s="105">
        <v>120</v>
      </c>
      <c r="S26" s="58"/>
      <c r="T26" s="58" t="s">
        <v>436</v>
      </c>
      <c r="U26" s="58"/>
      <c r="V26" s="59"/>
    </row>
    <row r="27" spans="1:22" ht="15.75" customHeight="1" x14ac:dyDescent="0.3">
      <c r="A27" s="22">
        <v>21</v>
      </c>
      <c r="B27" s="45" t="s">
        <v>86</v>
      </c>
      <c r="C27" s="30" t="s">
        <v>87</v>
      </c>
      <c r="D27" s="21" t="s">
        <v>88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46"/>
      <c r="S27" s="8"/>
    </row>
    <row r="28" spans="1:22" ht="15.75" customHeight="1" x14ac:dyDescent="0.3">
      <c r="A28" s="22">
        <v>22</v>
      </c>
      <c r="B28" s="56" t="s">
        <v>89</v>
      </c>
      <c r="C28" s="87" t="s">
        <v>90</v>
      </c>
      <c r="D28" s="54" t="s">
        <v>91</v>
      </c>
      <c r="E28" s="57"/>
      <c r="F28" s="104">
        <v>10</v>
      </c>
      <c r="G28" s="105">
        <v>10</v>
      </c>
      <c r="H28" s="105">
        <v>10</v>
      </c>
      <c r="I28" s="105">
        <v>10</v>
      </c>
      <c r="J28" s="105">
        <v>10</v>
      </c>
      <c r="K28" s="105">
        <v>10</v>
      </c>
      <c r="L28" s="105">
        <v>10</v>
      </c>
      <c r="M28" s="105">
        <v>10</v>
      </c>
      <c r="N28" s="105">
        <v>10</v>
      </c>
      <c r="O28" s="105">
        <v>10</v>
      </c>
      <c r="P28" s="105">
        <v>10</v>
      </c>
      <c r="Q28" s="105">
        <v>10</v>
      </c>
      <c r="R28" s="105">
        <v>120</v>
      </c>
      <c r="S28" s="58"/>
      <c r="T28" s="58" t="s">
        <v>436</v>
      </c>
      <c r="U28" s="58"/>
      <c r="V28" s="59"/>
    </row>
    <row r="29" spans="1:22" ht="15.75" customHeight="1" x14ac:dyDescent="0.3">
      <c r="A29" s="22">
        <v>23</v>
      </c>
      <c r="B29" s="56" t="s">
        <v>92</v>
      </c>
      <c r="C29" s="87" t="s">
        <v>93</v>
      </c>
      <c r="D29" s="54" t="s">
        <v>94</v>
      </c>
      <c r="E29" s="57"/>
      <c r="F29" s="104">
        <v>10</v>
      </c>
      <c r="G29" s="105">
        <v>10</v>
      </c>
      <c r="H29" s="105">
        <v>10</v>
      </c>
      <c r="I29" s="105">
        <v>10</v>
      </c>
      <c r="J29" s="105">
        <v>10</v>
      </c>
      <c r="K29" s="105">
        <v>10</v>
      </c>
      <c r="L29" s="105">
        <v>10</v>
      </c>
      <c r="M29" s="105">
        <v>10</v>
      </c>
      <c r="N29" s="105">
        <v>10</v>
      </c>
      <c r="O29" s="105">
        <v>10</v>
      </c>
      <c r="P29" s="105">
        <v>10</v>
      </c>
      <c r="Q29" s="105">
        <v>10</v>
      </c>
      <c r="R29" s="105">
        <v>120</v>
      </c>
      <c r="S29" s="58"/>
      <c r="T29" s="58" t="s">
        <v>421</v>
      </c>
      <c r="U29" s="58"/>
    </row>
    <row r="30" spans="1:22" ht="15.75" customHeight="1" x14ac:dyDescent="0.3">
      <c r="A30" s="22">
        <v>24</v>
      </c>
      <c r="B30" s="56" t="s">
        <v>95</v>
      </c>
      <c r="C30" s="57" t="s">
        <v>453</v>
      </c>
      <c r="D30" s="54" t="s">
        <v>97</v>
      </c>
      <c r="E30" s="57"/>
      <c r="F30" s="104">
        <v>10</v>
      </c>
      <c r="G30" s="105">
        <v>10</v>
      </c>
      <c r="H30" s="105">
        <v>10</v>
      </c>
      <c r="I30" s="105">
        <v>10</v>
      </c>
      <c r="J30" s="105">
        <v>10</v>
      </c>
      <c r="K30" s="105">
        <v>10</v>
      </c>
      <c r="L30" s="105">
        <v>10</v>
      </c>
      <c r="M30" s="105">
        <v>10</v>
      </c>
      <c r="N30" s="105">
        <v>10</v>
      </c>
      <c r="O30" s="105">
        <v>10</v>
      </c>
      <c r="P30" s="105">
        <v>10</v>
      </c>
      <c r="Q30" s="105">
        <v>10</v>
      </c>
      <c r="R30" s="105">
        <v>120</v>
      </c>
      <c r="S30" s="58"/>
      <c r="T30" s="58" t="s">
        <v>421</v>
      </c>
      <c r="U30" s="58"/>
      <c r="V30" s="59"/>
    </row>
    <row r="31" spans="1:22" ht="15.75" customHeight="1" x14ac:dyDescent="0.3">
      <c r="A31" s="22">
        <v>25</v>
      </c>
      <c r="B31" s="56" t="s">
        <v>98</v>
      </c>
      <c r="C31" s="57" t="s">
        <v>99</v>
      </c>
      <c r="D31" s="54" t="s">
        <v>100</v>
      </c>
      <c r="E31" s="57"/>
      <c r="F31" s="104">
        <v>10</v>
      </c>
      <c r="G31" s="105">
        <v>10</v>
      </c>
      <c r="H31" s="105">
        <v>10</v>
      </c>
      <c r="I31" s="105">
        <v>10</v>
      </c>
      <c r="J31" s="105">
        <v>10</v>
      </c>
      <c r="K31" s="105">
        <v>10</v>
      </c>
      <c r="L31" s="105">
        <v>10</v>
      </c>
      <c r="M31" s="105">
        <v>10</v>
      </c>
      <c r="N31" s="105">
        <v>10</v>
      </c>
      <c r="O31" s="105">
        <v>10</v>
      </c>
      <c r="P31" s="105">
        <v>10</v>
      </c>
      <c r="Q31" s="105">
        <v>10</v>
      </c>
      <c r="R31" s="105">
        <v>120</v>
      </c>
      <c r="S31" s="58"/>
      <c r="T31" s="58" t="s">
        <v>421</v>
      </c>
      <c r="U31" s="58"/>
      <c r="V31" s="59"/>
    </row>
    <row r="32" spans="1:22" ht="15.75" customHeight="1" x14ac:dyDescent="0.3">
      <c r="A32" s="22">
        <v>26</v>
      </c>
      <c r="B32" s="45" t="s">
        <v>101</v>
      </c>
      <c r="C32" s="18" t="s">
        <v>102</v>
      </c>
      <c r="D32" s="21" t="s">
        <v>103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8"/>
    </row>
    <row r="33" spans="1:26" ht="15.75" customHeight="1" x14ac:dyDescent="0.3">
      <c r="A33" s="22">
        <v>27</v>
      </c>
      <c r="B33" s="56" t="s">
        <v>104</v>
      </c>
      <c r="C33" s="57" t="s">
        <v>105</v>
      </c>
      <c r="D33" s="54" t="s">
        <v>106</v>
      </c>
      <c r="E33" s="57"/>
      <c r="F33" s="104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120</v>
      </c>
      <c r="S33" s="58"/>
      <c r="T33" s="58" t="s">
        <v>436</v>
      </c>
      <c r="U33" s="58"/>
      <c r="V33" s="59"/>
    </row>
    <row r="34" spans="1:26" ht="15.75" customHeight="1" x14ac:dyDescent="0.3">
      <c r="A34" s="22">
        <v>28</v>
      </c>
      <c r="B34" s="62" t="s">
        <v>107</v>
      </c>
      <c r="C34" s="63" t="s">
        <v>108</v>
      </c>
      <c r="D34" s="60" t="s">
        <v>109</v>
      </c>
      <c r="E34" s="63"/>
      <c r="F34" s="104">
        <v>10</v>
      </c>
      <c r="G34" s="105">
        <v>10</v>
      </c>
      <c r="H34" s="105">
        <v>10</v>
      </c>
      <c r="I34" s="105">
        <v>10</v>
      </c>
      <c r="J34" s="105">
        <v>10</v>
      </c>
      <c r="K34" s="105">
        <v>10</v>
      </c>
      <c r="L34" s="105">
        <v>10</v>
      </c>
      <c r="M34" s="105">
        <v>10</v>
      </c>
      <c r="N34" s="105">
        <v>10</v>
      </c>
      <c r="O34" s="105">
        <v>10</v>
      </c>
      <c r="P34" s="105">
        <v>10</v>
      </c>
      <c r="Q34" s="105">
        <v>10</v>
      </c>
      <c r="R34" s="105">
        <v>120</v>
      </c>
      <c r="S34" s="58"/>
      <c r="T34" s="58" t="s">
        <v>454</v>
      </c>
      <c r="U34" s="58"/>
      <c r="V34" s="59"/>
    </row>
    <row r="35" spans="1:26" ht="15.75" customHeight="1" x14ac:dyDescent="0.3">
      <c r="A35" s="22">
        <v>29</v>
      </c>
      <c r="B35" s="45" t="s">
        <v>110</v>
      </c>
      <c r="C35" s="30" t="s">
        <v>111</v>
      </c>
      <c r="D35" s="21" t="s">
        <v>112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8"/>
    </row>
    <row r="36" spans="1:26" ht="15.75" customHeight="1" x14ac:dyDescent="0.3">
      <c r="A36" s="22">
        <v>30</v>
      </c>
      <c r="B36" s="56" t="s">
        <v>113</v>
      </c>
      <c r="C36" s="57" t="s">
        <v>114</v>
      </c>
      <c r="D36" s="54" t="s">
        <v>115</v>
      </c>
      <c r="E36" s="57"/>
      <c r="F36" s="104">
        <v>10</v>
      </c>
      <c r="G36" s="105">
        <v>10</v>
      </c>
      <c r="H36" s="105">
        <v>10</v>
      </c>
      <c r="I36" s="105">
        <v>10</v>
      </c>
      <c r="J36" s="105">
        <v>10</v>
      </c>
      <c r="K36" s="105">
        <v>10</v>
      </c>
      <c r="L36" s="105">
        <v>10</v>
      </c>
      <c r="M36" s="105">
        <v>10</v>
      </c>
      <c r="N36" s="105">
        <v>10</v>
      </c>
      <c r="O36" s="105">
        <v>10</v>
      </c>
      <c r="P36" s="105">
        <v>10</v>
      </c>
      <c r="Q36" s="105">
        <v>10</v>
      </c>
      <c r="R36" s="105">
        <v>120</v>
      </c>
      <c r="S36" s="58"/>
      <c r="T36" s="58" t="s">
        <v>449</v>
      </c>
      <c r="U36" s="58"/>
      <c r="V36" s="59"/>
    </row>
    <row r="37" spans="1:26" ht="15.75" customHeight="1" x14ac:dyDescent="0.3">
      <c r="A37" s="22">
        <v>31</v>
      </c>
      <c r="B37" s="56" t="s">
        <v>116</v>
      </c>
      <c r="C37" s="87" t="s">
        <v>117</v>
      </c>
      <c r="D37" s="54" t="s">
        <v>118</v>
      </c>
      <c r="E37" s="57"/>
      <c r="F37" s="104">
        <v>10</v>
      </c>
      <c r="G37" s="105">
        <v>10</v>
      </c>
      <c r="H37" s="105">
        <v>10</v>
      </c>
      <c r="I37" s="105">
        <v>10</v>
      </c>
      <c r="J37" s="105">
        <v>10</v>
      </c>
      <c r="K37" s="105">
        <v>10</v>
      </c>
      <c r="L37" s="105">
        <v>10</v>
      </c>
      <c r="M37" s="105">
        <v>10</v>
      </c>
      <c r="N37" s="105">
        <v>10</v>
      </c>
      <c r="O37" s="105">
        <v>10</v>
      </c>
      <c r="P37" s="105">
        <v>10</v>
      </c>
      <c r="Q37" s="105">
        <v>10</v>
      </c>
      <c r="R37" s="105">
        <v>120</v>
      </c>
      <c r="S37" s="58"/>
      <c r="T37" s="58" t="s">
        <v>436</v>
      </c>
      <c r="U37" s="58"/>
      <c r="V37" s="59"/>
    </row>
    <row r="38" spans="1:26" ht="15.75" customHeight="1" x14ac:dyDescent="0.3">
      <c r="A38" s="22">
        <v>32</v>
      </c>
      <c r="B38" s="56" t="s">
        <v>119</v>
      </c>
      <c r="C38" s="125" t="s">
        <v>120</v>
      </c>
      <c r="D38" s="54" t="s">
        <v>121</v>
      </c>
      <c r="E38" s="57"/>
      <c r="F38" s="57">
        <v>10</v>
      </c>
      <c r="G38" s="57">
        <v>10</v>
      </c>
      <c r="H38" s="57">
        <v>10</v>
      </c>
      <c r="I38" s="57">
        <v>10</v>
      </c>
      <c r="J38" s="57">
        <v>10</v>
      </c>
      <c r="K38" s="57">
        <v>10</v>
      </c>
      <c r="L38" s="57">
        <v>10</v>
      </c>
      <c r="M38" s="57">
        <v>10</v>
      </c>
      <c r="N38" s="57">
        <v>10</v>
      </c>
      <c r="O38" s="57">
        <v>10</v>
      </c>
      <c r="P38" s="57">
        <v>10</v>
      </c>
      <c r="Q38" s="57">
        <v>10</v>
      </c>
      <c r="R38" s="57">
        <f t="shared" ref="R38:R39" si="2">SUM(F38:Q38)</f>
        <v>120</v>
      </c>
      <c r="S38" s="58"/>
      <c r="T38" s="58" t="s">
        <v>448</v>
      </c>
      <c r="U38" s="58"/>
      <c r="V38" s="59"/>
    </row>
    <row r="39" spans="1:26" ht="15.75" customHeight="1" x14ac:dyDescent="0.3">
      <c r="A39" s="22">
        <v>33</v>
      </c>
      <c r="B39" s="56" t="s">
        <v>122</v>
      </c>
      <c r="C39" s="57" t="s">
        <v>123</v>
      </c>
      <c r="D39" s="54" t="s">
        <v>124</v>
      </c>
      <c r="E39" s="57"/>
      <c r="F39" s="57">
        <v>10</v>
      </c>
      <c r="G39" s="57">
        <v>10</v>
      </c>
      <c r="H39" s="57">
        <v>10</v>
      </c>
      <c r="I39" s="57">
        <v>10</v>
      </c>
      <c r="J39" s="57">
        <v>10</v>
      </c>
      <c r="K39" s="57">
        <v>10</v>
      </c>
      <c r="L39" s="57">
        <v>10</v>
      </c>
      <c r="M39" s="57">
        <v>10</v>
      </c>
      <c r="N39" s="57">
        <v>10</v>
      </c>
      <c r="O39" s="57">
        <v>10</v>
      </c>
      <c r="P39" s="57">
        <v>10</v>
      </c>
      <c r="Q39" s="57">
        <v>10</v>
      </c>
      <c r="R39" s="57">
        <f t="shared" si="2"/>
        <v>120</v>
      </c>
      <c r="S39" s="58"/>
      <c r="T39" s="58" t="s">
        <v>377</v>
      </c>
      <c r="U39" s="58"/>
      <c r="V39" s="59"/>
    </row>
    <row r="40" spans="1:26" ht="15.75" customHeight="1" x14ac:dyDescent="0.3">
      <c r="A40" s="90">
        <v>34</v>
      </c>
      <c r="B40" s="93" t="s">
        <v>125</v>
      </c>
      <c r="C40" s="91" t="s">
        <v>126</v>
      </c>
      <c r="D40" s="94" t="s">
        <v>127</v>
      </c>
      <c r="E40" s="91"/>
      <c r="F40" s="91">
        <v>10</v>
      </c>
      <c r="G40" s="126">
        <v>10</v>
      </c>
      <c r="H40" s="91">
        <v>10</v>
      </c>
      <c r="I40" s="91">
        <v>10</v>
      </c>
      <c r="J40" s="91">
        <v>10</v>
      </c>
      <c r="K40" s="91">
        <v>10</v>
      </c>
      <c r="L40" s="91">
        <v>10</v>
      </c>
      <c r="M40" s="91">
        <v>10</v>
      </c>
      <c r="N40" s="91">
        <v>10</v>
      </c>
      <c r="O40" s="91">
        <v>10</v>
      </c>
      <c r="P40" s="91">
        <v>10</v>
      </c>
      <c r="Q40" s="91">
        <v>10</v>
      </c>
      <c r="R40" s="91">
        <f>SUM(F40:Q40)</f>
        <v>120</v>
      </c>
      <c r="S40" s="95"/>
      <c r="T40" s="71" t="s">
        <v>455</v>
      </c>
      <c r="U40" s="96"/>
      <c r="V40" s="96"/>
    </row>
    <row r="41" spans="1:26" ht="15.75" customHeight="1" x14ac:dyDescent="0.3">
      <c r="A41" s="22">
        <v>35</v>
      </c>
      <c r="B41" s="62" t="s">
        <v>128</v>
      </c>
      <c r="C41" s="61" t="s">
        <v>129</v>
      </c>
      <c r="D41" s="60" t="s">
        <v>130</v>
      </c>
      <c r="E41" s="63"/>
      <c r="F41" s="57">
        <v>10</v>
      </c>
      <c r="G41" s="57">
        <v>10</v>
      </c>
      <c r="H41" s="57">
        <v>10</v>
      </c>
      <c r="I41" s="57">
        <v>10</v>
      </c>
      <c r="J41" s="57">
        <v>10</v>
      </c>
      <c r="K41" s="57">
        <v>10</v>
      </c>
      <c r="L41" s="57">
        <v>10</v>
      </c>
      <c r="M41" s="57">
        <v>10</v>
      </c>
      <c r="N41" s="57">
        <v>10</v>
      </c>
      <c r="O41" s="57">
        <v>10</v>
      </c>
      <c r="P41" s="57">
        <v>10</v>
      </c>
      <c r="Q41" s="57">
        <v>10</v>
      </c>
      <c r="R41" s="57">
        <f>SUM(F41:Q41)</f>
        <v>120</v>
      </c>
      <c r="S41" s="58"/>
      <c r="T41" s="58" t="s">
        <v>456</v>
      </c>
      <c r="U41" s="58"/>
      <c r="V41" s="59"/>
    </row>
    <row r="42" spans="1:26" ht="15.75" customHeight="1" x14ac:dyDescent="0.3">
      <c r="A42" s="22">
        <v>36</v>
      </c>
      <c r="B42" s="45" t="s">
        <v>131</v>
      </c>
      <c r="C42" s="30" t="s">
        <v>132</v>
      </c>
      <c r="D42" s="21" t="s">
        <v>133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8"/>
    </row>
    <row r="43" spans="1:26" ht="15.75" customHeight="1" x14ac:dyDescent="0.3">
      <c r="A43" s="22">
        <v>37</v>
      </c>
      <c r="B43" s="127" t="s">
        <v>135</v>
      </c>
      <c r="C43" s="128" t="s">
        <v>136</v>
      </c>
      <c r="D43" s="129" t="s">
        <v>137</v>
      </c>
      <c r="E43" s="124"/>
      <c r="F43" s="130">
        <v>10</v>
      </c>
      <c r="G43" s="131">
        <v>10</v>
      </c>
      <c r="H43" s="131">
        <v>10</v>
      </c>
      <c r="I43" s="131">
        <v>10</v>
      </c>
      <c r="J43" s="131">
        <v>10</v>
      </c>
      <c r="K43" s="131">
        <v>10</v>
      </c>
      <c r="L43" s="131">
        <v>10</v>
      </c>
      <c r="M43" s="131">
        <v>10</v>
      </c>
      <c r="N43" s="131">
        <v>10</v>
      </c>
      <c r="O43" s="131">
        <v>10</v>
      </c>
      <c r="P43" s="131">
        <v>10</v>
      </c>
      <c r="Q43" s="132">
        <v>10</v>
      </c>
      <c r="R43" s="131">
        <v>120</v>
      </c>
      <c r="S43" s="119"/>
      <c r="T43" s="119" t="s">
        <v>457</v>
      </c>
      <c r="U43" s="119"/>
      <c r="V43" s="44"/>
      <c r="W43" s="133"/>
      <c r="Y43" s="8"/>
    </row>
    <row r="44" spans="1:26" ht="15.75" customHeight="1" x14ac:dyDescent="0.3">
      <c r="A44" s="22">
        <v>38</v>
      </c>
      <c r="B44" s="56" t="s">
        <v>138</v>
      </c>
      <c r="C44" s="87" t="s">
        <v>139</v>
      </c>
      <c r="D44" s="54" t="s">
        <v>140</v>
      </c>
      <c r="E44" s="57"/>
      <c r="F44" s="57">
        <v>10</v>
      </c>
      <c r="G44" s="57">
        <v>10</v>
      </c>
      <c r="H44" s="57">
        <v>10</v>
      </c>
      <c r="I44" s="57">
        <v>10</v>
      </c>
      <c r="J44" s="57">
        <v>10</v>
      </c>
      <c r="K44" s="57">
        <v>10</v>
      </c>
      <c r="L44" s="57">
        <v>10</v>
      </c>
      <c r="M44" s="57">
        <v>10</v>
      </c>
      <c r="N44" s="57">
        <v>10</v>
      </c>
      <c r="O44" s="57">
        <v>10</v>
      </c>
      <c r="P44" s="57">
        <v>10</v>
      </c>
      <c r="Q44" s="57">
        <v>10</v>
      </c>
      <c r="R44" s="57">
        <f t="shared" ref="R44:R47" si="3">SUM(F44:Q44)</f>
        <v>120</v>
      </c>
      <c r="S44" s="58"/>
      <c r="T44" s="58" t="s">
        <v>445</v>
      </c>
      <c r="U44" s="58"/>
      <c r="V44" s="59"/>
    </row>
    <row r="45" spans="1:26" ht="15.75" customHeight="1" x14ac:dyDescent="0.3">
      <c r="A45" s="22">
        <v>39</v>
      </c>
      <c r="B45" s="56" t="s">
        <v>141</v>
      </c>
      <c r="C45" s="87" t="s">
        <v>142</v>
      </c>
      <c r="D45" s="54" t="s">
        <v>143</v>
      </c>
      <c r="E45" s="57"/>
      <c r="F45" s="57">
        <v>10</v>
      </c>
      <c r="G45" s="57">
        <v>10</v>
      </c>
      <c r="H45" s="57">
        <v>10</v>
      </c>
      <c r="I45" s="57">
        <v>10</v>
      </c>
      <c r="J45" s="57">
        <v>10</v>
      </c>
      <c r="K45" s="57">
        <v>10</v>
      </c>
      <c r="L45" s="57">
        <v>10</v>
      </c>
      <c r="M45" s="57">
        <v>10</v>
      </c>
      <c r="N45" s="57">
        <v>10</v>
      </c>
      <c r="O45" s="57">
        <v>10</v>
      </c>
      <c r="P45" s="57">
        <v>10</v>
      </c>
      <c r="Q45" s="57">
        <v>10</v>
      </c>
      <c r="R45" s="57">
        <f t="shared" si="3"/>
        <v>120</v>
      </c>
      <c r="S45" s="58"/>
      <c r="T45" s="58" t="s">
        <v>435</v>
      </c>
      <c r="U45" s="58"/>
      <c r="V45" s="59"/>
    </row>
    <row r="46" spans="1:26" ht="15.75" customHeight="1" x14ac:dyDescent="0.3">
      <c r="A46" s="22">
        <v>40</v>
      </c>
      <c r="B46" s="56" t="s">
        <v>144</v>
      </c>
      <c r="C46" s="87" t="s">
        <v>145</v>
      </c>
      <c r="D46" s="54" t="s">
        <v>146</v>
      </c>
      <c r="E46" s="57"/>
      <c r="F46" s="57">
        <v>10</v>
      </c>
      <c r="G46" s="57">
        <v>10</v>
      </c>
      <c r="H46" s="57">
        <v>10</v>
      </c>
      <c r="I46" s="57">
        <v>10</v>
      </c>
      <c r="J46" s="57">
        <v>10</v>
      </c>
      <c r="K46" s="57">
        <v>10</v>
      </c>
      <c r="L46" s="57">
        <v>10</v>
      </c>
      <c r="M46" s="57">
        <v>10</v>
      </c>
      <c r="N46" s="57">
        <v>10</v>
      </c>
      <c r="O46" s="57">
        <v>10</v>
      </c>
      <c r="P46" s="57">
        <v>10</v>
      </c>
      <c r="Q46" s="57">
        <v>10</v>
      </c>
      <c r="R46" s="57">
        <f t="shared" si="3"/>
        <v>120</v>
      </c>
      <c r="S46" s="58"/>
      <c r="T46" s="58" t="s">
        <v>436</v>
      </c>
      <c r="U46" s="58"/>
      <c r="V46" s="59"/>
      <c r="W46" s="8"/>
      <c r="X46" s="8"/>
      <c r="Y46" s="8"/>
      <c r="Z46" s="8"/>
    </row>
    <row r="47" spans="1:26" ht="15.75" customHeight="1" x14ac:dyDescent="0.3">
      <c r="A47" s="22">
        <v>41</v>
      </c>
      <c r="B47" s="56" t="s">
        <v>147</v>
      </c>
      <c r="C47" s="57" t="s">
        <v>458</v>
      </c>
      <c r="D47" s="54" t="s">
        <v>149</v>
      </c>
      <c r="E47" s="57"/>
      <c r="F47" s="57">
        <v>10</v>
      </c>
      <c r="G47" s="57">
        <v>10</v>
      </c>
      <c r="H47" s="57">
        <v>10</v>
      </c>
      <c r="I47" s="57">
        <v>10</v>
      </c>
      <c r="J47" s="57">
        <v>10</v>
      </c>
      <c r="K47" s="57">
        <v>10</v>
      </c>
      <c r="L47" s="57">
        <v>10</v>
      </c>
      <c r="M47" s="57">
        <v>10</v>
      </c>
      <c r="N47" s="57">
        <v>10</v>
      </c>
      <c r="O47" s="57">
        <v>10</v>
      </c>
      <c r="P47" s="57">
        <v>10</v>
      </c>
      <c r="Q47" s="57">
        <v>10</v>
      </c>
      <c r="R47" s="57">
        <f t="shared" si="3"/>
        <v>120</v>
      </c>
      <c r="S47" s="58"/>
      <c r="T47" s="58" t="s">
        <v>459</v>
      </c>
      <c r="U47" s="58"/>
      <c r="V47" s="59"/>
    </row>
    <row r="48" spans="1:26" ht="15.75" customHeight="1" x14ac:dyDescent="0.3">
      <c r="A48" s="22">
        <v>42</v>
      </c>
      <c r="B48" s="45" t="s">
        <v>150</v>
      </c>
      <c r="C48" s="18" t="s">
        <v>151</v>
      </c>
      <c r="D48" s="21" t="s">
        <v>152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8"/>
    </row>
    <row r="49" spans="1:26" ht="15.75" customHeight="1" x14ac:dyDescent="0.3">
      <c r="A49" s="22">
        <v>43</v>
      </c>
      <c r="B49" s="127" t="s">
        <v>153</v>
      </c>
      <c r="C49" s="134" t="s">
        <v>438</v>
      </c>
      <c r="D49" s="117" t="s">
        <v>155</v>
      </c>
      <c r="E49" s="118"/>
      <c r="F49" s="118">
        <v>10</v>
      </c>
      <c r="G49" s="118">
        <v>10</v>
      </c>
      <c r="H49" s="118">
        <v>10</v>
      </c>
      <c r="I49" s="118">
        <v>10</v>
      </c>
      <c r="J49" s="118">
        <v>10</v>
      </c>
      <c r="K49" s="118">
        <v>10</v>
      </c>
      <c r="L49" s="118">
        <v>10</v>
      </c>
      <c r="M49" s="118">
        <v>10</v>
      </c>
      <c r="N49" s="118">
        <v>10</v>
      </c>
      <c r="O49" s="118">
        <v>10</v>
      </c>
      <c r="P49" s="118">
        <v>10</v>
      </c>
      <c r="Q49" s="118">
        <v>10</v>
      </c>
      <c r="R49" s="118">
        <f>SUM(F49:Q49)</f>
        <v>120</v>
      </c>
      <c r="S49" s="135"/>
      <c r="T49" s="119" t="s">
        <v>460</v>
      </c>
      <c r="U49" s="135"/>
      <c r="V49" s="135"/>
    </row>
    <row r="50" spans="1:26" ht="15.75" customHeight="1" x14ac:dyDescent="0.3">
      <c r="A50" s="22">
        <v>44</v>
      </c>
      <c r="B50" s="56" t="s">
        <v>156</v>
      </c>
      <c r="C50" s="57" t="s">
        <v>157</v>
      </c>
      <c r="D50" s="54" t="s">
        <v>158</v>
      </c>
      <c r="E50" s="57"/>
      <c r="F50" s="104">
        <v>10</v>
      </c>
      <c r="G50" s="105">
        <v>10</v>
      </c>
      <c r="H50" s="105">
        <v>10</v>
      </c>
      <c r="I50" s="105">
        <v>10</v>
      </c>
      <c r="J50" s="105">
        <v>10</v>
      </c>
      <c r="K50" s="105">
        <v>10</v>
      </c>
      <c r="L50" s="105">
        <v>10</v>
      </c>
      <c r="M50" s="105">
        <v>10</v>
      </c>
      <c r="N50" s="105">
        <v>10</v>
      </c>
      <c r="O50" s="105">
        <v>10</v>
      </c>
      <c r="P50" s="105">
        <v>10</v>
      </c>
      <c r="Q50" s="105">
        <v>10</v>
      </c>
      <c r="R50" s="105">
        <v>120</v>
      </c>
      <c r="S50" s="58"/>
      <c r="T50" s="58" t="s">
        <v>461</v>
      </c>
      <c r="U50" s="58"/>
      <c r="V50" s="58"/>
    </row>
    <row r="51" spans="1:26" ht="15.75" customHeight="1" x14ac:dyDescent="0.3">
      <c r="A51" s="22">
        <v>45</v>
      </c>
      <c r="B51" s="45" t="s">
        <v>159</v>
      </c>
      <c r="C51" s="32" t="s">
        <v>160</v>
      </c>
      <c r="D51" s="21" t="s">
        <v>161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8"/>
    </row>
    <row r="52" spans="1:26" ht="15.75" customHeight="1" x14ac:dyDescent="0.3">
      <c r="A52" s="22">
        <v>46</v>
      </c>
      <c r="B52" s="56" t="s">
        <v>162</v>
      </c>
      <c r="C52" s="57" t="s">
        <v>163</v>
      </c>
      <c r="D52" s="54" t="s">
        <v>164</v>
      </c>
      <c r="E52" s="57"/>
      <c r="F52" s="104">
        <v>10</v>
      </c>
      <c r="G52" s="105">
        <v>10</v>
      </c>
      <c r="H52" s="105">
        <v>10</v>
      </c>
      <c r="I52" s="105">
        <v>10</v>
      </c>
      <c r="J52" s="105">
        <v>10</v>
      </c>
      <c r="K52" s="105">
        <v>10</v>
      </c>
      <c r="L52" s="105">
        <v>10</v>
      </c>
      <c r="M52" s="105">
        <v>10</v>
      </c>
      <c r="N52" s="105">
        <v>10</v>
      </c>
      <c r="O52" s="105">
        <v>10</v>
      </c>
      <c r="P52" s="105">
        <v>10</v>
      </c>
      <c r="Q52" s="105">
        <v>10</v>
      </c>
      <c r="R52" s="105">
        <v>120</v>
      </c>
      <c r="S52" s="58"/>
      <c r="T52" s="58" t="s">
        <v>421</v>
      </c>
      <c r="U52" s="58"/>
      <c r="V52" s="58"/>
    </row>
    <row r="53" spans="1:26" ht="15.75" customHeight="1" x14ac:dyDescent="0.3">
      <c r="A53" s="22">
        <v>47</v>
      </c>
      <c r="B53" s="45" t="s">
        <v>165</v>
      </c>
      <c r="C53" s="32" t="s">
        <v>166</v>
      </c>
      <c r="D53" s="21" t="s">
        <v>167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8"/>
    </row>
    <row r="54" spans="1:26" ht="15.75" customHeight="1" x14ac:dyDescent="0.3">
      <c r="A54" s="22">
        <v>48</v>
      </c>
      <c r="B54" s="56" t="s">
        <v>168</v>
      </c>
      <c r="C54" s="87" t="s">
        <v>169</v>
      </c>
      <c r="D54" s="54" t="s">
        <v>170</v>
      </c>
      <c r="E54" s="57"/>
      <c r="F54" s="57">
        <v>10</v>
      </c>
      <c r="G54" s="57">
        <v>10</v>
      </c>
      <c r="H54" s="57">
        <v>10</v>
      </c>
      <c r="I54" s="57">
        <v>10</v>
      </c>
      <c r="J54" s="57">
        <v>10</v>
      </c>
      <c r="K54" s="57">
        <v>10</v>
      </c>
      <c r="L54" s="57">
        <v>10</v>
      </c>
      <c r="M54" s="57">
        <v>10</v>
      </c>
      <c r="N54" s="57">
        <v>10</v>
      </c>
      <c r="O54" s="57">
        <v>10</v>
      </c>
      <c r="P54" s="57">
        <v>10</v>
      </c>
      <c r="Q54" s="57">
        <v>10</v>
      </c>
      <c r="R54" s="57">
        <f>SUM(F54:Q54)</f>
        <v>120</v>
      </c>
      <c r="S54" s="58"/>
      <c r="T54" s="58" t="s">
        <v>451</v>
      </c>
      <c r="U54" s="58"/>
      <c r="V54" s="59"/>
    </row>
    <row r="55" spans="1:26" ht="15.75" customHeight="1" x14ac:dyDescent="0.3">
      <c r="A55" s="22">
        <v>49</v>
      </c>
      <c r="B55" s="45" t="s">
        <v>171</v>
      </c>
      <c r="C55" s="30" t="s">
        <v>172</v>
      </c>
      <c r="D55" s="21" t="s">
        <v>173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3">
      <c r="A56" s="22">
        <v>50</v>
      </c>
      <c r="B56" s="45" t="s">
        <v>174</v>
      </c>
      <c r="C56" s="32" t="s">
        <v>175</v>
      </c>
      <c r="D56" s="21" t="s">
        <v>176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3">
      <c r="A57" s="22">
        <v>51</v>
      </c>
      <c r="B57" s="56" t="s">
        <v>177</v>
      </c>
      <c r="C57" s="57" t="s">
        <v>178</v>
      </c>
      <c r="D57" s="54" t="s">
        <v>179</v>
      </c>
      <c r="E57" s="57"/>
      <c r="F57" s="104">
        <v>10</v>
      </c>
      <c r="G57" s="105">
        <v>10</v>
      </c>
      <c r="H57" s="105">
        <v>10</v>
      </c>
      <c r="I57" s="105">
        <v>10</v>
      </c>
      <c r="J57" s="105">
        <v>10</v>
      </c>
      <c r="K57" s="105">
        <v>10</v>
      </c>
      <c r="L57" s="105">
        <v>10</v>
      </c>
      <c r="M57" s="105">
        <v>10</v>
      </c>
      <c r="N57" s="105">
        <v>10</v>
      </c>
      <c r="O57" s="105">
        <v>10</v>
      </c>
      <c r="P57" s="105">
        <v>10</v>
      </c>
      <c r="Q57" s="105">
        <v>10</v>
      </c>
      <c r="R57" s="105">
        <v>120</v>
      </c>
      <c r="S57" s="58"/>
      <c r="T57" s="58" t="s">
        <v>449</v>
      </c>
      <c r="U57" s="58"/>
      <c r="V57" s="59"/>
      <c r="W57" s="8"/>
      <c r="X57" s="8"/>
      <c r="Y57" s="8"/>
      <c r="Z57" s="8"/>
    </row>
    <row r="58" spans="1:26" ht="15.75" customHeight="1" x14ac:dyDescent="0.3">
      <c r="A58" s="22">
        <v>52</v>
      </c>
      <c r="B58" s="56" t="s">
        <v>180</v>
      </c>
      <c r="C58" s="87" t="s">
        <v>181</v>
      </c>
      <c r="D58" s="54" t="s">
        <v>182</v>
      </c>
      <c r="E58" s="57"/>
      <c r="F58" s="104">
        <v>10</v>
      </c>
      <c r="G58" s="105">
        <v>10</v>
      </c>
      <c r="H58" s="105">
        <v>10</v>
      </c>
      <c r="I58" s="105">
        <v>10</v>
      </c>
      <c r="J58" s="105">
        <v>10</v>
      </c>
      <c r="K58" s="105">
        <v>10</v>
      </c>
      <c r="L58" s="105">
        <v>10</v>
      </c>
      <c r="M58" s="105">
        <v>10</v>
      </c>
      <c r="N58" s="105">
        <v>10</v>
      </c>
      <c r="O58" s="105">
        <v>10</v>
      </c>
      <c r="P58" s="105">
        <v>10</v>
      </c>
      <c r="Q58" s="105">
        <v>10</v>
      </c>
      <c r="R58" s="105">
        <v>120</v>
      </c>
      <c r="S58" s="58"/>
      <c r="T58" s="58" t="s">
        <v>421</v>
      </c>
      <c r="U58" s="58"/>
      <c r="V58" s="59" t="s">
        <v>462</v>
      </c>
      <c r="W58" s="136" t="s">
        <v>463</v>
      </c>
      <c r="X58" s="8"/>
      <c r="Y58" s="8"/>
      <c r="Z58" s="8"/>
    </row>
    <row r="59" spans="1:26" ht="15.75" customHeight="1" x14ac:dyDescent="0.3">
      <c r="A59" s="22">
        <v>53</v>
      </c>
      <c r="B59" s="56" t="s">
        <v>183</v>
      </c>
      <c r="C59" s="87" t="s">
        <v>184</v>
      </c>
      <c r="D59" s="54" t="s">
        <v>185</v>
      </c>
      <c r="E59" s="57"/>
      <c r="F59" s="104">
        <v>10</v>
      </c>
      <c r="G59" s="105">
        <v>10</v>
      </c>
      <c r="H59" s="105">
        <v>10</v>
      </c>
      <c r="I59" s="105">
        <v>10</v>
      </c>
      <c r="J59" s="105">
        <v>10</v>
      </c>
      <c r="K59" s="105">
        <v>10</v>
      </c>
      <c r="L59" s="105">
        <v>10</v>
      </c>
      <c r="M59" s="105">
        <v>10</v>
      </c>
      <c r="N59" s="105">
        <v>10</v>
      </c>
      <c r="O59" s="105">
        <v>10</v>
      </c>
      <c r="P59" s="105">
        <v>10</v>
      </c>
      <c r="Q59" s="105">
        <v>10</v>
      </c>
      <c r="R59" s="105">
        <v>120</v>
      </c>
      <c r="S59" s="58"/>
      <c r="T59" s="58" t="s">
        <v>440</v>
      </c>
      <c r="U59" s="58"/>
      <c r="V59" s="59" t="s">
        <v>464</v>
      </c>
      <c r="W59" s="8" t="s">
        <v>465</v>
      </c>
      <c r="X59" s="8"/>
      <c r="Y59" s="8"/>
      <c r="Z59" s="8"/>
    </row>
    <row r="60" spans="1:26" ht="15.75" customHeight="1" x14ac:dyDescent="0.3">
      <c r="A60" s="22">
        <v>54</v>
      </c>
      <c r="B60" s="62" t="s">
        <v>186</v>
      </c>
      <c r="C60" s="63" t="s">
        <v>422</v>
      </c>
      <c r="D60" s="60" t="s">
        <v>188</v>
      </c>
      <c r="E60" s="63"/>
      <c r="F60" s="104">
        <v>10</v>
      </c>
      <c r="G60" s="105">
        <v>10</v>
      </c>
      <c r="H60" s="105">
        <v>10</v>
      </c>
      <c r="I60" s="105">
        <v>10</v>
      </c>
      <c r="J60" s="105">
        <v>10</v>
      </c>
      <c r="K60" s="105">
        <v>10</v>
      </c>
      <c r="L60" s="105">
        <v>10</v>
      </c>
      <c r="M60" s="105">
        <v>10</v>
      </c>
      <c r="N60" s="105">
        <v>10</v>
      </c>
      <c r="O60" s="105">
        <v>10</v>
      </c>
      <c r="P60" s="105">
        <v>10</v>
      </c>
      <c r="Q60" s="105">
        <v>10</v>
      </c>
      <c r="R60" s="105">
        <v>120</v>
      </c>
      <c r="S60" s="137"/>
      <c r="T60" s="137" t="s">
        <v>466</v>
      </c>
      <c r="U60" s="137"/>
      <c r="V60" s="137"/>
      <c r="W60" s="8"/>
      <c r="X60" s="8"/>
      <c r="Y60" s="8"/>
      <c r="Z60" s="8"/>
    </row>
    <row r="61" spans="1:26" ht="15.75" customHeight="1" x14ac:dyDescent="0.3">
      <c r="A61" s="22">
        <v>55</v>
      </c>
      <c r="B61" s="45" t="s">
        <v>190</v>
      </c>
      <c r="C61" s="30" t="s">
        <v>191</v>
      </c>
      <c r="D61" s="21" t="s">
        <v>192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3">
      <c r="A62" s="22">
        <v>56</v>
      </c>
      <c r="B62" s="45" t="s">
        <v>193</v>
      </c>
      <c r="C62" s="30" t="s">
        <v>194</v>
      </c>
      <c r="D62" s="21" t="s">
        <v>195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3">
      <c r="A63" s="22">
        <v>57</v>
      </c>
      <c r="B63" s="45" t="s">
        <v>198</v>
      </c>
      <c r="C63" s="30" t="s">
        <v>199</v>
      </c>
      <c r="D63" s="21" t="s">
        <v>200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3">
      <c r="A64" s="22">
        <v>58</v>
      </c>
      <c r="B64" s="45" t="s">
        <v>202</v>
      </c>
      <c r="C64" s="32" t="s">
        <v>203</v>
      </c>
      <c r="D64" s="21" t="s">
        <v>204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3">
      <c r="A65" s="22">
        <v>59</v>
      </c>
      <c r="B65" s="45" t="s">
        <v>205</v>
      </c>
      <c r="C65" s="32" t="s">
        <v>206</v>
      </c>
      <c r="D65" s="21" t="s">
        <v>207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3">
      <c r="A66" s="22">
        <v>60</v>
      </c>
      <c r="B66" s="62" t="s">
        <v>208</v>
      </c>
      <c r="C66" s="121" t="s">
        <v>209</v>
      </c>
      <c r="D66" s="60" t="s">
        <v>210</v>
      </c>
      <c r="E66" s="63"/>
      <c r="F66" s="57">
        <v>10</v>
      </c>
      <c r="G66" s="57">
        <v>10</v>
      </c>
      <c r="H66" s="57">
        <v>10</v>
      </c>
      <c r="I66" s="57">
        <v>10</v>
      </c>
      <c r="J66" s="57">
        <v>10</v>
      </c>
      <c r="K66" s="57">
        <v>10</v>
      </c>
      <c r="L66" s="57">
        <v>10</v>
      </c>
      <c r="M66" s="57">
        <v>10</v>
      </c>
      <c r="N66" s="57">
        <v>10</v>
      </c>
      <c r="O66" s="57">
        <v>10</v>
      </c>
      <c r="P66" s="57">
        <v>10</v>
      </c>
      <c r="Q66" s="57">
        <v>10</v>
      </c>
      <c r="R66" s="57">
        <f>SUM(F66:Q66)</f>
        <v>120</v>
      </c>
      <c r="S66" s="58"/>
      <c r="T66" s="58" t="s">
        <v>467</v>
      </c>
      <c r="U66" s="58"/>
      <c r="V66" s="59"/>
      <c r="W66" s="8"/>
      <c r="X66" s="8"/>
      <c r="Y66" s="8"/>
      <c r="Z66" s="8"/>
    </row>
    <row r="67" spans="1:26" ht="15.75" customHeight="1" x14ac:dyDescent="0.3">
      <c r="A67" s="22">
        <v>61</v>
      </c>
      <c r="B67" s="45" t="s">
        <v>211</v>
      </c>
      <c r="C67" s="18" t="s">
        <v>212</v>
      </c>
      <c r="D67" s="21" t="s">
        <v>213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3">
      <c r="A68" s="22">
        <v>62</v>
      </c>
      <c r="B68" s="115" t="s">
        <v>214</v>
      </c>
      <c r="C68" s="134" t="s">
        <v>215</v>
      </c>
      <c r="D68" s="117" t="s">
        <v>216</v>
      </c>
      <c r="E68" s="118"/>
      <c r="F68" s="118">
        <v>10</v>
      </c>
      <c r="G68" s="118">
        <v>10</v>
      </c>
      <c r="H68" s="118">
        <v>10</v>
      </c>
      <c r="I68" s="118">
        <v>10</v>
      </c>
      <c r="J68" s="118">
        <v>10</v>
      </c>
      <c r="K68" s="118">
        <v>10</v>
      </c>
      <c r="L68" s="118">
        <v>10</v>
      </c>
      <c r="M68" s="118">
        <v>10</v>
      </c>
      <c r="N68" s="118">
        <v>10</v>
      </c>
      <c r="O68" s="118">
        <v>10</v>
      </c>
      <c r="P68" s="118">
        <v>10</v>
      </c>
      <c r="Q68" s="118">
        <v>10</v>
      </c>
      <c r="R68" s="118">
        <f t="shared" ref="R68:R69" si="4">SUM(F68:Q68)</f>
        <v>120</v>
      </c>
      <c r="S68" s="119"/>
      <c r="T68" s="119" t="s">
        <v>450</v>
      </c>
      <c r="U68" s="119"/>
      <c r="V68" s="119"/>
      <c r="W68" s="8"/>
      <c r="X68" s="8"/>
      <c r="Y68" s="8"/>
      <c r="Z68" s="8"/>
    </row>
    <row r="69" spans="1:26" ht="15.75" customHeight="1" x14ac:dyDescent="0.3">
      <c r="A69" s="22">
        <v>63</v>
      </c>
      <c r="B69" s="56" t="s">
        <v>217</v>
      </c>
      <c r="C69" s="55" t="s">
        <v>218</v>
      </c>
      <c r="D69" s="54" t="s">
        <v>219</v>
      </c>
      <c r="E69" s="57"/>
      <c r="F69" s="57">
        <v>10</v>
      </c>
      <c r="G69" s="57">
        <v>10</v>
      </c>
      <c r="H69" s="57">
        <v>10</v>
      </c>
      <c r="I69" s="57">
        <v>10</v>
      </c>
      <c r="J69" s="57">
        <v>10</v>
      </c>
      <c r="K69" s="57">
        <v>10</v>
      </c>
      <c r="L69" s="57">
        <v>10</v>
      </c>
      <c r="M69" s="57">
        <v>10</v>
      </c>
      <c r="N69" s="57">
        <v>10</v>
      </c>
      <c r="O69" s="57">
        <v>10</v>
      </c>
      <c r="P69" s="57">
        <v>10</v>
      </c>
      <c r="Q69" s="57">
        <v>10</v>
      </c>
      <c r="R69" s="57">
        <f t="shared" si="4"/>
        <v>120</v>
      </c>
      <c r="S69" s="58"/>
      <c r="T69" s="58" t="s">
        <v>377</v>
      </c>
      <c r="U69" s="58"/>
      <c r="V69" s="59"/>
      <c r="W69" s="8"/>
      <c r="X69" s="8"/>
      <c r="Y69" s="8"/>
      <c r="Z69" s="8"/>
    </row>
    <row r="70" spans="1:26" ht="15.75" customHeight="1" x14ac:dyDescent="0.3">
      <c r="A70" s="22">
        <v>64</v>
      </c>
      <c r="B70" s="45" t="s">
        <v>220</v>
      </c>
      <c r="C70" s="18" t="s">
        <v>221</v>
      </c>
      <c r="D70" s="21" t="s">
        <v>222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3">
      <c r="A71" s="22">
        <v>65</v>
      </c>
      <c r="B71" s="45" t="s">
        <v>223</v>
      </c>
      <c r="C71" s="87" t="s">
        <v>224</v>
      </c>
      <c r="D71" s="54" t="s">
        <v>225</v>
      </c>
      <c r="E71" s="57"/>
      <c r="F71" s="104">
        <v>10</v>
      </c>
      <c r="G71" s="105">
        <v>10</v>
      </c>
      <c r="H71" s="105">
        <v>10</v>
      </c>
      <c r="I71" s="105">
        <v>10</v>
      </c>
      <c r="J71" s="105">
        <v>10</v>
      </c>
      <c r="K71" s="105">
        <v>10</v>
      </c>
      <c r="L71" s="105">
        <v>10</v>
      </c>
      <c r="M71" s="105">
        <v>10</v>
      </c>
      <c r="N71" s="105">
        <v>10</v>
      </c>
      <c r="O71" s="105">
        <v>10</v>
      </c>
      <c r="P71" s="105">
        <v>10</v>
      </c>
      <c r="Q71" s="105">
        <v>10</v>
      </c>
      <c r="R71" s="105">
        <v>120</v>
      </c>
      <c r="S71" s="58"/>
      <c r="T71" s="58" t="s">
        <v>436</v>
      </c>
      <c r="U71" s="58"/>
      <c r="V71" s="58"/>
      <c r="W71" s="8"/>
      <c r="X71" s="8"/>
      <c r="Y71" s="8"/>
      <c r="Z71" s="8"/>
    </row>
    <row r="72" spans="1:26" ht="15.75" customHeight="1" x14ac:dyDescent="0.3">
      <c r="A72" s="22">
        <v>66</v>
      </c>
      <c r="B72" s="56" t="s">
        <v>226</v>
      </c>
      <c r="C72" s="57" t="s">
        <v>468</v>
      </c>
      <c r="D72" s="54" t="s">
        <v>228</v>
      </c>
      <c r="E72" s="57"/>
      <c r="F72" s="104">
        <v>10</v>
      </c>
      <c r="G72" s="105">
        <v>10</v>
      </c>
      <c r="H72" s="105">
        <v>10</v>
      </c>
      <c r="I72" s="105">
        <v>10</v>
      </c>
      <c r="J72" s="105">
        <v>10</v>
      </c>
      <c r="K72" s="105">
        <v>10</v>
      </c>
      <c r="L72" s="105">
        <v>10</v>
      </c>
      <c r="M72" s="105">
        <v>10</v>
      </c>
      <c r="N72" s="105">
        <v>10</v>
      </c>
      <c r="O72" s="105">
        <v>10</v>
      </c>
      <c r="P72" s="105">
        <v>10</v>
      </c>
      <c r="Q72" s="105">
        <v>10</v>
      </c>
      <c r="R72" s="105">
        <v>120</v>
      </c>
      <c r="S72" s="58"/>
      <c r="T72" s="58" t="s">
        <v>421</v>
      </c>
      <c r="U72" s="58"/>
      <c r="V72" s="58"/>
    </row>
    <row r="73" spans="1:26" ht="15.75" customHeight="1" x14ac:dyDescent="0.3">
      <c r="A73" s="22">
        <v>67</v>
      </c>
      <c r="B73" s="56" t="s">
        <v>230</v>
      </c>
      <c r="C73" s="55" t="s">
        <v>231</v>
      </c>
      <c r="D73" s="54" t="s">
        <v>232</v>
      </c>
      <c r="E73" s="57"/>
      <c r="F73" s="57">
        <v>10</v>
      </c>
      <c r="G73" s="57">
        <v>10</v>
      </c>
      <c r="H73" s="57">
        <v>10</v>
      </c>
      <c r="I73" s="57">
        <v>10</v>
      </c>
      <c r="J73" s="57">
        <v>10</v>
      </c>
      <c r="K73" s="57">
        <v>10</v>
      </c>
      <c r="L73" s="57">
        <v>10</v>
      </c>
      <c r="M73" s="57">
        <v>10</v>
      </c>
      <c r="N73" s="57">
        <v>10</v>
      </c>
      <c r="O73" s="57">
        <v>10</v>
      </c>
      <c r="P73" s="57">
        <v>10</v>
      </c>
      <c r="Q73" s="57">
        <v>10</v>
      </c>
      <c r="R73" s="57">
        <f t="shared" ref="R73:R74" si="5">SUM(F73:Q73)</f>
        <v>120</v>
      </c>
      <c r="S73" s="58"/>
      <c r="T73" s="58" t="s">
        <v>448</v>
      </c>
      <c r="U73" s="58"/>
      <c r="V73" s="59"/>
    </row>
    <row r="74" spans="1:26" ht="15.75" customHeight="1" x14ac:dyDescent="0.3">
      <c r="A74" s="22">
        <v>68</v>
      </c>
      <c r="B74" s="56" t="s">
        <v>233</v>
      </c>
      <c r="C74" s="57" t="s">
        <v>469</v>
      </c>
      <c r="D74" s="54" t="s">
        <v>235</v>
      </c>
      <c r="E74" s="57"/>
      <c r="F74" s="57">
        <v>10</v>
      </c>
      <c r="G74" s="57">
        <v>10</v>
      </c>
      <c r="H74" s="57">
        <v>10</v>
      </c>
      <c r="I74" s="57">
        <v>10</v>
      </c>
      <c r="J74" s="57">
        <v>10</v>
      </c>
      <c r="K74" s="57">
        <v>10</v>
      </c>
      <c r="L74" s="57">
        <v>10</v>
      </c>
      <c r="M74" s="57">
        <v>10</v>
      </c>
      <c r="N74" s="57">
        <v>10</v>
      </c>
      <c r="O74" s="57">
        <v>10</v>
      </c>
      <c r="P74" s="57">
        <v>10</v>
      </c>
      <c r="Q74" s="57">
        <v>10</v>
      </c>
      <c r="R74" s="57">
        <f t="shared" si="5"/>
        <v>120</v>
      </c>
      <c r="S74" s="58"/>
      <c r="T74" s="58" t="s">
        <v>470</v>
      </c>
      <c r="U74" s="58"/>
      <c r="V74" s="59"/>
    </row>
    <row r="75" spans="1:26" ht="15.75" customHeight="1" x14ac:dyDescent="0.3">
      <c r="A75" s="22">
        <v>69</v>
      </c>
      <c r="B75" s="45" t="s">
        <v>236</v>
      </c>
      <c r="C75" s="18" t="s">
        <v>237</v>
      </c>
      <c r="D75" s="21" t="s">
        <v>238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8"/>
    </row>
    <row r="76" spans="1:26" ht="15.75" customHeight="1" x14ac:dyDescent="0.3">
      <c r="A76" s="22">
        <v>70</v>
      </c>
      <c r="B76" s="45" t="s">
        <v>239</v>
      </c>
      <c r="C76" s="32" t="s">
        <v>240</v>
      </c>
      <c r="D76" s="21" t="s">
        <v>241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8"/>
    </row>
    <row r="77" spans="1:26" ht="15.75" customHeight="1" x14ac:dyDescent="0.3">
      <c r="A77" s="22">
        <v>71</v>
      </c>
      <c r="B77" s="45" t="s">
        <v>242</v>
      </c>
      <c r="C77" s="18" t="s">
        <v>243</v>
      </c>
      <c r="D77" s="21" t="s">
        <v>244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8"/>
    </row>
    <row r="78" spans="1:26" ht="15.75" customHeight="1" x14ac:dyDescent="0.3">
      <c r="A78" s="22">
        <v>72</v>
      </c>
      <c r="B78" s="56" t="s">
        <v>245</v>
      </c>
      <c r="C78" s="57" t="s">
        <v>246</v>
      </c>
      <c r="D78" s="54" t="s">
        <v>247</v>
      </c>
      <c r="E78" s="57"/>
      <c r="F78" s="57">
        <v>10</v>
      </c>
      <c r="G78" s="57">
        <v>10</v>
      </c>
      <c r="H78" s="57">
        <v>10</v>
      </c>
      <c r="I78" s="57">
        <v>10</v>
      </c>
      <c r="J78" s="57">
        <v>10</v>
      </c>
      <c r="K78" s="57">
        <v>10</v>
      </c>
      <c r="L78" s="57">
        <v>10</v>
      </c>
      <c r="M78" s="57">
        <v>10</v>
      </c>
      <c r="N78" s="57">
        <v>10</v>
      </c>
      <c r="O78" s="57">
        <v>10</v>
      </c>
      <c r="P78" s="57">
        <v>10</v>
      </c>
      <c r="Q78" s="57">
        <v>10</v>
      </c>
      <c r="R78" s="57">
        <v>120</v>
      </c>
      <c r="S78" s="58"/>
      <c r="T78" s="123" t="s">
        <v>443</v>
      </c>
      <c r="U78" s="58"/>
    </row>
    <row r="79" spans="1:26" ht="15.75" customHeight="1" x14ac:dyDescent="0.3">
      <c r="A79" s="22">
        <v>73</v>
      </c>
      <c r="B79" s="56" t="s">
        <v>248</v>
      </c>
      <c r="C79" s="57" t="s">
        <v>249</v>
      </c>
      <c r="D79" s="54" t="s">
        <v>250</v>
      </c>
      <c r="E79" s="57"/>
      <c r="F79" s="57">
        <v>10</v>
      </c>
      <c r="G79" s="57">
        <v>10</v>
      </c>
      <c r="H79" s="57">
        <v>10</v>
      </c>
      <c r="I79" s="57">
        <v>10</v>
      </c>
      <c r="J79" s="57">
        <v>10</v>
      </c>
      <c r="K79" s="57">
        <v>10</v>
      </c>
      <c r="L79" s="57">
        <v>10</v>
      </c>
      <c r="M79" s="57">
        <v>10</v>
      </c>
      <c r="N79" s="57">
        <v>10</v>
      </c>
      <c r="O79" s="57">
        <v>10</v>
      </c>
      <c r="P79" s="57">
        <v>10</v>
      </c>
      <c r="Q79" s="57">
        <v>10</v>
      </c>
      <c r="R79" s="57">
        <f>SUM(F79:Q79)</f>
        <v>120</v>
      </c>
      <c r="S79" s="58"/>
      <c r="T79" s="58" t="s">
        <v>377</v>
      </c>
      <c r="U79" s="58"/>
      <c r="V79" s="59"/>
    </row>
    <row r="80" spans="1:26" ht="15.75" customHeight="1" x14ac:dyDescent="0.3">
      <c r="A80" s="22">
        <v>74</v>
      </c>
      <c r="B80" s="45" t="s">
        <v>251</v>
      </c>
      <c r="C80" s="18" t="s">
        <v>252</v>
      </c>
      <c r="D80" s="21" t="s">
        <v>253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8"/>
    </row>
    <row r="81" spans="1:22" ht="15.75" customHeight="1" x14ac:dyDescent="0.3">
      <c r="A81" s="22">
        <v>75</v>
      </c>
      <c r="B81" s="45" t="s">
        <v>254</v>
      </c>
      <c r="C81" s="18" t="s">
        <v>255</v>
      </c>
      <c r="D81" s="21" t="s">
        <v>256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8"/>
    </row>
    <row r="82" spans="1:22" ht="15.75" customHeight="1" x14ac:dyDescent="0.3">
      <c r="A82" s="22">
        <v>76</v>
      </c>
      <c r="B82" s="45" t="s">
        <v>257</v>
      </c>
      <c r="C82" s="18" t="s">
        <v>258</v>
      </c>
      <c r="D82" s="21" t="s">
        <v>259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8"/>
    </row>
    <row r="83" spans="1:22" ht="15.75" customHeight="1" x14ac:dyDescent="0.3">
      <c r="A83" s="22">
        <v>77</v>
      </c>
      <c r="B83" s="45" t="s">
        <v>260</v>
      </c>
      <c r="C83" s="30" t="s">
        <v>261</v>
      </c>
      <c r="D83" s="21" t="s">
        <v>262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8"/>
    </row>
    <row r="84" spans="1:22" ht="15.75" customHeight="1" x14ac:dyDescent="0.3">
      <c r="A84" s="22">
        <v>78</v>
      </c>
      <c r="B84" s="45" t="s">
        <v>263</v>
      </c>
      <c r="C84" s="18" t="s">
        <v>264</v>
      </c>
      <c r="D84" s="21" t="s">
        <v>265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8"/>
    </row>
    <row r="85" spans="1:22" ht="15.75" customHeight="1" x14ac:dyDescent="0.3">
      <c r="A85" s="22">
        <v>79</v>
      </c>
      <c r="B85" s="45" t="s">
        <v>266</v>
      </c>
      <c r="C85" s="32" t="s">
        <v>267</v>
      </c>
      <c r="D85" s="21" t="s">
        <v>45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8"/>
    </row>
    <row r="86" spans="1:22" ht="15.75" customHeight="1" x14ac:dyDescent="0.3">
      <c r="A86" s="22">
        <v>80</v>
      </c>
      <c r="B86" s="45" t="s">
        <v>268</v>
      </c>
      <c r="C86" s="30" t="s">
        <v>269</v>
      </c>
      <c r="D86" s="21" t="s">
        <v>270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8"/>
    </row>
    <row r="87" spans="1:22" ht="15.75" customHeight="1" x14ac:dyDescent="0.3">
      <c r="A87" s="22">
        <v>81</v>
      </c>
      <c r="B87" s="45" t="s">
        <v>272</v>
      </c>
      <c r="C87" s="18" t="s">
        <v>381</v>
      </c>
      <c r="D87" s="21" t="s">
        <v>382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8"/>
    </row>
    <row r="88" spans="1:22" ht="15.75" customHeight="1" x14ac:dyDescent="0.3">
      <c r="A88" s="22">
        <v>82</v>
      </c>
      <c r="B88" s="45" t="s">
        <v>273</v>
      </c>
      <c r="C88" s="18" t="s">
        <v>383</v>
      </c>
      <c r="D88" s="21" t="s">
        <v>384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8"/>
    </row>
    <row r="89" spans="1:22" ht="15.75" customHeight="1" x14ac:dyDescent="0.3">
      <c r="A89" s="22">
        <v>83</v>
      </c>
      <c r="B89" s="56" t="s">
        <v>274</v>
      </c>
      <c r="C89" s="87" t="s">
        <v>275</v>
      </c>
      <c r="D89" s="54" t="s">
        <v>276</v>
      </c>
      <c r="E89" s="138"/>
      <c r="F89" s="138">
        <v>10</v>
      </c>
      <c r="G89" s="138">
        <v>10</v>
      </c>
      <c r="H89" s="138">
        <v>10</v>
      </c>
      <c r="I89" s="138">
        <v>10</v>
      </c>
      <c r="J89" s="138">
        <v>10</v>
      </c>
      <c r="K89" s="138">
        <v>10</v>
      </c>
      <c r="L89" s="138">
        <v>10</v>
      </c>
      <c r="M89" s="138">
        <v>10</v>
      </c>
      <c r="N89" s="138">
        <v>10</v>
      </c>
      <c r="O89" s="138">
        <v>10</v>
      </c>
      <c r="P89" s="138">
        <v>10</v>
      </c>
      <c r="Q89" s="138">
        <v>10</v>
      </c>
      <c r="R89" s="138">
        <f>SUM(F89:Q89)</f>
        <v>120</v>
      </c>
      <c r="S89" s="58"/>
      <c r="T89" s="58" t="s">
        <v>471</v>
      </c>
      <c r="U89" s="58"/>
      <c r="V89" s="59"/>
    </row>
    <row r="90" spans="1:22" ht="15.75" customHeight="1" x14ac:dyDescent="0.3">
      <c r="A90" s="22">
        <v>84</v>
      </c>
      <c r="B90" s="45" t="s">
        <v>277</v>
      </c>
      <c r="C90" s="32" t="s">
        <v>385</v>
      </c>
      <c r="D90" s="139" t="s">
        <v>386</v>
      </c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</row>
    <row r="91" spans="1:22" ht="15.75" customHeight="1" x14ac:dyDescent="0.3">
      <c r="A91" s="22">
        <v>85</v>
      </c>
      <c r="B91" s="45" t="s">
        <v>278</v>
      </c>
      <c r="C91" s="18"/>
      <c r="D91" s="2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8"/>
    </row>
    <row r="92" spans="1:22" ht="15.75" customHeight="1" x14ac:dyDescent="0.3">
      <c r="A92" s="22">
        <v>86</v>
      </c>
      <c r="B92" s="45" t="s">
        <v>279</v>
      </c>
      <c r="C92" s="32" t="s">
        <v>389</v>
      </c>
      <c r="D92" s="21" t="s">
        <v>390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8"/>
    </row>
    <row r="93" spans="1:22" ht="15.75" customHeight="1" x14ac:dyDescent="0.3">
      <c r="A93" s="22">
        <v>87</v>
      </c>
      <c r="B93" s="45" t="s">
        <v>280</v>
      </c>
      <c r="C93" s="18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8"/>
    </row>
    <row r="94" spans="1:22" ht="15.75" customHeight="1" x14ac:dyDescent="0.3">
      <c r="A94" s="106">
        <v>88</v>
      </c>
      <c r="B94" s="107" t="s">
        <v>281</v>
      </c>
      <c r="C94" s="108" t="s">
        <v>282</v>
      </c>
      <c r="D94" s="109" t="s">
        <v>283</v>
      </c>
      <c r="E94" s="110"/>
      <c r="F94" s="110">
        <v>10</v>
      </c>
      <c r="G94" s="110">
        <v>10</v>
      </c>
      <c r="H94" s="110">
        <v>10</v>
      </c>
      <c r="I94" s="110">
        <v>10</v>
      </c>
      <c r="J94" s="110">
        <v>10</v>
      </c>
      <c r="K94" s="110">
        <v>10</v>
      </c>
      <c r="L94" s="110">
        <v>10</v>
      </c>
      <c r="M94" s="110">
        <v>10</v>
      </c>
      <c r="N94" s="110">
        <v>10</v>
      </c>
      <c r="O94" s="110">
        <v>10</v>
      </c>
      <c r="P94" s="110">
        <v>10</v>
      </c>
      <c r="Q94" s="110">
        <v>10</v>
      </c>
      <c r="R94" s="110">
        <f>SUM(E94:Q94)</f>
        <v>120</v>
      </c>
      <c r="S94" s="111" t="s">
        <v>444</v>
      </c>
      <c r="T94" s="112"/>
    </row>
    <row r="95" spans="1:22" ht="15.75" customHeight="1" x14ac:dyDescent="0.3">
      <c r="A95" s="22">
        <v>89</v>
      </c>
      <c r="B95" s="45" t="s">
        <v>284</v>
      </c>
      <c r="C95" s="18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8"/>
    </row>
    <row r="96" spans="1:22" ht="15.75" customHeight="1" x14ac:dyDescent="0.3">
      <c r="A96" s="22">
        <v>90</v>
      </c>
      <c r="B96" s="45" t="s">
        <v>285</v>
      </c>
      <c r="C96" s="18"/>
      <c r="D96" s="21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8"/>
      <c r="U96" s="142" t="s">
        <v>472</v>
      </c>
      <c r="V96" s="142">
        <v>33</v>
      </c>
    </row>
    <row r="97" spans="1:22" ht="15.75" customHeight="1" x14ac:dyDescent="0.3">
      <c r="A97" s="22">
        <v>91</v>
      </c>
      <c r="B97" s="45" t="s">
        <v>286</v>
      </c>
      <c r="C97" s="18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8"/>
      <c r="U97" s="142" t="s">
        <v>473</v>
      </c>
      <c r="V97" s="142">
        <v>98</v>
      </c>
    </row>
    <row r="98" spans="1:22" ht="15.75" customHeight="1" x14ac:dyDescent="0.3">
      <c r="A98" s="22">
        <v>92</v>
      </c>
      <c r="B98" s="45" t="s">
        <v>287</v>
      </c>
      <c r="C98" s="18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8"/>
    </row>
    <row r="99" spans="1:22" ht="15.75" customHeight="1" x14ac:dyDescent="0.3">
      <c r="A99" s="22">
        <v>93</v>
      </c>
      <c r="B99" s="45" t="s">
        <v>288</v>
      </c>
      <c r="C99" s="18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8"/>
    </row>
    <row r="100" spans="1:22" ht="15.75" customHeight="1" x14ac:dyDescent="0.3">
      <c r="A100" s="22">
        <v>94</v>
      </c>
      <c r="B100" s="45" t="s">
        <v>289</v>
      </c>
      <c r="C100" s="18"/>
      <c r="D100" s="21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8"/>
    </row>
    <row r="101" spans="1:22" ht="15.75" customHeight="1" x14ac:dyDescent="0.3">
      <c r="A101" s="22">
        <v>95</v>
      </c>
      <c r="B101" s="45" t="s">
        <v>290</v>
      </c>
      <c r="C101" s="18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8"/>
    </row>
    <row r="102" spans="1:22" ht="15.75" customHeight="1" x14ac:dyDescent="0.3">
      <c r="A102" s="22">
        <v>96</v>
      </c>
      <c r="B102" s="45" t="s">
        <v>291</v>
      </c>
      <c r="C102" s="18"/>
      <c r="D102" s="21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8"/>
    </row>
    <row r="103" spans="1:22" ht="15.75" customHeight="1" x14ac:dyDescent="0.3">
      <c r="A103" s="22">
        <v>97</v>
      </c>
      <c r="B103" s="45" t="s">
        <v>292</v>
      </c>
      <c r="C103" s="18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8"/>
    </row>
    <row r="104" spans="1:22" ht="15.75" customHeight="1" x14ac:dyDescent="0.3">
      <c r="A104" s="22">
        <v>98</v>
      </c>
      <c r="B104" s="45" t="s">
        <v>293</v>
      </c>
      <c r="C104" s="18"/>
      <c r="D104" s="21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8"/>
    </row>
    <row r="105" spans="1:22" ht="15.75" customHeight="1" x14ac:dyDescent="0.3">
      <c r="A105" s="22">
        <v>99</v>
      </c>
      <c r="B105" s="45" t="s">
        <v>294</v>
      </c>
      <c r="C105" s="18"/>
      <c r="D105" s="21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8"/>
    </row>
    <row r="106" spans="1:22" ht="15.75" customHeight="1" x14ac:dyDescent="0.3">
      <c r="A106" s="22">
        <v>100</v>
      </c>
      <c r="B106" s="45" t="s">
        <v>295</v>
      </c>
      <c r="C106" s="18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8"/>
    </row>
    <row r="107" spans="1:22" ht="15.75" customHeight="1" x14ac:dyDescent="0.3">
      <c r="A107" s="22">
        <v>101</v>
      </c>
      <c r="B107" s="45" t="s">
        <v>296</v>
      </c>
      <c r="C107" s="18"/>
      <c r="D107" s="21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8"/>
    </row>
    <row r="108" spans="1:22" ht="15.75" customHeight="1" x14ac:dyDescent="0.3">
      <c r="A108" s="22">
        <v>102</v>
      </c>
      <c r="B108" s="45" t="s">
        <v>297</v>
      </c>
      <c r="C108" s="18"/>
      <c r="D108" s="21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8"/>
    </row>
    <row r="109" spans="1:22" ht="15.75" customHeight="1" x14ac:dyDescent="0.3">
      <c r="A109" s="22">
        <v>103</v>
      </c>
      <c r="B109" s="45" t="s">
        <v>298</v>
      </c>
      <c r="C109" s="18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8"/>
    </row>
    <row r="110" spans="1:22" ht="15.75" customHeight="1" x14ac:dyDescent="0.3">
      <c r="A110" s="22">
        <v>104</v>
      </c>
      <c r="B110" s="45" t="s">
        <v>299</v>
      </c>
      <c r="C110" s="18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8"/>
    </row>
    <row r="111" spans="1:22" ht="15.75" customHeight="1" x14ac:dyDescent="0.3">
      <c r="A111" s="22">
        <v>105</v>
      </c>
      <c r="B111" s="56" t="s">
        <v>300</v>
      </c>
      <c r="C111" s="57" t="s">
        <v>301</v>
      </c>
      <c r="D111" s="54" t="s">
        <v>302</v>
      </c>
      <c r="E111" s="57"/>
      <c r="F111" s="57">
        <v>10</v>
      </c>
      <c r="G111" s="57">
        <v>10</v>
      </c>
      <c r="H111" s="57">
        <v>10</v>
      </c>
      <c r="I111" s="57">
        <v>10</v>
      </c>
      <c r="J111" s="57">
        <v>10</v>
      </c>
      <c r="K111" s="57">
        <v>10</v>
      </c>
      <c r="L111" s="57">
        <v>10</v>
      </c>
      <c r="M111" s="57">
        <v>10</v>
      </c>
      <c r="N111" s="57">
        <v>10</v>
      </c>
      <c r="O111" s="57">
        <v>10</v>
      </c>
      <c r="P111" s="57">
        <v>10</v>
      </c>
      <c r="Q111" s="57">
        <v>10</v>
      </c>
      <c r="R111" s="57">
        <f>SUM(F111:Q111)</f>
        <v>120</v>
      </c>
      <c r="S111" s="58"/>
      <c r="T111" s="58" t="s">
        <v>474</v>
      </c>
      <c r="U111" s="58"/>
    </row>
    <row r="112" spans="1:22" ht="15.75" customHeight="1" x14ac:dyDescent="0.3">
      <c r="A112" s="22">
        <v>106</v>
      </c>
      <c r="B112" s="45" t="s">
        <v>303</v>
      </c>
      <c r="C112" s="18"/>
      <c r="D112" s="21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8"/>
    </row>
    <row r="113" spans="1:22" ht="15.75" customHeight="1" x14ac:dyDescent="0.3">
      <c r="A113" s="22">
        <v>107</v>
      </c>
      <c r="B113" s="45" t="s">
        <v>304</v>
      </c>
      <c r="C113" s="18"/>
      <c r="D113" s="21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8"/>
    </row>
    <row r="114" spans="1:22" ht="15.75" customHeight="1" x14ac:dyDescent="0.3">
      <c r="A114" s="22">
        <v>108</v>
      </c>
      <c r="B114" s="45" t="s">
        <v>305</v>
      </c>
      <c r="C114" s="18"/>
      <c r="D114" s="21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8"/>
    </row>
    <row r="115" spans="1:22" ht="15.75" customHeight="1" x14ac:dyDescent="0.3">
      <c r="A115" s="22">
        <v>109</v>
      </c>
      <c r="B115" s="45" t="s">
        <v>306</v>
      </c>
      <c r="C115" s="18"/>
      <c r="D115" s="21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8"/>
    </row>
    <row r="116" spans="1:22" ht="15.75" customHeight="1" x14ac:dyDescent="0.3">
      <c r="A116" s="22">
        <v>110</v>
      </c>
      <c r="B116" s="45" t="s">
        <v>307</v>
      </c>
      <c r="C116" s="18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8"/>
    </row>
    <row r="117" spans="1:22" ht="15.75" customHeight="1" x14ac:dyDescent="0.3">
      <c r="A117" s="22">
        <v>111</v>
      </c>
      <c r="B117" s="56" t="s">
        <v>308</v>
      </c>
      <c r="C117" s="87" t="s">
        <v>309</v>
      </c>
      <c r="D117" s="54" t="s">
        <v>310</v>
      </c>
      <c r="E117" s="57"/>
      <c r="F117" s="57">
        <v>10</v>
      </c>
      <c r="G117" s="57">
        <v>10</v>
      </c>
      <c r="H117" s="57">
        <v>10</v>
      </c>
      <c r="I117" s="57">
        <v>10</v>
      </c>
      <c r="J117" s="57">
        <v>10</v>
      </c>
      <c r="K117" s="57">
        <v>10</v>
      </c>
      <c r="L117" s="57">
        <v>10</v>
      </c>
      <c r="M117" s="57">
        <v>10</v>
      </c>
      <c r="N117" s="57">
        <v>10</v>
      </c>
      <c r="O117" s="57">
        <v>10</v>
      </c>
      <c r="P117" s="57">
        <v>10</v>
      </c>
      <c r="Q117" s="57">
        <v>10</v>
      </c>
      <c r="R117" s="57">
        <f>SUM(F117:Q117)</f>
        <v>120</v>
      </c>
      <c r="S117" s="58"/>
      <c r="T117" s="58" t="s">
        <v>377</v>
      </c>
      <c r="U117" s="58"/>
      <c r="V117" s="59"/>
    </row>
    <row r="118" spans="1:22" ht="15.75" customHeight="1" x14ac:dyDescent="0.3">
      <c r="A118" s="22">
        <v>112</v>
      </c>
      <c r="B118" s="56" t="s">
        <v>311</v>
      </c>
      <c r="C118" s="63" t="s">
        <v>475</v>
      </c>
      <c r="D118" s="60" t="s">
        <v>476</v>
      </c>
      <c r="E118" s="57"/>
      <c r="F118" s="57">
        <v>10</v>
      </c>
      <c r="G118" s="57">
        <v>10</v>
      </c>
      <c r="H118" s="57">
        <v>10</v>
      </c>
      <c r="I118" s="57">
        <v>10</v>
      </c>
      <c r="J118" s="57">
        <v>10</v>
      </c>
      <c r="K118" s="57">
        <v>10</v>
      </c>
      <c r="L118" s="57">
        <v>10</v>
      </c>
      <c r="M118" s="57">
        <v>10</v>
      </c>
      <c r="N118" s="57">
        <v>10</v>
      </c>
      <c r="O118" s="57">
        <v>10</v>
      </c>
      <c r="P118" s="57">
        <v>10</v>
      </c>
      <c r="Q118" s="57">
        <v>10</v>
      </c>
      <c r="R118" s="57">
        <v>140</v>
      </c>
      <c r="S118" s="58"/>
      <c r="T118" s="58" t="s">
        <v>477</v>
      </c>
      <c r="U118" s="58"/>
      <c r="V118" s="59"/>
    </row>
    <row r="119" spans="1:22" ht="15.75" customHeight="1" x14ac:dyDescent="0.3">
      <c r="A119" s="22">
        <v>113</v>
      </c>
      <c r="B119" s="45" t="s">
        <v>312</v>
      </c>
      <c r="C119" s="18"/>
      <c r="D119" s="21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8"/>
    </row>
    <row r="120" spans="1:22" ht="15.75" customHeight="1" x14ac:dyDescent="0.3">
      <c r="A120" s="22">
        <v>114</v>
      </c>
      <c r="B120" s="45" t="s">
        <v>313</v>
      </c>
      <c r="C120" s="18"/>
      <c r="D120" s="21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8"/>
    </row>
    <row r="121" spans="1:22" ht="15.75" customHeight="1" x14ac:dyDescent="0.3">
      <c r="A121" s="22">
        <v>115</v>
      </c>
      <c r="B121" s="45" t="s">
        <v>314</v>
      </c>
      <c r="C121" s="18"/>
      <c r="D121" s="21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8"/>
    </row>
    <row r="122" spans="1:22" ht="15.75" customHeight="1" x14ac:dyDescent="0.3">
      <c r="A122" s="22">
        <v>116</v>
      </c>
      <c r="B122" s="45" t="s">
        <v>315</v>
      </c>
      <c r="C122" s="18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8"/>
    </row>
    <row r="123" spans="1:22" ht="15.75" customHeight="1" x14ac:dyDescent="0.3">
      <c r="A123" s="22">
        <v>117</v>
      </c>
      <c r="B123" s="45" t="s">
        <v>316</v>
      </c>
      <c r="C123" s="18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8"/>
    </row>
    <row r="124" spans="1:22" ht="15.75" customHeight="1" x14ac:dyDescent="0.3">
      <c r="A124" s="22">
        <v>118</v>
      </c>
      <c r="B124" s="45" t="s">
        <v>317</v>
      </c>
      <c r="C124" s="18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8"/>
    </row>
    <row r="125" spans="1:22" ht="15.75" customHeight="1" x14ac:dyDescent="0.3">
      <c r="A125" s="22">
        <v>119</v>
      </c>
      <c r="B125" s="45" t="s">
        <v>318</v>
      </c>
      <c r="C125" s="18"/>
      <c r="D125" s="21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8"/>
    </row>
    <row r="126" spans="1:22" ht="15.75" customHeight="1" x14ac:dyDescent="0.3">
      <c r="A126" s="22">
        <v>120</v>
      </c>
      <c r="B126" s="45" t="s">
        <v>319</v>
      </c>
      <c r="C126" s="18"/>
      <c r="D126" s="21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8"/>
    </row>
    <row r="127" spans="1:22" ht="15.75" customHeight="1" x14ac:dyDescent="0.3">
      <c r="A127" s="22">
        <v>121</v>
      </c>
      <c r="B127" s="45" t="s">
        <v>320</v>
      </c>
      <c r="C127" s="18" t="s">
        <v>321</v>
      </c>
      <c r="D127" s="21" t="s">
        <v>322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8"/>
    </row>
    <row r="128" spans="1:22" ht="15.75" customHeight="1" x14ac:dyDescent="0.3">
      <c r="A128" s="22">
        <v>122</v>
      </c>
      <c r="B128" s="45" t="s">
        <v>323</v>
      </c>
      <c r="C128" s="18"/>
      <c r="D128" s="21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8"/>
    </row>
    <row r="129" spans="1:26" ht="15.75" customHeight="1" x14ac:dyDescent="0.3">
      <c r="A129" s="22">
        <v>123</v>
      </c>
      <c r="B129" s="56" t="s">
        <v>324</v>
      </c>
      <c r="C129" s="87" t="s">
        <v>325</v>
      </c>
      <c r="D129" s="54" t="s">
        <v>326</v>
      </c>
      <c r="E129" s="57"/>
      <c r="F129" s="57">
        <v>10</v>
      </c>
      <c r="G129" s="57">
        <v>10</v>
      </c>
      <c r="H129" s="57">
        <v>10</v>
      </c>
      <c r="I129" s="57">
        <v>10</v>
      </c>
      <c r="J129" s="57">
        <v>10</v>
      </c>
      <c r="K129" s="57">
        <v>10</v>
      </c>
      <c r="L129" s="57">
        <v>10</v>
      </c>
      <c r="M129" s="57">
        <v>10</v>
      </c>
      <c r="N129" s="57">
        <v>10</v>
      </c>
      <c r="O129" s="57">
        <v>10</v>
      </c>
      <c r="P129" s="57">
        <v>10</v>
      </c>
      <c r="Q129" s="57">
        <v>10</v>
      </c>
      <c r="R129" s="57">
        <f>SUM(F129:Q129)</f>
        <v>120</v>
      </c>
      <c r="S129" s="58"/>
      <c r="T129" s="58" t="s">
        <v>421</v>
      </c>
      <c r="U129" s="58"/>
    </row>
    <row r="130" spans="1:26" ht="15.75" customHeight="1" x14ac:dyDescent="0.3">
      <c r="A130" s="22">
        <v>124</v>
      </c>
      <c r="B130" s="45" t="s">
        <v>327</v>
      </c>
      <c r="C130" s="18"/>
      <c r="D130" s="21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8"/>
    </row>
    <row r="131" spans="1:26" ht="15.75" customHeight="1" x14ac:dyDescent="0.3">
      <c r="A131" s="22">
        <v>125</v>
      </c>
      <c r="B131" s="56" t="s">
        <v>328</v>
      </c>
      <c r="C131" s="87" t="s">
        <v>329</v>
      </c>
      <c r="D131" s="54" t="s">
        <v>330</v>
      </c>
      <c r="E131" s="57"/>
      <c r="F131" s="57">
        <v>10</v>
      </c>
      <c r="G131" s="57">
        <v>10</v>
      </c>
      <c r="H131" s="57">
        <v>10</v>
      </c>
      <c r="I131" s="57">
        <v>10</v>
      </c>
      <c r="J131" s="57">
        <v>10</v>
      </c>
      <c r="K131" s="57">
        <v>10</v>
      </c>
      <c r="L131" s="57">
        <v>10</v>
      </c>
      <c r="M131" s="57">
        <v>10</v>
      </c>
      <c r="N131" s="57">
        <v>10</v>
      </c>
      <c r="O131" s="57">
        <v>10</v>
      </c>
      <c r="P131" s="57">
        <v>10</v>
      </c>
      <c r="Q131" s="57">
        <v>10</v>
      </c>
      <c r="R131" s="57">
        <f>SUM(F131:Q131)</f>
        <v>120</v>
      </c>
      <c r="S131" s="58"/>
      <c r="T131" s="58" t="s">
        <v>421</v>
      </c>
      <c r="U131" s="58"/>
      <c r="V131" s="59"/>
    </row>
    <row r="132" spans="1:26" ht="15.75" customHeight="1" x14ac:dyDescent="0.3">
      <c r="A132" s="22"/>
      <c r="B132" s="45" t="s">
        <v>331</v>
      </c>
      <c r="C132" s="30" t="s">
        <v>332</v>
      </c>
      <c r="D132" s="21" t="s">
        <v>333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8"/>
    </row>
    <row r="133" spans="1:26" ht="15.75" customHeight="1" x14ac:dyDescent="0.3">
      <c r="A133" s="22"/>
      <c r="B133" s="45" t="s">
        <v>334</v>
      </c>
      <c r="C133" s="30" t="s">
        <v>335</v>
      </c>
      <c r="D133" s="21" t="s">
        <v>336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8"/>
    </row>
    <row r="134" spans="1:26" ht="15.75" customHeight="1" x14ac:dyDescent="0.3">
      <c r="A134" s="143"/>
      <c r="B134" s="62" t="s">
        <v>338</v>
      </c>
      <c r="C134" s="121" t="s">
        <v>478</v>
      </c>
      <c r="D134" s="60" t="s">
        <v>479</v>
      </c>
      <c r="E134" s="63"/>
      <c r="F134" s="57">
        <v>10</v>
      </c>
      <c r="G134" s="57">
        <v>10</v>
      </c>
      <c r="H134" s="57">
        <v>10</v>
      </c>
      <c r="I134" s="57">
        <v>10</v>
      </c>
      <c r="J134" s="57">
        <v>10</v>
      </c>
      <c r="K134" s="57">
        <v>10</v>
      </c>
      <c r="L134" s="57">
        <v>10</v>
      </c>
      <c r="M134" s="57">
        <v>10</v>
      </c>
      <c r="N134" s="57">
        <v>10</v>
      </c>
      <c r="O134" s="57">
        <v>10</v>
      </c>
      <c r="P134" s="57">
        <v>10</v>
      </c>
      <c r="Q134" s="57">
        <v>10</v>
      </c>
      <c r="R134" s="57">
        <f>SUM(F134:Q134)</f>
        <v>120</v>
      </c>
      <c r="S134" s="58"/>
      <c r="T134" s="58" t="s">
        <v>440</v>
      </c>
      <c r="U134" s="58"/>
      <c r="V134" s="59"/>
    </row>
    <row r="135" spans="1:26" ht="15.75" customHeight="1" x14ac:dyDescent="0.3">
      <c r="A135" s="22"/>
      <c r="B135" s="45" t="s">
        <v>342</v>
      </c>
      <c r="C135" s="18" t="s">
        <v>343</v>
      </c>
      <c r="D135" s="21" t="s">
        <v>344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8"/>
      <c r="U135" s="8">
        <f t="shared" ref="U135:U138" si="6">IF(R135=120,(R135+E135),0)</f>
        <v>0</v>
      </c>
    </row>
    <row r="136" spans="1:26" ht="15.75" customHeight="1" x14ac:dyDescent="0.3">
      <c r="A136" s="22"/>
      <c r="B136" s="56" t="s">
        <v>345</v>
      </c>
      <c r="C136" s="57" t="s">
        <v>346</v>
      </c>
      <c r="D136" s="54"/>
      <c r="E136" s="57"/>
      <c r="F136" s="57">
        <v>10</v>
      </c>
      <c r="G136" s="57">
        <v>10</v>
      </c>
      <c r="H136" s="57">
        <v>10</v>
      </c>
      <c r="I136" s="57">
        <v>10</v>
      </c>
      <c r="J136" s="57">
        <v>10</v>
      </c>
      <c r="K136" s="57">
        <v>10</v>
      </c>
      <c r="L136" s="57">
        <v>10</v>
      </c>
      <c r="M136" s="57">
        <v>10</v>
      </c>
      <c r="N136" s="57">
        <v>10</v>
      </c>
      <c r="O136" s="57">
        <v>10</v>
      </c>
      <c r="P136" s="57">
        <v>10</v>
      </c>
      <c r="Q136" s="57">
        <v>10</v>
      </c>
      <c r="R136" s="57">
        <f>SUM(F136:Q136)</f>
        <v>120</v>
      </c>
      <c r="S136" s="144"/>
      <c r="T136" s="145" t="s">
        <v>480</v>
      </c>
      <c r="U136" s="144">
        <f t="shared" si="6"/>
        <v>120</v>
      </c>
      <c r="V136" s="8" t="s">
        <v>396</v>
      </c>
    </row>
    <row r="137" spans="1:26" ht="15.75" customHeight="1" x14ac:dyDescent="0.3">
      <c r="A137" s="22"/>
      <c r="B137" s="45" t="s">
        <v>347</v>
      </c>
      <c r="C137" s="32" t="s">
        <v>348</v>
      </c>
      <c r="D137" s="21" t="s">
        <v>349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8"/>
      <c r="U137" s="8">
        <f t="shared" si="6"/>
        <v>0</v>
      </c>
    </row>
    <row r="138" spans="1:26" ht="15.75" customHeight="1" x14ac:dyDescent="0.3">
      <c r="A138" s="22"/>
      <c r="B138" s="45" t="s">
        <v>350</v>
      </c>
      <c r="C138" s="32" t="s">
        <v>397</v>
      </c>
      <c r="D138" s="21" t="s">
        <v>82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8"/>
      <c r="T138" s="8">
        <f>R138+E138</f>
        <v>0</v>
      </c>
      <c r="U138" s="8">
        <f t="shared" si="6"/>
        <v>0</v>
      </c>
      <c r="V138" s="8"/>
      <c r="W138" s="8"/>
      <c r="X138" s="8"/>
      <c r="Y138" s="8"/>
      <c r="Z138" s="8"/>
    </row>
    <row r="139" spans="1:26" ht="15.75" customHeight="1" x14ac:dyDescent="0.3">
      <c r="A139" s="22"/>
      <c r="B139" s="62" t="s">
        <v>352</v>
      </c>
      <c r="C139" s="55" t="s">
        <v>353</v>
      </c>
      <c r="D139" s="54" t="s">
        <v>354</v>
      </c>
      <c r="E139" s="57"/>
      <c r="F139" s="57">
        <v>10</v>
      </c>
      <c r="G139" s="57">
        <v>10</v>
      </c>
      <c r="H139" s="57">
        <v>10</v>
      </c>
      <c r="I139" s="57">
        <v>10</v>
      </c>
      <c r="J139" s="57">
        <v>10</v>
      </c>
      <c r="K139" s="57">
        <v>10</v>
      </c>
      <c r="L139" s="57">
        <v>10</v>
      </c>
      <c r="M139" s="57">
        <v>10</v>
      </c>
      <c r="N139" s="57">
        <v>10</v>
      </c>
      <c r="O139" s="57">
        <v>10</v>
      </c>
      <c r="P139" s="57">
        <v>10</v>
      </c>
      <c r="Q139" s="57">
        <v>10</v>
      </c>
      <c r="R139" s="57">
        <f>SUM(F139:Q139)</f>
        <v>120</v>
      </c>
      <c r="S139" s="58"/>
      <c r="T139" s="58" t="s">
        <v>436</v>
      </c>
      <c r="U139" s="58"/>
      <c r="V139" s="59" t="s">
        <v>481</v>
      </c>
      <c r="W139" s="8"/>
      <c r="X139" s="8"/>
      <c r="Y139" s="8"/>
      <c r="Z139" s="8"/>
    </row>
    <row r="140" spans="1:26" ht="15.75" customHeight="1" x14ac:dyDescent="0.3">
      <c r="A140" s="22"/>
      <c r="B140" s="45" t="s">
        <v>355</v>
      </c>
      <c r="C140" s="32" t="s">
        <v>356</v>
      </c>
      <c r="D140" s="21" t="s">
        <v>357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22"/>
      <c r="B141" s="62" t="s">
        <v>482</v>
      </c>
      <c r="C141" s="61" t="s">
        <v>483</v>
      </c>
      <c r="D141" s="60" t="s">
        <v>484</v>
      </c>
      <c r="E141" s="63"/>
      <c r="F141" s="63">
        <v>10</v>
      </c>
      <c r="G141" s="63">
        <v>10</v>
      </c>
      <c r="H141" s="63">
        <v>10</v>
      </c>
      <c r="I141" s="63">
        <v>10</v>
      </c>
      <c r="J141" s="63">
        <v>10</v>
      </c>
      <c r="K141" s="63">
        <v>10</v>
      </c>
      <c r="L141" s="63">
        <v>10</v>
      </c>
      <c r="M141" s="63">
        <v>10</v>
      </c>
      <c r="N141" s="63">
        <v>10</v>
      </c>
      <c r="O141" s="63">
        <v>10</v>
      </c>
      <c r="P141" s="63">
        <v>10</v>
      </c>
      <c r="Q141" s="63">
        <v>10</v>
      </c>
      <c r="R141" s="63">
        <f>SUM(F141:Q141)</f>
        <v>120</v>
      </c>
      <c r="S141" s="64"/>
      <c r="T141" s="64" t="s">
        <v>440</v>
      </c>
      <c r="U141" s="64"/>
      <c r="V141" s="146"/>
      <c r="W141" s="8"/>
    </row>
    <row r="142" spans="1:26" ht="15.75" customHeight="1" x14ac:dyDescent="0.3">
      <c r="A142" s="41"/>
      <c r="B142" s="42"/>
      <c r="C142" s="40"/>
      <c r="D142" s="2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26" ht="15.75" customHeight="1" x14ac:dyDescent="0.3">
      <c r="B143" s="42"/>
      <c r="D143" s="2" t="s">
        <v>358</v>
      </c>
      <c r="E143" s="8">
        <f t="shared" ref="E143:U143" si="7">SUM(E7:E141)</f>
        <v>0</v>
      </c>
      <c r="F143" s="8">
        <f t="shared" si="7"/>
        <v>570</v>
      </c>
      <c r="G143" s="8">
        <f t="shared" si="7"/>
        <v>570</v>
      </c>
      <c r="H143" s="8">
        <f t="shared" si="7"/>
        <v>570</v>
      </c>
      <c r="I143" s="8">
        <f t="shared" si="7"/>
        <v>570</v>
      </c>
      <c r="J143" s="8">
        <f t="shared" si="7"/>
        <v>570</v>
      </c>
      <c r="K143" s="8">
        <f t="shared" si="7"/>
        <v>570</v>
      </c>
      <c r="L143" s="8">
        <f t="shared" si="7"/>
        <v>570</v>
      </c>
      <c r="M143" s="8">
        <f t="shared" si="7"/>
        <v>570</v>
      </c>
      <c r="N143" s="8">
        <f t="shared" si="7"/>
        <v>570</v>
      </c>
      <c r="O143" s="8">
        <f t="shared" si="7"/>
        <v>570</v>
      </c>
      <c r="P143" s="8">
        <f t="shared" si="7"/>
        <v>570</v>
      </c>
      <c r="Q143" s="8">
        <f t="shared" si="7"/>
        <v>570</v>
      </c>
      <c r="R143" s="8">
        <f t="shared" si="7"/>
        <v>6860</v>
      </c>
      <c r="S143" s="8">
        <f t="shared" si="7"/>
        <v>0</v>
      </c>
      <c r="T143" s="8">
        <f t="shared" si="7"/>
        <v>0</v>
      </c>
      <c r="U143" s="8">
        <f t="shared" si="7"/>
        <v>120</v>
      </c>
    </row>
    <row r="144" spans="1:26" ht="15.75" customHeight="1" x14ac:dyDescent="0.3">
      <c r="B144" s="42"/>
      <c r="D144" s="2"/>
      <c r="E144" s="8">
        <f>E143/20</f>
        <v>0</v>
      </c>
    </row>
    <row r="145" spans="2:19" ht="15.75" customHeight="1" x14ac:dyDescent="0.3">
      <c r="B145" s="42"/>
      <c r="D145" s="2"/>
    </row>
    <row r="146" spans="2:19" ht="15.75" customHeight="1" x14ac:dyDescent="0.3">
      <c r="B146" s="42"/>
      <c r="D146" s="2"/>
      <c r="S146" s="8">
        <f>S143-110</f>
        <v>-110</v>
      </c>
    </row>
    <row r="147" spans="2:19" ht="15.75" customHeight="1" x14ac:dyDescent="0.3">
      <c r="B147" s="42"/>
      <c r="D147" s="2"/>
      <c r="S147" s="8">
        <f>S146/120</f>
        <v>-0.91666666666666663</v>
      </c>
    </row>
    <row r="148" spans="2:19" ht="15.75" customHeight="1" x14ac:dyDescent="0.3">
      <c r="B148" s="42"/>
      <c r="D148" s="2"/>
    </row>
    <row r="149" spans="2:19" ht="15.75" customHeight="1" x14ac:dyDescent="0.3">
      <c r="B149" s="42"/>
      <c r="D149" s="2"/>
    </row>
    <row r="150" spans="2:19" ht="15.75" customHeight="1" x14ac:dyDescent="0.3">
      <c r="B150" s="42"/>
      <c r="D150" s="2"/>
    </row>
    <row r="151" spans="2:19" ht="15.75" customHeight="1" x14ac:dyDescent="0.3">
      <c r="B151" s="42"/>
      <c r="D151" s="2"/>
    </row>
    <row r="152" spans="2:19" ht="15.75" customHeight="1" x14ac:dyDescent="0.3">
      <c r="B152" s="42"/>
      <c r="D152" s="2"/>
    </row>
    <row r="153" spans="2:19" ht="15.75" customHeight="1" x14ac:dyDescent="0.3">
      <c r="B153" s="42"/>
      <c r="D153" s="2"/>
    </row>
    <row r="154" spans="2:19" ht="15.75" customHeight="1" x14ac:dyDescent="0.3">
      <c r="B154" s="42"/>
      <c r="D154" s="2"/>
    </row>
    <row r="155" spans="2:19" ht="15.75" customHeight="1" x14ac:dyDescent="0.3">
      <c r="B155" s="42"/>
      <c r="D155" s="2"/>
    </row>
    <row r="156" spans="2:19" ht="15.75" customHeight="1" x14ac:dyDescent="0.3">
      <c r="B156" s="42"/>
      <c r="D156" s="2"/>
    </row>
    <row r="157" spans="2:19" ht="15.75" customHeight="1" x14ac:dyDescent="0.3">
      <c r="B157" s="42"/>
      <c r="D157" s="2"/>
    </row>
    <row r="158" spans="2:19" ht="15.75" customHeight="1" x14ac:dyDescent="0.3">
      <c r="B158" s="42"/>
      <c r="D158" s="2"/>
    </row>
    <row r="159" spans="2:19" ht="15.75" customHeight="1" x14ac:dyDescent="0.3">
      <c r="B159" s="42"/>
      <c r="D159" s="2"/>
    </row>
    <row r="160" spans="2:19" ht="15.75" customHeight="1" x14ac:dyDescent="0.3">
      <c r="B160" s="42"/>
      <c r="D160" s="2"/>
    </row>
    <row r="161" spans="2:4" ht="15.75" customHeight="1" x14ac:dyDescent="0.3">
      <c r="B161" s="42"/>
      <c r="D161" s="2"/>
    </row>
    <row r="162" spans="2:4" ht="15.75" customHeight="1" x14ac:dyDescent="0.3">
      <c r="B162" s="42"/>
      <c r="D162" s="2"/>
    </row>
    <row r="163" spans="2:4" ht="15.75" customHeight="1" x14ac:dyDescent="0.3">
      <c r="B163" s="42"/>
      <c r="D163" s="2"/>
    </row>
    <row r="164" spans="2:4" ht="15.75" customHeight="1" x14ac:dyDescent="0.3">
      <c r="B164" s="42"/>
      <c r="D164" s="2"/>
    </row>
    <row r="165" spans="2:4" ht="15.75" customHeight="1" x14ac:dyDescent="0.3">
      <c r="B165" s="42"/>
      <c r="D165" s="2"/>
    </row>
    <row r="166" spans="2:4" ht="15.75" customHeight="1" x14ac:dyDescent="0.3">
      <c r="B166" s="42"/>
      <c r="D166" s="2"/>
    </row>
    <row r="167" spans="2:4" ht="15.75" customHeight="1" x14ac:dyDescent="0.3">
      <c r="B167" s="42"/>
      <c r="D167" s="2"/>
    </row>
    <row r="168" spans="2:4" ht="15.75" customHeight="1" x14ac:dyDescent="0.3">
      <c r="B168" s="42"/>
      <c r="D168" s="2"/>
    </row>
    <row r="169" spans="2:4" ht="15.75" customHeight="1" x14ac:dyDescent="0.3">
      <c r="B169" s="42"/>
      <c r="D169" s="2"/>
    </row>
    <row r="170" spans="2:4" ht="15.75" customHeight="1" x14ac:dyDescent="0.3">
      <c r="B170" s="42"/>
      <c r="D170" s="2"/>
    </row>
    <row r="171" spans="2:4" ht="15.75" customHeight="1" x14ac:dyDescent="0.3">
      <c r="B171" s="42"/>
      <c r="D171" s="2"/>
    </row>
    <row r="172" spans="2:4" ht="15.75" customHeight="1" x14ac:dyDescent="0.3">
      <c r="B172" s="42"/>
      <c r="D172" s="2"/>
    </row>
    <row r="173" spans="2:4" ht="15.75" customHeight="1" x14ac:dyDescent="0.3">
      <c r="B173" s="42"/>
      <c r="D173" s="2"/>
    </row>
    <row r="174" spans="2:4" ht="15.75" customHeight="1" x14ac:dyDescent="0.3">
      <c r="B174" s="42"/>
      <c r="D174" s="2"/>
    </row>
    <row r="175" spans="2:4" ht="15.75" customHeight="1" x14ac:dyDescent="0.3">
      <c r="B175" s="42"/>
      <c r="D175" s="2"/>
    </row>
    <row r="176" spans="2:4" ht="15.75" customHeight="1" x14ac:dyDescent="0.3">
      <c r="B176" s="42"/>
      <c r="D176" s="2"/>
    </row>
    <row r="177" spans="2:4" ht="15.75" customHeight="1" x14ac:dyDescent="0.3">
      <c r="B177" s="42"/>
      <c r="D177" s="2"/>
    </row>
    <row r="178" spans="2:4" ht="15.75" customHeight="1" x14ac:dyDescent="0.3">
      <c r="B178" s="42"/>
      <c r="D178" s="2"/>
    </row>
    <row r="179" spans="2:4" ht="15.75" customHeight="1" x14ac:dyDescent="0.3">
      <c r="B179" s="42"/>
      <c r="D179" s="2"/>
    </row>
    <row r="180" spans="2:4" ht="15.75" customHeight="1" x14ac:dyDescent="0.3">
      <c r="B180" s="42"/>
      <c r="D180" s="2"/>
    </row>
    <row r="181" spans="2:4" ht="15.75" customHeight="1" x14ac:dyDescent="0.3">
      <c r="B181" s="42"/>
      <c r="D181" s="2"/>
    </row>
    <row r="182" spans="2:4" ht="15.75" customHeight="1" x14ac:dyDescent="0.3">
      <c r="B182" s="42"/>
      <c r="D182" s="2"/>
    </row>
    <row r="183" spans="2:4" ht="15.75" customHeight="1" x14ac:dyDescent="0.3">
      <c r="B183" s="42"/>
      <c r="D183" s="2"/>
    </row>
    <row r="184" spans="2:4" ht="15.75" customHeight="1" x14ac:dyDescent="0.3">
      <c r="B184" s="42"/>
      <c r="D184" s="2"/>
    </row>
    <row r="185" spans="2:4" ht="15.75" customHeight="1" x14ac:dyDescent="0.3">
      <c r="B185" s="42"/>
      <c r="D185" s="2"/>
    </row>
    <row r="186" spans="2:4" ht="15.75" customHeight="1" x14ac:dyDescent="0.3">
      <c r="B186" s="42"/>
      <c r="D186" s="2"/>
    </row>
    <row r="187" spans="2:4" ht="15.75" customHeight="1" x14ac:dyDescent="0.3">
      <c r="B187" s="42"/>
      <c r="D187" s="2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ADD6-2D49-4172-B651-097BF2CCBDA5}">
  <dimension ref="A1:Z1000"/>
  <sheetViews>
    <sheetView workbookViewId="0">
      <selection activeCell="Q3" sqref="Q3"/>
    </sheetView>
  </sheetViews>
  <sheetFormatPr defaultColWidth="14.44140625" defaultRowHeight="14.4" x14ac:dyDescent="0.3"/>
  <cols>
    <col min="1" max="1" width="7.44140625" style="3" customWidth="1"/>
    <col min="2" max="2" width="8.77734375" style="3" customWidth="1"/>
    <col min="3" max="3" width="31.88671875" style="1" customWidth="1"/>
    <col min="4" max="4" width="13.44140625" style="3" customWidth="1"/>
    <col min="5" max="5" width="10" style="1" customWidth="1"/>
    <col min="6" max="6" width="6.88671875" style="1" customWidth="1"/>
    <col min="7" max="7" width="5.6640625" style="1" customWidth="1"/>
    <col min="8" max="8" width="4.44140625" style="1" customWidth="1"/>
    <col min="9" max="9" width="4.109375" style="1" customWidth="1"/>
    <col min="10" max="10" width="5.109375" style="1" customWidth="1"/>
    <col min="11" max="11" width="4.33203125" style="1" customWidth="1"/>
    <col min="12" max="12" width="3.88671875" style="1" customWidth="1"/>
    <col min="13" max="14" width="4.88671875" style="1" customWidth="1"/>
    <col min="15" max="15" width="5" style="1" customWidth="1"/>
    <col min="16" max="16" width="4.6640625" style="1" customWidth="1"/>
    <col min="17" max="17" width="5" style="1" customWidth="1"/>
    <col min="18" max="18" width="6.88671875" style="1" customWidth="1"/>
    <col min="19" max="19" width="10.6640625" style="3" customWidth="1"/>
    <col min="20" max="26" width="10.6640625" style="1" customWidth="1"/>
    <col min="27" max="16384" width="14.44140625" style="1"/>
  </cols>
  <sheetData>
    <row r="1" spans="1:26" x14ac:dyDescent="0.3">
      <c r="B1" s="42"/>
      <c r="D1" s="42"/>
    </row>
    <row r="2" spans="1:26" ht="2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7"/>
    </row>
    <row r="3" spans="1:26" ht="21" x14ac:dyDescent="0.4">
      <c r="A3" s="4" t="s">
        <v>1</v>
      </c>
      <c r="B3" s="5"/>
      <c r="C3" s="6">
        <f>E143+R143</f>
        <v>5420</v>
      </c>
      <c r="D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U3" s="1" t="s">
        <v>485</v>
      </c>
      <c r="V3" s="8" t="e">
        <f>#REF!</f>
        <v>#REF!</v>
      </c>
      <c r="W3" s="9" t="e">
        <f>V3-C3</f>
        <v>#REF!</v>
      </c>
      <c r="Y3" s="8">
        <v>4360</v>
      </c>
    </row>
    <row r="4" spans="1:26" x14ac:dyDescent="0.3">
      <c r="B4" s="42"/>
      <c r="D4" s="42"/>
      <c r="Y4" s="8">
        <v>408</v>
      </c>
    </row>
    <row r="5" spans="1:26" x14ac:dyDescent="0.3">
      <c r="A5" s="10" t="s">
        <v>2</v>
      </c>
      <c r="B5" s="11" t="s">
        <v>3</v>
      </c>
      <c r="C5" s="10" t="s">
        <v>4</v>
      </c>
      <c r="D5" s="11" t="s">
        <v>5</v>
      </c>
      <c r="E5" s="113" t="s">
        <v>6</v>
      </c>
      <c r="F5" s="12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43"/>
    </row>
    <row r="6" spans="1:26" x14ac:dyDescent="0.3">
      <c r="A6" s="16"/>
      <c r="B6" s="16"/>
      <c r="C6" s="15"/>
      <c r="D6" s="16"/>
      <c r="E6" s="114"/>
      <c r="F6" s="17" t="s">
        <v>8</v>
      </c>
      <c r="G6" s="17" t="s">
        <v>9</v>
      </c>
      <c r="H6" s="17" t="s">
        <v>10</v>
      </c>
      <c r="I6" s="17" t="s">
        <v>11</v>
      </c>
      <c r="J6" s="17" t="s">
        <v>12</v>
      </c>
      <c r="K6" s="17" t="s">
        <v>13</v>
      </c>
      <c r="L6" s="17" t="s">
        <v>14</v>
      </c>
      <c r="M6" s="17" t="s">
        <v>15</v>
      </c>
      <c r="N6" s="17" t="s">
        <v>16</v>
      </c>
      <c r="O6" s="17" t="s">
        <v>17</v>
      </c>
      <c r="P6" s="17" t="s">
        <v>18</v>
      </c>
      <c r="Q6" s="17" t="s">
        <v>19</v>
      </c>
      <c r="R6" s="17" t="s">
        <v>20</v>
      </c>
      <c r="S6" s="43"/>
      <c r="Y6" s="8">
        <f>Y3+Y4+Y5</f>
        <v>4768</v>
      </c>
    </row>
    <row r="7" spans="1:26" x14ac:dyDescent="0.3">
      <c r="A7" s="147">
        <v>1</v>
      </c>
      <c r="B7" s="148" t="s">
        <v>21</v>
      </c>
      <c r="C7" s="149" t="s">
        <v>22</v>
      </c>
      <c r="D7" s="150" t="s">
        <v>23</v>
      </c>
      <c r="E7" s="151"/>
      <c r="F7" s="152">
        <v>10</v>
      </c>
      <c r="G7" s="153">
        <v>10</v>
      </c>
      <c r="H7" s="153">
        <v>10</v>
      </c>
      <c r="I7" s="153">
        <v>10</v>
      </c>
      <c r="J7" s="153">
        <v>10</v>
      </c>
      <c r="K7" s="153">
        <v>10</v>
      </c>
      <c r="L7" s="153">
        <v>10</v>
      </c>
      <c r="M7" s="153">
        <v>10</v>
      </c>
      <c r="N7" s="153">
        <v>10</v>
      </c>
      <c r="O7" s="153">
        <v>10</v>
      </c>
      <c r="P7" s="153">
        <v>10</v>
      </c>
      <c r="Q7" s="153">
        <v>10</v>
      </c>
      <c r="R7" s="153">
        <v>120</v>
      </c>
      <c r="S7" s="154"/>
      <c r="T7" s="155" t="s">
        <v>486</v>
      </c>
      <c r="U7" s="156"/>
      <c r="V7" s="157"/>
      <c r="W7" s="158"/>
      <c r="Y7" s="8">
        <v>276.8</v>
      </c>
    </row>
    <row r="8" spans="1:26" x14ac:dyDescent="0.3">
      <c r="A8" s="22">
        <v>2</v>
      </c>
      <c r="B8" s="65" t="s">
        <v>25</v>
      </c>
      <c r="C8" s="18" t="s">
        <v>26</v>
      </c>
      <c r="D8" s="45" t="s">
        <v>27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46"/>
      <c r="S8" s="41"/>
      <c r="Y8" s="8">
        <f>Y6-Y7</f>
        <v>4491.2</v>
      </c>
    </row>
    <row r="9" spans="1:26" x14ac:dyDescent="0.3">
      <c r="A9" s="147">
        <v>3</v>
      </c>
      <c r="B9" s="150" t="s">
        <v>29</v>
      </c>
      <c r="C9" s="151" t="s">
        <v>400</v>
      </c>
      <c r="D9" s="150" t="s">
        <v>31</v>
      </c>
      <c r="E9" s="151"/>
      <c r="F9" s="159">
        <v>10</v>
      </c>
      <c r="G9" s="160">
        <v>10</v>
      </c>
      <c r="H9" s="160">
        <v>10</v>
      </c>
      <c r="I9" s="160">
        <v>10</v>
      </c>
      <c r="J9" s="160">
        <v>10</v>
      </c>
      <c r="K9" s="160">
        <v>10</v>
      </c>
      <c r="L9" s="160">
        <v>10</v>
      </c>
      <c r="M9" s="160">
        <v>10</v>
      </c>
      <c r="N9" s="160">
        <v>10</v>
      </c>
      <c r="O9" s="160">
        <v>10</v>
      </c>
      <c r="P9" s="160">
        <v>10</v>
      </c>
      <c r="Q9" s="160">
        <v>10</v>
      </c>
      <c r="R9" s="160">
        <v>120</v>
      </c>
      <c r="S9" s="161">
        <v>480</v>
      </c>
      <c r="T9" s="162" t="s">
        <v>487</v>
      </c>
      <c r="U9" s="163"/>
      <c r="V9" s="164"/>
      <c r="W9" s="158"/>
    </row>
    <row r="10" spans="1:26" x14ac:dyDescent="0.3">
      <c r="A10" s="165">
        <v>4</v>
      </c>
      <c r="B10" s="166" t="s">
        <v>32</v>
      </c>
      <c r="C10" s="167" t="s">
        <v>33</v>
      </c>
      <c r="D10" s="166" t="s">
        <v>34</v>
      </c>
      <c r="E10" s="167"/>
      <c r="F10" s="167">
        <v>10</v>
      </c>
      <c r="G10" s="167">
        <v>10</v>
      </c>
      <c r="H10" s="167">
        <v>10</v>
      </c>
      <c r="I10" s="167">
        <v>10</v>
      </c>
      <c r="J10" s="167">
        <v>10</v>
      </c>
      <c r="K10" s="167">
        <v>10</v>
      </c>
      <c r="L10" s="167">
        <v>10</v>
      </c>
      <c r="M10" s="167">
        <v>10</v>
      </c>
      <c r="N10" s="167">
        <v>10</v>
      </c>
      <c r="O10" s="167">
        <v>10</v>
      </c>
      <c r="P10" s="167">
        <v>10</v>
      </c>
      <c r="Q10" s="167">
        <v>10</v>
      </c>
      <c r="R10" s="167">
        <f>SUM(F10:Q10)</f>
        <v>120</v>
      </c>
      <c r="S10" s="154"/>
      <c r="T10" s="156" t="s">
        <v>488</v>
      </c>
      <c r="U10" s="156"/>
      <c r="V10" s="157"/>
      <c r="W10" s="158"/>
    </row>
    <row r="11" spans="1:26" x14ac:dyDescent="0.3">
      <c r="A11" s="22">
        <v>5</v>
      </c>
      <c r="B11" s="45" t="s">
        <v>36</v>
      </c>
      <c r="C11" s="30" t="s">
        <v>37</v>
      </c>
      <c r="D11" s="45" t="s">
        <v>38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46"/>
      <c r="S11" s="41"/>
    </row>
    <row r="12" spans="1:26" x14ac:dyDescent="0.3">
      <c r="A12" s="165">
        <v>6</v>
      </c>
      <c r="B12" s="166" t="s">
        <v>39</v>
      </c>
      <c r="C12" s="168" t="s">
        <v>446</v>
      </c>
      <c r="D12" s="166" t="s">
        <v>41</v>
      </c>
      <c r="E12" s="167"/>
      <c r="F12" s="167">
        <v>10</v>
      </c>
      <c r="G12" s="167">
        <v>10</v>
      </c>
      <c r="H12" s="167">
        <v>10</v>
      </c>
      <c r="I12" s="167">
        <v>10</v>
      </c>
      <c r="J12" s="167">
        <v>10</v>
      </c>
      <c r="K12" s="167">
        <v>10</v>
      </c>
      <c r="L12" s="167">
        <v>10</v>
      </c>
      <c r="M12" s="167">
        <v>10</v>
      </c>
      <c r="N12" s="167">
        <v>10</v>
      </c>
      <c r="O12" s="167">
        <v>10</v>
      </c>
      <c r="P12" s="167">
        <v>10</v>
      </c>
      <c r="Q12" s="167">
        <v>10</v>
      </c>
      <c r="R12" s="167">
        <f>SUM(F12:Q12)</f>
        <v>120</v>
      </c>
      <c r="S12" s="154"/>
      <c r="T12" s="156" t="s">
        <v>489</v>
      </c>
      <c r="U12" s="156"/>
      <c r="V12" s="156"/>
      <c r="W12" s="158"/>
    </row>
    <row r="13" spans="1:26" x14ac:dyDescent="0.3">
      <c r="A13" s="169">
        <v>7</v>
      </c>
      <c r="B13" s="170" t="s">
        <v>43</v>
      </c>
      <c r="C13" s="171" t="s">
        <v>44</v>
      </c>
      <c r="D13" s="170" t="s">
        <v>428</v>
      </c>
      <c r="E13" s="171"/>
      <c r="F13" s="171">
        <v>10</v>
      </c>
      <c r="G13" s="171">
        <v>10</v>
      </c>
      <c r="H13" s="171">
        <v>10</v>
      </c>
      <c r="I13" s="171">
        <v>10</v>
      </c>
      <c r="J13" s="171">
        <v>10</v>
      </c>
      <c r="K13" s="171">
        <v>10</v>
      </c>
      <c r="L13" s="171">
        <v>10</v>
      </c>
      <c r="M13" s="171">
        <v>10</v>
      </c>
      <c r="N13" s="171">
        <v>10</v>
      </c>
      <c r="O13" s="171">
        <v>10</v>
      </c>
      <c r="P13" s="171">
        <v>10</v>
      </c>
      <c r="Q13" s="171">
        <v>10</v>
      </c>
      <c r="R13" s="171">
        <f>SUM(F13:Q13)</f>
        <v>120</v>
      </c>
      <c r="S13" s="172"/>
      <c r="T13" s="155" t="s">
        <v>490</v>
      </c>
      <c r="U13" s="173"/>
      <c r="V13" s="173"/>
      <c r="W13" s="158"/>
    </row>
    <row r="14" spans="1:26" x14ac:dyDescent="0.3">
      <c r="A14" s="169">
        <v>8</v>
      </c>
      <c r="B14" s="170" t="s">
        <v>46</v>
      </c>
      <c r="C14" s="174" t="s">
        <v>491</v>
      </c>
      <c r="D14" s="170" t="s">
        <v>48</v>
      </c>
      <c r="E14" s="171"/>
      <c r="F14" s="171">
        <v>10</v>
      </c>
      <c r="G14" s="171">
        <v>10</v>
      </c>
      <c r="H14" s="171">
        <v>10</v>
      </c>
      <c r="I14" s="171">
        <v>10</v>
      </c>
      <c r="J14" s="171">
        <v>10</v>
      </c>
      <c r="K14" s="171">
        <v>10</v>
      </c>
      <c r="L14" s="171">
        <v>10</v>
      </c>
      <c r="M14" s="171">
        <v>10</v>
      </c>
      <c r="N14" s="171">
        <v>10</v>
      </c>
      <c r="O14" s="171">
        <v>10</v>
      </c>
      <c r="P14" s="171">
        <v>10</v>
      </c>
      <c r="Q14" s="171">
        <v>10</v>
      </c>
      <c r="R14" s="171">
        <f>SUM(F14:Q14)</f>
        <v>120</v>
      </c>
      <c r="S14" s="172"/>
      <c r="T14" s="155" t="s">
        <v>492</v>
      </c>
      <c r="U14" s="173"/>
      <c r="V14" s="173"/>
      <c r="W14" s="173"/>
      <c r="X14" s="8"/>
      <c r="Y14" s="8"/>
      <c r="Z14" s="8"/>
    </row>
    <row r="15" spans="1:26" x14ac:dyDescent="0.3">
      <c r="A15" s="22">
        <v>9</v>
      </c>
      <c r="B15" s="45" t="s">
        <v>49</v>
      </c>
      <c r="C15" s="18" t="s">
        <v>50</v>
      </c>
      <c r="D15" s="45" t="s">
        <v>51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46"/>
      <c r="S15" s="41"/>
    </row>
    <row r="16" spans="1:26" x14ac:dyDescent="0.3">
      <c r="A16" s="22">
        <v>10</v>
      </c>
      <c r="B16" s="45" t="s">
        <v>52</v>
      </c>
      <c r="C16" s="175" t="s">
        <v>493</v>
      </c>
      <c r="D16" s="45" t="s">
        <v>54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41"/>
      <c r="T16" s="8"/>
      <c r="U16" s="8"/>
      <c r="V16" s="8"/>
    </row>
    <row r="17" spans="1:23" x14ac:dyDescent="0.3">
      <c r="A17" s="22">
        <v>11</v>
      </c>
      <c r="B17" s="45" t="s">
        <v>55</v>
      </c>
      <c r="C17" s="30" t="s">
        <v>56</v>
      </c>
      <c r="D17" s="45" t="s">
        <v>57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41"/>
    </row>
    <row r="18" spans="1:23" x14ac:dyDescent="0.3">
      <c r="A18" s="22">
        <v>12</v>
      </c>
      <c r="B18" s="45" t="s">
        <v>58</v>
      </c>
      <c r="C18" s="30" t="s">
        <v>59</v>
      </c>
      <c r="D18" s="45" t="s">
        <v>60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46"/>
      <c r="S18" s="41"/>
    </row>
    <row r="19" spans="1:23" x14ac:dyDescent="0.3">
      <c r="A19" s="147">
        <v>13</v>
      </c>
      <c r="B19" s="150" t="s">
        <v>61</v>
      </c>
      <c r="C19" s="151" t="s">
        <v>62</v>
      </c>
      <c r="D19" s="150" t="s">
        <v>63</v>
      </c>
      <c r="E19" s="151"/>
      <c r="F19" s="152">
        <v>10</v>
      </c>
      <c r="G19" s="153">
        <v>10</v>
      </c>
      <c r="H19" s="153">
        <v>10</v>
      </c>
      <c r="I19" s="153">
        <v>10</v>
      </c>
      <c r="J19" s="153">
        <v>10</v>
      </c>
      <c r="K19" s="153">
        <v>10</v>
      </c>
      <c r="L19" s="153">
        <v>10</v>
      </c>
      <c r="M19" s="153">
        <v>10</v>
      </c>
      <c r="N19" s="153">
        <v>10</v>
      </c>
      <c r="O19" s="153">
        <v>10</v>
      </c>
      <c r="P19" s="153">
        <v>10</v>
      </c>
      <c r="Q19" s="153">
        <v>10</v>
      </c>
      <c r="R19" s="153">
        <v>120</v>
      </c>
      <c r="S19" s="154"/>
      <c r="T19" s="155" t="s">
        <v>486</v>
      </c>
      <c r="U19" s="156"/>
      <c r="V19" s="173"/>
      <c r="W19" s="158"/>
    </row>
    <row r="20" spans="1:23" x14ac:dyDescent="0.3">
      <c r="A20" s="165">
        <v>14</v>
      </c>
      <c r="B20" s="176" t="s">
        <v>65</v>
      </c>
      <c r="C20" s="177" t="s">
        <v>66</v>
      </c>
      <c r="D20" s="176" t="s">
        <v>67</v>
      </c>
      <c r="E20" s="178"/>
      <c r="F20" s="167">
        <v>10</v>
      </c>
      <c r="G20" s="167">
        <v>10</v>
      </c>
      <c r="H20" s="167">
        <v>10</v>
      </c>
      <c r="I20" s="167">
        <v>10</v>
      </c>
      <c r="J20" s="167">
        <v>10</v>
      </c>
      <c r="K20" s="167">
        <v>10</v>
      </c>
      <c r="L20" s="167">
        <v>10</v>
      </c>
      <c r="M20" s="167">
        <v>10</v>
      </c>
      <c r="N20" s="167">
        <v>10</v>
      </c>
      <c r="O20" s="167">
        <v>10</v>
      </c>
      <c r="P20" s="167">
        <v>10</v>
      </c>
      <c r="Q20" s="167">
        <v>10</v>
      </c>
      <c r="R20" s="167">
        <v>120</v>
      </c>
      <c r="S20" s="154"/>
      <c r="T20" s="156" t="s">
        <v>494</v>
      </c>
      <c r="U20" s="156"/>
      <c r="V20" s="173"/>
      <c r="W20" s="158"/>
    </row>
    <row r="21" spans="1:23" ht="15.75" customHeight="1" x14ac:dyDescent="0.3">
      <c r="A21" s="165">
        <v>15</v>
      </c>
      <c r="B21" s="166" t="s">
        <v>68</v>
      </c>
      <c r="C21" s="179" t="s">
        <v>495</v>
      </c>
      <c r="D21" s="166" t="s">
        <v>70</v>
      </c>
      <c r="E21" s="167"/>
      <c r="F21" s="167">
        <v>10</v>
      </c>
      <c r="G21" s="167">
        <v>10</v>
      </c>
      <c r="H21" s="167">
        <v>10</v>
      </c>
      <c r="I21" s="167">
        <v>10</v>
      </c>
      <c r="J21" s="167">
        <v>10</v>
      </c>
      <c r="K21" s="167">
        <v>10</v>
      </c>
      <c r="L21" s="167">
        <v>10</v>
      </c>
      <c r="M21" s="167">
        <v>10</v>
      </c>
      <c r="N21" s="167">
        <v>10</v>
      </c>
      <c r="O21" s="167">
        <v>10</v>
      </c>
      <c r="P21" s="167">
        <v>10</v>
      </c>
      <c r="Q21" s="167">
        <v>10</v>
      </c>
      <c r="R21" s="167">
        <v>120</v>
      </c>
      <c r="S21" s="154"/>
      <c r="T21" s="156" t="s">
        <v>496</v>
      </c>
      <c r="U21" s="156"/>
      <c r="V21" s="173"/>
      <c r="W21" s="158"/>
    </row>
    <row r="22" spans="1:23" ht="15.75" customHeight="1" x14ac:dyDescent="0.3">
      <c r="A22" s="22">
        <v>16</v>
      </c>
      <c r="B22" s="45" t="s">
        <v>71</v>
      </c>
      <c r="C22" s="30" t="s">
        <v>72</v>
      </c>
      <c r="D22" s="45" t="s">
        <v>73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41"/>
    </row>
    <row r="23" spans="1:23" ht="15.75" customHeight="1" x14ac:dyDescent="0.3">
      <c r="A23" s="22">
        <v>17</v>
      </c>
      <c r="B23" s="45" t="s">
        <v>74</v>
      </c>
      <c r="C23" s="175" t="s">
        <v>497</v>
      </c>
      <c r="D23" s="45" t="s">
        <v>76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41">
        <v>2019</v>
      </c>
      <c r="T23" s="1">
        <v>2</v>
      </c>
    </row>
    <row r="24" spans="1:23" ht="15.75" customHeight="1" x14ac:dyDescent="0.3">
      <c r="A24" s="169">
        <v>18</v>
      </c>
      <c r="B24" s="170" t="s">
        <v>77</v>
      </c>
      <c r="C24" s="180" t="s">
        <v>498</v>
      </c>
      <c r="D24" s="170" t="s">
        <v>79</v>
      </c>
      <c r="E24" s="171"/>
      <c r="F24" s="171">
        <v>10</v>
      </c>
      <c r="G24" s="171">
        <v>10</v>
      </c>
      <c r="H24" s="171">
        <v>10</v>
      </c>
      <c r="I24" s="171">
        <v>10</v>
      </c>
      <c r="J24" s="171">
        <v>10</v>
      </c>
      <c r="K24" s="171">
        <v>10</v>
      </c>
      <c r="L24" s="171">
        <v>10</v>
      </c>
      <c r="M24" s="171">
        <v>10</v>
      </c>
      <c r="N24" s="171">
        <v>10</v>
      </c>
      <c r="O24" s="171">
        <v>10</v>
      </c>
      <c r="P24" s="171">
        <v>10</v>
      </c>
      <c r="Q24" s="171">
        <v>10</v>
      </c>
      <c r="R24" s="171">
        <f>SUM(F24:Q24)</f>
        <v>120</v>
      </c>
      <c r="S24" s="172">
        <v>2020</v>
      </c>
      <c r="T24" s="173">
        <v>3</v>
      </c>
      <c r="U24" s="155" t="s">
        <v>499</v>
      </c>
      <c r="V24" s="173"/>
      <c r="W24" s="158"/>
    </row>
    <row r="25" spans="1:23" ht="15.75" customHeight="1" x14ac:dyDescent="0.3">
      <c r="A25" s="169">
        <v>19</v>
      </c>
      <c r="B25" s="170" t="s">
        <v>80</v>
      </c>
      <c r="C25" s="171" t="s">
        <v>81</v>
      </c>
      <c r="D25" s="170" t="s">
        <v>82</v>
      </c>
      <c r="E25" s="171"/>
      <c r="F25" s="171">
        <v>10</v>
      </c>
      <c r="G25" s="171">
        <v>10</v>
      </c>
      <c r="H25" s="171">
        <v>10</v>
      </c>
      <c r="I25" s="171">
        <v>10</v>
      </c>
      <c r="J25" s="171">
        <v>10</v>
      </c>
      <c r="K25" s="171">
        <v>10</v>
      </c>
      <c r="L25" s="171">
        <v>10</v>
      </c>
      <c r="M25" s="171">
        <v>10</v>
      </c>
      <c r="N25" s="171">
        <v>10</v>
      </c>
      <c r="O25" s="171">
        <v>10</v>
      </c>
      <c r="P25" s="171">
        <v>10</v>
      </c>
      <c r="Q25" s="171">
        <v>10</v>
      </c>
      <c r="R25" s="171">
        <f>SUM(F25:Q25)</f>
        <v>120</v>
      </c>
      <c r="S25" s="172">
        <v>2021</v>
      </c>
      <c r="T25" s="158">
        <v>4</v>
      </c>
      <c r="U25" s="155" t="s">
        <v>500</v>
      </c>
      <c r="V25" s="158"/>
      <c r="W25" s="158"/>
    </row>
    <row r="26" spans="1:23" ht="15.75" customHeight="1" x14ac:dyDescent="0.3">
      <c r="A26" s="169">
        <v>20</v>
      </c>
      <c r="B26" s="170" t="s">
        <v>83</v>
      </c>
      <c r="C26" s="181" t="s">
        <v>84</v>
      </c>
      <c r="D26" s="170" t="s">
        <v>85</v>
      </c>
      <c r="E26" s="171"/>
      <c r="F26" s="182">
        <v>10</v>
      </c>
      <c r="G26" s="183">
        <v>10</v>
      </c>
      <c r="H26" s="183">
        <v>10</v>
      </c>
      <c r="I26" s="183">
        <v>10</v>
      </c>
      <c r="J26" s="183">
        <v>10</v>
      </c>
      <c r="K26" s="183">
        <v>10</v>
      </c>
      <c r="L26" s="183">
        <v>10</v>
      </c>
      <c r="M26" s="183">
        <v>10</v>
      </c>
      <c r="N26" s="183">
        <v>10</v>
      </c>
      <c r="O26" s="183">
        <v>10</v>
      </c>
      <c r="P26" s="183">
        <v>10</v>
      </c>
      <c r="Q26" s="183">
        <v>10</v>
      </c>
      <c r="R26" s="183">
        <f>SUM(F26:Q26)</f>
        <v>120</v>
      </c>
      <c r="S26" s="172"/>
      <c r="T26" s="155" t="s">
        <v>501</v>
      </c>
      <c r="U26" s="173"/>
      <c r="V26" s="173"/>
      <c r="W26" s="158"/>
    </row>
    <row r="27" spans="1:23" ht="15.75" customHeight="1" x14ac:dyDescent="0.3">
      <c r="A27" s="22">
        <v>21</v>
      </c>
      <c r="B27" s="45" t="s">
        <v>86</v>
      </c>
      <c r="C27" s="30" t="s">
        <v>87</v>
      </c>
      <c r="D27" s="45" t="s">
        <v>88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46"/>
      <c r="S27" s="41"/>
    </row>
    <row r="28" spans="1:23" ht="15.75" customHeight="1" x14ac:dyDescent="0.3">
      <c r="A28" s="22">
        <v>22</v>
      </c>
      <c r="B28" s="45" t="s">
        <v>89</v>
      </c>
      <c r="C28" s="175" t="s">
        <v>502</v>
      </c>
      <c r="D28" s="45" t="s">
        <v>91</v>
      </c>
      <c r="E28" s="18"/>
      <c r="F28" s="184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41"/>
      <c r="T28" s="8"/>
      <c r="U28" s="8"/>
      <c r="V28" s="8"/>
    </row>
    <row r="29" spans="1:23" ht="15.75" customHeight="1" x14ac:dyDescent="0.3">
      <c r="A29" s="147">
        <v>23</v>
      </c>
      <c r="B29" s="150" t="s">
        <v>92</v>
      </c>
      <c r="C29" s="149" t="s">
        <v>93</v>
      </c>
      <c r="D29" s="150" t="s">
        <v>94</v>
      </c>
      <c r="E29" s="151"/>
      <c r="F29" s="152">
        <v>10</v>
      </c>
      <c r="G29" s="153">
        <v>10</v>
      </c>
      <c r="H29" s="153">
        <v>10</v>
      </c>
      <c r="I29" s="153">
        <v>10</v>
      </c>
      <c r="J29" s="153">
        <v>10</v>
      </c>
      <c r="K29" s="153">
        <v>10</v>
      </c>
      <c r="L29" s="153">
        <v>10</v>
      </c>
      <c r="M29" s="153">
        <v>10</v>
      </c>
      <c r="N29" s="153">
        <v>10</v>
      </c>
      <c r="O29" s="153">
        <v>10</v>
      </c>
      <c r="P29" s="153">
        <v>10</v>
      </c>
      <c r="Q29" s="153">
        <v>10</v>
      </c>
      <c r="R29" s="153">
        <v>120</v>
      </c>
      <c r="S29" s="154"/>
      <c r="T29" s="155" t="s">
        <v>486</v>
      </c>
      <c r="U29" s="156"/>
      <c r="V29" s="158"/>
      <c r="W29" s="158"/>
    </row>
    <row r="30" spans="1:23" ht="15.75" customHeight="1" x14ac:dyDescent="0.3">
      <c r="A30" s="165">
        <v>24</v>
      </c>
      <c r="B30" s="166" t="s">
        <v>95</v>
      </c>
      <c r="C30" s="167" t="s">
        <v>453</v>
      </c>
      <c r="D30" s="166" t="s">
        <v>97</v>
      </c>
      <c r="E30" s="167"/>
      <c r="F30" s="152">
        <v>10</v>
      </c>
      <c r="G30" s="153">
        <v>10</v>
      </c>
      <c r="H30" s="153">
        <v>10</v>
      </c>
      <c r="I30" s="153">
        <v>10</v>
      </c>
      <c r="J30" s="153">
        <v>10</v>
      </c>
      <c r="K30" s="153">
        <v>10</v>
      </c>
      <c r="L30" s="153">
        <v>10</v>
      </c>
      <c r="M30" s="153">
        <v>10</v>
      </c>
      <c r="N30" s="153">
        <v>10</v>
      </c>
      <c r="O30" s="153">
        <v>10</v>
      </c>
      <c r="P30" s="153">
        <v>10</v>
      </c>
      <c r="Q30" s="153">
        <v>10</v>
      </c>
      <c r="R30" s="153">
        <v>120</v>
      </c>
      <c r="S30" s="154"/>
      <c r="T30" s="156" t="s">
        <v>503</v>
      </c>
      <c r="U30" s="156"/>
      <c r="V30" s="156"/>
      <c r="W30" s="158"/>
    </row>
    <row r="31" spans="1:23" ht="15.75" customHeight="1" x14ac:dyDescent="0.3">
      <c r="A31" s="169">
        <v>25</v>
      </c>
      <c r="B31" s="170" t="s">
        <v>98</v>
      </c>
      <c r="C31" s="171" t="s">
        <v>99</v>
      </c>
      <c r="D31" s="170" t="s">
        <v>100</v>
      </c>
      <c r="E31" s="171"/>
      <c r="F31" s="182">
        <v>10</v>
      </c>
      <c r="G31" s="183">
        <v>10</v>
      </c>
      <c r="H31" s="183">
        <v>10</v>
      </c>
      <c r="I31" s="183">
        <v>10</v>
      </c>
      <c r="J31" s="183">
        <v>10</v>
      </c>
      <c r="K31" s="183">
        <v>10</v>
      </c>
      <c r="L31" s="183">
        <v>10</v>
      </c>
      <c r="M31" s="183">
        <v>10</v>
      </c>
      <c r="N31" s="183">
        <v>10</v>
      </c>
      <c r="O31" s="183">
        <v>10</v>
      </c>
      <c r="P31" s="183">
        <v>10</v>
      </c>
      <c r="Q31" s="183">
        <v>10</v>
      </c>
      <c r="R31" s="183">
        <f>SUM(F31:Q31)</f>
        <v>120</v>
      </c>
      <c r="S31" s="172"/>
      <c r="T31" s="156" t="s">
        <v>504</v>
      </c>
      <c r="U31" s="173"/>
      <c r="V31" s="173"/>
      <c r="W31" s="158"/>
    </row>
    <row r="32" spans="1:23" ht="15.75" customHeight="1" x14ac:dyDescent="0.3">
      <c r="A32" s="22">
        <v>26</v>
      </c>
      <c r="B32" s="45" t="s">
        <v>101</v>
      </c>
      <c r="C32" s="18" t="s">
        <v>102</v>
      </c>
      <c r="D32" s="45" t="s">
        <v>103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41"/>
    </row>
    <row r="33" spans="1:26" ht="15.75" customHeight="1" x14ac:dyDescent="0.3">
      <c r="A33" s="165">
        <v>27</v>
      </c>
      <c r="B33" s="176" t="s">
        <v>104</v>
      </c>
      <c r="C33" s="178" t="s">
        <v>105</v>
      </c>
      <c r="D33" s="176" t="s">
        <v>106</v>
      </c>
      <c r="E33" s="178"/>
      <c r="F33" s="152">
        <v>10</v>
      </c>
      <c r="G33" s="153">
        <v>10</v>
      </c>
      <c r="H33" s="153">
        <v>10</v>
      </c>
      <c r="I33" s="153">
        <v>10</v>
      </c>
      <c r="J33" s="153">
        <v>10</v>
      </c>
      <c r="K33" s="153">
        <v>10</v>
      </c>
      <c r="L33" s="153">
        <v>10</v>
      </c>
      <c r="M33" s="153">
        <v>10</v>
      </c>
      <c r="N33" s="153">
        <v>10</v>
      </c>
      <c r="O33" s="153">
        <v>10</v>
      </c>
      <c r="P33" s="153">
        <v>10</v>
      </c>
      <c r="Q33" s="153">
        <v>10</v>
      </c>
      <c r="R33" s="153">
        <v>120</v>
      </c>
      <c r="S33" s="154"/>
      <c r="T33" s="156" t="s">
        <v>505</v>
      </c>
      <c r="U33" s="156"/>
      <c r="V33" s="186"/>
      <c r="W33" s="158"/>
    </row>
    <row r="34" spans="1:26" ht="15.75" customHeight="1" x14ac:dyDescent="0.3">
      <c r="A34" s="165">
        <v>28</v>
      </c>
      <c r="B34" s="166" t="s">
        <v>107</v>
      </c>
      <c r="C34" s="167" t="s">
        <v>108</v>
      </c>
      <c r="D34" s="166" t="s">
        <v>109</v>
      </c>
      <c r="E34" s="167"/>
      <c r="F34" s="152">
        <v>10</v>
      </c>
      <c r="G34" s="153">
        <v>10</v>
      </c>
      <c r="H34" s="153">
        <v>10</v>
      </c>
      <c r="I34" s="153">
        <v>10</v>
      </c>
      <c r="J34" s="153">
        <v>10</v>
      </c>
      <c r="K34" s="153">
        <v>10</v>
      </c>
      <c r="L34" s="153">
        <v>10</v>
      </c>
      <c r="M34" s="153">
        <v>10</v>
      </c>
      <c r="N34" s="153">
        <v>10</v>
      </c>
      <c r="O34" s="153">
        <v>10</v>
      </c>
      <c r="P34" s="153">
        <v>10</v>
      </c>
      <c r="Q34" s="153">
        <v>10</v>
      </c>
      <c r="R34" s="153">
        <v>120</v>
      </c>
      <c r="S34" s="154"/>
      <c r="T34" s="156" t="s">
        <v>506</v>
      </c>
      <c r="U34" s="156"/>
      <c r="V34" s="186"/>
      <c r="W34" s="187"/>
    </row>
    <row r="35" spans="1:26" ht="15.75" customHeight="1" x14ac:dyDescent="0.3">
      <c r="A35" s="22">
        <v>29</v>
      </c>
      <c r="B35" s="45" t="s">
        <v>110</v>
      </c>
      <c r="C35" s="30" t="s">
        <v>111</v>
      </c>
      <c r="D35" s="45" t="s">
        <v>112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41"/>
    </row>
    <row r="36" spans="1:26" ht="15.75" customHeight="1" x14ac:dyDescent="0.3">
      <c r="A36" s="169">
        <v>30</v>
      </c>
      <c r="B36" s="150" t="s">
        <v>113</v>
      </c>
      <c r="C36" s="151" t="s">
        <v>114</v>
      </c>
      <c r="D36" s="150" t="s">
        <v>115</v>
      </c>
      <c r="E36" s="151"/>
      <c r="F36" s="152">
        <v>10</v>
      </c>
      <c r="G36" s="153">
        <v>10</v>
      </c>
      <c r="H36" s="153">
        <v>10</v>
      </c>
      <c r="I36" s="153">
        <v>10</v>
      </c>
      <c r="J36" s="153">
        <v>10</v>
      </c>
      <c r="K36" s="153">
        <v>10</v>
      </c>
      <c r="L36" s="153">
        <v>10</v>
      </c>
      <c r="M36" s="153">
        <v>10</v>
      </c>
      <c r="N36" s="153">
        <v>10</v>
      </c>
      <c r="O36" s="153">
        <v>10</v>
      </c>
      <c r="P36" s="153">
        <v>10</v>
      </c>
      <c r="Q36" s="153">
        <v>10</v>
      </c>
      <c r="R36" s="153">
        <v>120</v>
      </c>
      <c r="S36" s="154"/>
      <c r="T36" s="155" t="s">
        <v>486</v>
      </c>
      <c r="U36" s="156"/>
      <c r="V36" s="164"/>
      <c r="W36" s="158"/>
    </row>
    <row r="37" spans="1:26" ht="15.75" customHeight="1" x14ac:dyDescent="0.3">
      <c r="A37" s="22">
        <v>31</v>
      </c>
      <c r="B37" s="45" t="s">
        <v>116</v>
      </c>
      <c r="C37" s="30" t="s">
        <v>117</v>
      </c>
      <c r="D37" s="45" t="s">
        <v>118</v>
      </c>
      <c r="E37" s="18"/>
      <c r="F37" s="184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41"/>
      <c r="T37" s="8"/>
      <c r="U37" s="8"/>
      <c r="V37" s="8"/>
    </row>
    <row r="38" spans="1:26" ht="15.75" customHeight="1" x14ac:dyDescent="0.3">
      <c r="A38" s="165">
        <v>32</v>
      </c>
      <c r="B38" s="176" t="s">
        <v>119</v>
      </c>
      <c r="C38" s="188" t="s">
        <v>507</v>
      </c>
      <c r="D38" s="176" t="s">
        <v>121</v>
      </c>
      <c r="E38" s="178"/>
      <c r="F38" s="189">
        <v>10</v>
      </c>
      <c r="G38" s="153">
        <v>10</v>
      </c>
      <c r="H38" s="153">
        <v>10</v>
      </c>
      <c r="I38" s="153">
        <v>10</v>
      </c>
      <c r="J38" s="153">
        <v>10</v>
      </c>
      <c r="K38" s="153">
        <v>10</v>
      </c>
      <c r="L38" s="153">
        <v>10</v>
      </c>
      <c r="M38" s="153">
        <v>10</v>
      </c>
      <c r="N38" s="153">
        <v>10</v>
      </c>
      <c r="O38" s="153">
        <v>10</v>
      </c>
      <c r="P38" s="153">
        <v>10</v>
      </c>
      <c r="Q38" s="153">
        <v>10</v>
      </c>
      <c r="R38" s="153">
        <v>120</v>
      </c>
      <c r="S38" s="154"/>
      <c r="T38" s="156" t="s">
        <v>508</v>
      </c>
      <c r="U38" s="156"/>
      <c r="V38" s="190"/>
      <c r="W38" s="158"/>
    </row>
    <row r="39" spans="1:26" ht="15.75" customHeight="1" x14ac:dyDescent="0.3">
      <c r="A39" s="165">
        <v>33</v>
      </c>
      <c r="B39" s="176" t="s">
        <v>122</v>
      </c>
      <c r="C39" s="178" t="s">
        <v>123</v>
      </c>
      <c r="D39" s="176" t="s">
        <v>124</v>
      </c>
      <c r="E39" s="178"/>
      <c r="F39" s="189">
        <v>10</v>
      </c>
      <c r="G39" s="153">
        <v>10</v>
      </c>
      <c r="H39" s="153">
        <v>10</v>
      </c>
      <c r="I39" s="153">
        <v>10</v>
      </c>
      <c r="J39" s="153">
        <v>10</v>
      </c>
      <c r="K39" s="153">
        <v>10</v>
      </c>
      <c r="L39" s="153">
        <v>10</v>
      </c>
      <c r="M39" s="153">
        <v>10</v>
      </c>
      <c r="N39" s="153">
        <v>10</v>
      </c>
      <c r="O39" s="153">
        <v>10</v>
      </c>
      <c r="P39" s="153">
        <v>10</v>
      </c>
      <c r="Q39" s="153">
        <v>10</v>
      </c>
      <c r="R39" s="153">
        <v>120</v>
      </c>
      <c r="S39" s="154"/>
      <c r="T39" s="156" t="s">
        <v>509</v>
      </c>
      <c r="U39" s="156"/>
      <c r="V39" s="190"/>
      <c r="W39" s="158"/>
    </row>
    <row r="40" spans="1:26" ht="15.75" customHeight="1" x14ac:dyDescent="0.3">
      <c r="A40" s="169">
        <v>34</v>
      </c>
      <c r="B40" s="170" t="s">
        <v>125</v>
      </c>
      <c r="C40" s="191" t="s">
        <v>510</v>
      </c>
      <c r="D40" s="170" t="s">
        <v>127</v>
      </c>
      <c r="E40" s="171"/>
      <c r="F40" s="171">
        <v>10</v>
      </c>
      <c r="G40" s="171">
        <v>10</v>
      </c>
      <c r="H40" s="171">
        <v>10</v>
      </c>
      <c r="I40" s="171">
        <v>10</v>
      </c>
      <c r="J40" s="171">
        <v>10</v>
      </c>
      <c r="K40" s="171">
        <v>10</v>
      </c>
      <c r="L40" s="171">
        <v>10</v>
      </c>
      <c r="M40" s="171">
        <v>10</v>
      </c>
      <c r="N40" s="171">
        <v>10</v>
      </c>
      <c r="O40" s="171">
        <v>10</v>
      </c>
      <c r="P40" s="171">
        <v>10</v>
      </c>
      <c r="Q40" s="171">
        <v>10</v>
      </c>
      <c r="R40" s="171">
        <f>SUM(F40:Q40)</f>
        <v>120</v>
      </c>
      <c r="S40" s="172">
        <v>600</v>
      </c>
      <c r="T40" s="156" t="s">
        <v>511</v>
      </c>
      <c r="U40" s="158"/>
      <c r="V40" s="158"/>
      <c r="W40" s="158"/>
    </row>
    <row r="41" spans="1:26" ht="15.75" customHeight="1" x14ac:dyDescent="0.3">
      <c r="A41" s="169">
        <v>35</v>
      </c>
      <c r="B41" s="170" t="s">
        <v>128</v>
      </c>
      <c r="C41" s="174" t="s">
        <v>512</v>
      </c>
      <c r="D41" s="170" t="s">
        <v>130</v>
      </c>
      <c r="E41" s="171"/>
      <c r="F41" s="171">
        <v>10</v>
      </c>
      <c r="G41" s="171">
        <v>10</v>
      </c>
      <c r="H41" s="171">
        <v>10</v>
      </c>
      <c r="I41" s="171">
        <v>10</v>
      </c>
      <c r="J41" s="171">
        <v>10</v>
      </c>
      <c r="K41" s="171">
        <v>10</v>
      </c>
      <c r="L41" s="171">
        <v>10</v>
      </c>
      <c r="M41" s="171">
        <v>10</v>
      </c>
      <c r="N41" s="171">
        <v>10</v>
      </c>
      <c r="O41" s="171">
        <v>10</v>
      </c>
      <c r="P41" s="171">
        <v>10</v>
      </c>
      <c r="Q41" s="171">
        <v>10</v>
      </c>
      <c r="R41" s="171">
        <f>SUM(F41:Q41)</f>
        <v>120</v>
      </c>
      <c r="S41" s="172"/>
      <c r="T41" s="156" t="s">
        <v>513</v>
      </c>
      <c r="U41" s="173"/>
      <c r="V41" s="173"/>
      <c r="W41" s="158"/>
    </row>
    <row r="42" spans="1:26" ht="15.75" customHeight="1" x14ac:dyDescent="0.3">
      <c r="A42" s="22">
        <v>36</v>
      </c>
      <c r="B42" s="45" t="s">
        <v>131</v>
      </c>
      <c r="C42" s="30" t="s">
        <v>132</v>
      </c>
      <c r="D42" s="45" t="s">
        <v>133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41"/>
    </row>
    <row r="43" spans="1:26" ht="15.75" customHeight="1" x14ac:dyDescent="0.3">
      <c r="A43" s="165">
        <v>37</v>
      </c>
      <c r="B43" s="176" t="s">
        <v>135</v>
      </c>
      <c r="C43" s="177" t="s">
        <v>136</v>
      </c>
      <c r="D43" s="176" t="s">
        <v>137</v>
      </c>
      <c r="E43" s="178"/>
      <c r="F43" s="152">
        <v>10</v>
      </c>
      <c r="G43" s="153">
        <v>10</v>
      </c>
      <c r="H43" s="153">
        <v>10</v>
      </c>
      <c r="I43" s="153">
        <v>10</v>
      </c>
      <c r="J43" s="153">
        <v>10</v>
      </c>
      <c r="K43" s="153">
        <v>10</v>
      </c>
      <c r="L43" s="153">
        <v>10</v>
      </c>
      <c r="M43" s="153">
        <v>10</v>
      </c>
      <c r="N43" s="153">
        <v>10</v>
      </c>
      <c r="O43" s="153">
        <v>10</v>
      </c>
      <c r="P43" s="153">
        <v>10</v>
      </c>
      <c r="Q43" s="153">
        <v>10</v>
      </c>
      <c r="R43" s="192">
        <v>120</v>
      </c>
      <c r="S43" s="193">
        <v>240</v>
      </c>
      <c r="T43" s="194" t="s">
        <v>457</v>
      </c>
      <c r="U43" s="194"/>
      <c r="V43" s="195" t="s">
        <v>514</v>
      </c>
      <c r="W43" s="195"/>
    </row>
    <row r="44" spans="1:26" ht="15.75" customHeight="1" x14ac:dyDescent="0.3">
      <c r="A44" s="22">
        <v>38</v>
      </c>
      <c r="B44" s="45" t="s">
        <v>138</v>
      </c>
      <c r="C44" s="30" t="s">
        <v>139</v>
      </c>
      <c r="D44" s="45" t="s">
        <v>140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41"/>
      <c r="T44" s="8"/>
      <c r="U44" s="8"/>
      <c r="V44" s="8"/>
    </row>
    <row r="45" spans="1:26" ht="15.75" customHeight="1" x14ac:dyDescent="0.3">
      <c r="A45" s="90">
        <v>39</v>
      </c>
      <c r="B45" s="93" t="s">
        <v>141</v>
      </c>
      <c r="C45" s="196" t="s">
        <v>142</v>
      </c>
      <c r="D45" s="93" t="s">
        <v>143</v>
      </c>
      <c r="E45" s="91"/>
      <c r="F45" s="91">
        <v>10</v>
      </c>
      <c r="G45" s="91">
        <v>10</v>
      </c>
      <c r="H45" s="91">
        <v>10</v>
      </c>
      <c r="I45" s="91">
        <v>10</v>
      </c>
      <c r="J45" s="91">
        <v>10</v>
      </c>
      <c r="K45" s="91">
        <v>10</v>
      </c>
      <c r="L45" s="91">
        <v>10</v>
      </c>
      <c r="M45" s="91">
        <v>10</v>
      </c>
      <c r="N45" s="91">
        <v>10</v>
      </c>
      <c r="O45" s="91">
        <v>10</v>
      </c>
      <c r="P45" s="91">
        <v>10</v>
      </c>
      <c r="Q45" s="91">
        <v>10</v>
      </c>
      <c r="R45" s="91">
        <f>SUM(F45:Q45)</f>
        <v>120</v>
      </c>
      <c r="S45" s="197"/>
      <c r="T45" s="95" t="s">
        <v>515</v>
      </c>
      <c r="U45" s="95"/>
      <c r="V45" s="95"/>
      <c r="W45" s="96"/>
    </row>
    <row r="46" spans="1:26" ht="15.75" customHeight="1" x14ac:dyDescent="0.3">
      <c r="A46" s="169">
        <v>40</v>
      </c>
      <c r="B46" s="170" t="s">
        <v>144</v>
      </c>
      <c r="C46" s="181" t="s">
        <v>145</v>
      </c>
      <c r="D46" s="170" t="s">
        <v>146</v>
      </c>
      <c r="E46" s="171"/>
      <c r="F46" s="171">
        <v>10</v>
      </c>
      <c r="G46" s="171">
        <v>10</v>
      </c>
      <c r="H46" s="171">
        <v>10</v>
      </c>
      <c r="I46" s="171">
        <v>10</v>
      </c>
      <c r="J46" s="171">
        <v>10</v>
      </c>
      <c r="K46" s="171">
        <v>10</v>
      </c>
      <c r="L46" s="171">
        <v>10</v>
      </c>
      <c r="M46" s="171">
        <v>10</v>
      </c>
      <c r="N46" s="171">
        <v>10</v>
      </c>
      <c r="O46" s="171">
        <v>10</v>
      </c>
      <c r="P46" s="171">
        <v>10</v>
      </c>
      <c r="Q46" s="171">
        <v>10</v>
      </c>
      <c r="R46" s="171">
        <f>SUM(F46:Q46)</f>
        <v>120</v>
      </c>
      <c r="S46" s="172"/>
      <c r="T46" s="156" t="s">
        <v>516</v>
      </c>
      <c r="U46" s="173"/>
      <c r="V46" s="173"/>
      <c r="W46" s="173"/>
      <c r="X46" s="8"/>
      <c r="Y46" s="8"/>
      <c r="Z46" s="8"/>
    </row>
    <row r="47" spans="1:26" ht="15.75" customHeight="1" x14ac:dyDescent="0.3">
      <c r="A47" s="22">
        <v>41</v>
      </c>
      <c r="B47" s="45" t="s">
        <v>147</v>
      </c>
      <c r="C47" s="18" t="s">
        <v>458</v>
      </c>
      <c r="D47" s="45" t="s">
        <v>149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41"/>
      <c r="T47" s="8"/>
      <c r="U47" s="8"/>
      <c r="V47" s="8"/>
    </row>
    <row r="48" spans="1:26" ht="15.75" customHeight="1" x14ac:dyDescent="0.3">
      <c r="A48" s="147">
        <v>42</v>
      </c>
      <c r="B48" s="150" t="s">
        <v>150</v>
      </c>
      <c r="C48" s="198" t="s">
        <v>517</v>
      </c>
      <c r="D48" s="150" t="s">
        <v>152</v>
      </c>
      <c r="E48" s="151"/>
      <c r="F48" s="152">
        <v>10</v>
      </c>
      <c r="G48" s="153">
        <v>10</v>
      </c>
      <c r="H48" s="153">
        <v>10</v>
      </c>
      <c r="I48" s="153">
        <v>10</v>
      </c>
      <c r="J48" s="153">
        <v>10</v>
      </c>
      <c r="K48" s="153">
        <v>10</v>
      </c>
      <c r="L48" s="153">
        <v>10</v>
      </c>
      <c r="M48" s="153">
        <v>10</v>
      </c>
      <c r="N48" s="153">
        <v>10</v>
      </c>
      <c r="O48" s="153">
        <v>10</v>
      </c>
      <c r="P48" s="153">
        <v>10</v>
      </c>
      <c r="Q48" s="153">
        <v>10</v>
      </c>
      <c r="R48" s="153">
        <v>120</v>
      </c>
      <c r="S48" s="154"/>
      <c r="T48" s="155" t="s">
        <v>486</v>
      </c>
      <c r="U48" s="156"/>
      <c r="V48" s="199"/>
      <c r="W48" s="158"/>
    </row>
    <row r="49" spans="1:26" ht="15.75" customHeight="1" x14ac:dyDescent="0.3">
      <c r="A49" s="169">
        <v>43</v>
      </c>
      <c r="B49" s="200" t="s">
        <v>153</v>
      </c>
      <c r="C49" s="201" t="s">
        <v>518</v>
      </c>
      <c r="D49" s="200" t="s">
        <v>155</v>
      </c>
      <c r="E49" s="171"/>
      <c r="F49" s="171">
        <v>10</v>
      </c>
      <c r="G49" s="171">
        <v>10</v>
      </c>
      <c r="H49" s="171">
        <v>10</v>
      </c>
      <c r="I49" s="171">
        <v>10</v>
      </c>
      <c r="J49" s="171">
        <v>10</v>
      </c>
      <c r="K49" s="171">
        <v>10</v>
      </c>
      <c r="L49" s="171">
        <v>10</v>
      </c>
      <c r="M49" s="171">
        <v>10</v>
      </c>
      <c r="N49" s="171">
        <v>10</v>
      </c>
      <c r="O49" s="171">
        <v>10</v>
      </c>
      <c r="P49" s="171">
        <v>10</v>
      </c>
      <c r="Q49" s="171">
        <v>10</v>
      </c>
      <c r="R49" s="171">
        <f>SUM(F49:Q49)</f>
        <v>120</v>
      </c>
      <c r="S49" s="202">
        <v>240</v>
      </c>
      <c r="T49" s="203" t="s">
        <v>519</v>
      </c>
      <c r="U49" s="204"/>
      <c r="V49" s="195" t="s">
        <v>520</v>
      </c>
      <c r="W49" s="204"/>
    </row>
    <row r="50" spans="1:26" ht="15.75" customHeight="1" x14ac:dyDescent="0.3">
      <c r="A50" s="22">
        <v>44</v>
      </c>
      <c r="B50" s="45" t="s">
        <v>156</v>
      </c>
      <c r="C50" s="18" t="s">
        <v>157</v>
      </c>
      <c r="D50" s="45" t="s">
        <v>158</v>
      </c>
      <c r="E50" s="18"/>
      <c r="F50" s="184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41"/>
      <c r="T50" s="8"/>
      <c r="U50" s="8"/>
      <c r="V50" s="8"/>
    </row>
    <row r="51" spans="1:26" ht="15.75" customHeight="1" x14ac:dyDescent="0.3">
      <c r="A51" s="22">
        <v>45</v>
      </c>
      <c r="B51" s="45" t="s">
        <v>159</v>
      </c>
      <c r="C51" s="32" t="s">
        <v>160</v>
      </c>
      <c r="D51" s="45" t="s">
        <v>161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41"/>
    </row>
    <row r="52" spans="1:26" ht="15.75" customHeight="1" x14ac:dyDescent="0.3">
      <c r="A52" s="165">
        <v>46</v>
      </c>
      <c r="B52" s="166" t="s">
        <v>162</v>
      </c>
      <c r="C52" s="167" t="s">
        <v>163</v>
      </c>
      <c r="D52" s="166" t="s">
        <v>164</v>
      </c>
      <c r="E52" s="167"/>
      <c r="F52" s="152">
        <v>10</v>
      </c>
      <c r="G52" s="153">
        <v>10</v>
      </c>
      <c r="H52" s="153">
        <v>10</v>
      </c>
      <c r="I52" s="153">
        <v>10</v>
      </c>
      <c r="J52" s="153">
        <v>10</v>
      </c>
      <c r="K52" s="153">
        <v>10</v>
      </c>
      <c r="L52" s="153">
        <v>10</v>
      </c>
      <c r="M52" s="153">
        <v>10</v>
      </c>
      <c r="N52" s="153">
        <v>10</v>
      </c>
      <c r="O52" s="153">
        <v>10</v>
      </c>
      <c r="P52" s="153">
        <v>10</v>
      </c>
      <c r="Q52" s="153">
        <v>10</v>
      </c>
      <c r="R52" s="153">
        <v>120</v>
      </c>
      <c r="S52" s="154"/>
      <c r="T52" s="156" t="s">
        <v>521</v>
      </c>
      <c r="U52" s="156"/>
      <c r="V52" s="156"/>
      <c r="W52" s="158"/>
    </row>
    <row r="53" spans="1:26" ht="15.75" customHeight="1" x14ac:dyDescent="0.3">
      <c r="A53" s="22">
        <v>47</v>
      </c>
      <c r="B53" s="45" t="s">
        <v>165</v>
      </c>
      <c r="C53" s="32" t="s">
        <v>166</v>
      </c>
      <c r="D53" s="45" t="s">
        <v>167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41"/>
    </row>
    <row r="54" spans="1:26" ht="15.75" customHeight="1" x14ac:dyDescent="0.3">
      <c r="A54" s="205">
        <v>48</v>
      </c>
      <c r="B54" s="206" t="s">
        <v>168</v>
      </c>
      <c r="C54" s="207" t="s">
        <v>169</v>
      </c>
      <c r="D54" s="206" t="s">
        <v>170</v>
      </c>
      <c r="E54" s="208"/>
      <c r="F54" s="209">
        <v>10</v>
      </c>
      <c r="G54" s="210">
        <v>10</v>
      </c>
      <c r="H54" s="210">
        <v>10</v>
      </c>
      <c r="I54" s="210">
        <v>10</v>
      </c>
      <c r="J54" s="210">
        <v>10</v>
      </c>
      <c r="K54" s="210">
        <v>10</v>
      </c>
      <c r="L54" s="210">
        <v>10</v>
      </c>
      <c r="M54" s="210">
        <v>10</v>
      </c>
      <c r="N54" s="210">
        <v>10</v>
      </c>
      <c r="O54" s="210">
        <v>10</v>
      </c>
      <c r="P54" s="210">
        <v>10</v>
      </c>
      <c r="Q54" s="210">
        <v>10</v>
      </c>
      <c r="R54" s="210">
        <f>SUM(F54:Q54)</f>
        <v>120</v>
      </c>
      <c r="S54" s="211"/>
      <c r="T54" s="212" t="s">
        <v>522</v>
      </c>
      <c r="U54" s="212"/>
      <c r="V54" s="212" t="s">
        <v>523</v>
      </c>
      <c r="W54" s="213"/>
    </row>
    <row r="55" spans="1:26" ht="15.75" customHeight="1" x14ac:dyDescent="0.3">
      <c r="A55" s="22">
        <v>49</v>
      </c>
      <c r="B55" s="45" t="s">
        <v>171</v>
      </c>
      <c r="C55" s="30" t="s">
        <v>172</v>
      </c>
      <c r="D55" s="45" t="s">
        <v>173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41"/>
      <c r="T55" s="8"/>
      <c r="U55" s="8"/>
      <c r="V55" s="8"/>
      <c r="W55" s="8"/>
      <c r="X55" s="8"/>
      <c r="Y55" s="8"/>
      <c r="Z55" s="8"/>
    </row>
    <row r="56" spans="1:26" ht="15.75" customHeight="1" x14ac:dyDescent="0.3">
      <c r="A56" s="22">
        <v>50</v>
      </c>
      <c r="B56" s="45" t="s">
        <v>174</v>
      </c>
      <c r="C56" s="32" t="s">
        <v>175</v>
      </c>
      <c r="D56" s="45" t="s">
        <v>176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41"/>
      <c r="T56" s="8"/>
      <c r="U56" s="8"/>
      <c r="V56" s="8"/>
      <c r="W56" s="8"/>
      <c r="X56" s="8"/>
      <c r="Y56" s="8"/>
      <c r="Z56" s="8"/>
    </row>
    <row r="57" spans="1:26" ht="15.75" customHeight="1" x14ac:dyDescent="0.3">
      <c r="A57" s="147">
        <v>51</v>
      </c>
      <c r="B57" s="150" t="s">
        <v>177</v>
      </c>
      <c r="C57" s="151" t="s">
        <v>178</v>
      </c>
      <c r="D57" s="150" t="s">
        <v>179</v>
      </c>
      <c r="E57" s="151"/>
      <c r="F57" s="152">
        <v>10</v>
      </c>
      <c r="G57" s="153">
        <v>10</v>
      </c>
      <c r="H57" s="153">
        <v>10</v>
      </c>
      <c r="I57" s="153">
        <v>10</v>
      </c>
      <c r="J57" s="153">
        <v>10</v>
      </c>
      <c r="K57" s="153">
        <v>10</v>
      </c>
      <c r="L57" s="153">
        <v>10</v>
      </c>
      <c r="M57" s="153">
        <v>10</v>
      </c>
      <c r="N57" s="153">
        <v>10</v>
      </c>
      <c r="O57" s="153">
        <v>10</v>
      </c>
      <c r="P57" s="153">
        <v>10</v>
      </c>
      <c r="Q57" s="153">
        <v>10</v>
      </c>
      <c r="R57" s="153">
        <v>120</v>
      </c>
      <c r="S57" s="154"/>
      <c r="T57" s="155" t="s">
        <v>486</v>
      </c>
      <c r="U57" s="156"/>
      <c r="V57" s="199"/>
      <c r="W57" s="173"/>
      <c r="X57" s="8"/>
      <c r="Y57" s="8"/>
      <c r="Z57" s="8"/>
    </row>
    <row r="58" spans="1:26" ht="15.75" customHeight="1" x14ac:dyDescent="0.3">
      <c r="A58" s="169">
        <v>52</v>
      </c>
      <c r="B58" s="170" t="s">
        <v>180</v>
      </c>
      <c r="C58" s="181" t="s">
        <v>181</v>
      </c>
      <c r="D58" s="170" t="s">
        <v>182</v>
      </c>
      <c r="E58" s="171"/>
      <c r="F58" s="182">
        <v>10</v>
      </c>
      <c r="G58" s="183">
        <v>10</v>
      </c>
      <c r="H58" s="183">
        <v>10</v>
      </c>
      <c r="I58" s="183">
        <v>10</v>
      </c>
      <c r="J58" s="183">
        <v>10</v>
      </c>
      <c r="K58" s="183">
        <v>10</v>
      </c>
      <c r="L58" s="183">
        <v>10</v>
      </c>
      <c r="M58" s="183">
        <v>10</v>
      </c>
      <c r="N58" s="183">
        <v>10</v>
      </c>
      <c r="O58" s="183">
        <v>10</v>
      </c>
      <c r="P58" s="183">
        <v>10</v>
      </c>
      <c r="Q58" s="183">
        <v>10</v>
      </c>
      <c r="R58" s="183">
        <f>SUM(F58:Q58)</f>
        <v>120</v>
      </c>
      <c r="S58" s="172"/>
      <c r="T58" s="155" t="s">
        <v>524</v>
      </c>
      <c r="U58" s="173"/>
      <c r="V58" s="173"/>
      <c r="W58" s="173"/>
      <c r="X58" s="8"/>
      <c r="Y58" s="8"/>
      <c r="Z58" s="8"/>
    </row>
    <row r="59" spans="1:26" ht="15.75" customHeight="1" x14ac:dyDescent="0.3">
      <c r="A59" s="169">
        <v>53</v>
      </c>
      <c r="B59" s="170" t="s">
        <v>183</v>
      </c>
      <c r="C59" s="181" t="s">
        <v>184</v>
      </c>
      <c r="D59" s="170" t="s">
        <v>185</v>
      </c>
      <c r="E59" s="171"/>
      <c r="F59" s="182">
        <v>10</v>
      </c>
      <c r="G59" s="183">
        <v>10</v>
      </c>
      <c r="H59" s="183">
        <v>10</v>
      </c>
      <c r="I59" s="183">
        <v>10</v>
      </c>
      <c r="J59" s="183">
        <v>10</v>
      </c>
      <c r="K59" s="183">
        <v>10</v>
      </c>
      <c r="L59" s="183">
        <v>10</v>
      </c>
      <c r="M59" s="183">
        <v>10</v>
      </c>
      <c r="N59" s="183">
        <v>10</v>
      </c>
      <c r="O59" s="183">
        <v>10</v>
      </c>
      <c r="P59" s="183">
        <v>10</v>
      </c>
      <c r="Q59" s="183">
        <v>10</v>
      </c>
      <c r="R59" s="183">
        <f>SUM(F59:Q59)</f>
        <v>120</v>
      </c>
      <c r="S59" s="172"/>
      <c r="T59" s="155" t="s">
        <v>525</v>
      </c>
      <c r="U59" s="173"/>
      <c r="V59" s="173"/>
      <c r="W59" s="173"/>
      <c r="X59" s="8"/>
      <c r="Y59" s="8"/>
      <c r="Z59" s="8"/>
    </row>
    <row r="60" spans="1:26" ht="15.75" customHeight="1" x14ac:dyDescent="0.3">
      <c r="A60" s="147">
        <v>54</v>
      </c>
      <c r="B60" s="150" t="s">
        <v>186</v>
      </c>
      <c r="C60" s="151" t="s">
        <v>422</v>
      </c>
      <c r="D60" s="150" t="s">
        <v>188</v>
      </c>
      <c r="E60" s="151"/>
      <c r="F60" s="152">
        <v>10</v>
      </c>
      <c r="G60" s="153">
        <v>10</v>
      </c>
      <c r="H60" s="153">
        <v>10</v>
      </c>
      <c r="I60" s="153">
        <v>10</v>
      </c>
      <c r="J60" s="153">
        <v>10</v>
      </c>
      <c r="K60" s="153">
        <v>10</v>
      </c>
      <c r="L60" s="153">
        <v>10</v>
      </c>
      <c r="M60" s="153">
        <v>10</v>
      </c>
      <c r="N60" s="153">
        <v>10</v>
      </c>
      <c r="O60" s="153">
        <v>10</v>
      </c>
      <c r="P60" s="153">
        <v>10</v>
      </c>
      <c r="Q60" s="153">
        <v>10</v>
      </c>
      <c r="R60" s="153">
        <v>120</v>
      </c>
      <c r="S60" s="154"/>
      <c r="T60" s="155" t="s">
        <v>486</v>
      </c>
      <c r="U60" s="156"/>
      <c r="V60" s="199"/>
      <c r="W60" s="173"/>
      <c r="X60" s="8"/>
      <c r="Y60" s="8"/>
      <c r="Z60" s="8"/>
    </row>
    <row r="61" spans="1:26" ht="15.75" customHeight="1" x14ac:dyDescent="0.3">
      <c r="A61" s="22">
        <v>55</v>
      </c>
      <c r="B61" s="45" t="s">
        <v>190</v>
      </c>
      <c r="C61" s="175" t="s">
        <v>526</v>
      </c>
      <c r="D61" s="45" t="s">
        <v>192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41"/>
      <c r="T61" s="8"/>
      <c r="U61" s="8"/>
      <c r="V61" s="8"/>
      <c r="W61" s="8"/>
      <c r="X61" s="8"/>
      <c r="Y61" s="8"/>
      <c r="Z61" s="8"/>
    </row>
    <row r="62" spans="1:26" ht="15.75" customHeight="1" x14ac:dyDescent="0.3">
      <c r="A62" s="22">
        <v>56</v>
      </c>
      <c r="B62" s="45" t="s">
        <v>193</v>
      </c>
      <c r="C62" s="175" t="s">
        <v>527</v>
      </c>
      <c r="D62" s="45" t="s">
        <v>195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41"/>
      <c r="T62" s="8"/>
      <c r="U62" s="8"/>
      <c r="V62" s="8"/>
      <c r="W62" s="8"/>
      <c r="X62" s="8"/>
      <c r="Y62" s="8"/>
      <c r="Z62" s="8"/>
    </row>
    <row r="63" spans="1:26" ht="15.75" customHeight="1" x14ac:dyDescent="0.3">
      <c r="A63" s="22">
        <v>57</v>
      </c>
      <c r="B63" s="45" t="s">
        <v>198</v>
      </c>
      <c r="C63" s="30" t="s">
        <v>199</v>
      </c>
      <c r="D63" s="45" t="s">
        <v>200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41"/>
      <c r="T63" s="8"/>
      <c r="U63" s="8"/>
      <c r="V63" s="8"/>
      <c r="W63" s="8"/>
      <c r="X63" s="8"/>
      <c r="Y63" s="8"/>
      <c r="Z63" s="8"/>
    </row>
    <row r="64" spans="1:26" ht="15.75" customHeight="1" x14ac:dyDescent="0.3">
      <c r="A64" s="22">
        <v>58</v>
      </c>
      <c r="B64" s="45" t="s">
        <v>202</v>
      </c>
      <c r="C64" s="32" t="s">
        <v>203</v>
      </c>
      <c r="D64" s="45" t="s">
        <v>204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41"/>
      <c r="T64" s="8"/>
      <c r="U64" s="8"/>
      <c r="V64" s="8"/>
      <c r="W64" s="8"/>
      <c r="X64" s="8"/>
      <c r="Y64" s="8"/>
      <c r="Z64" s="8"/>
    </row>
    <row r="65" spans="1:26" ht="15.75" customHeight="1" x14ac:dyDescent="0.3">
      <c r="A65" s="22">
        <v>59</v>
      </c>
      <c r="B65" s="45" t="s">
        <v>205</v>
      </c>
      <c r="C65" s="32" t="s">
        <v>206</v>
      </c>
      <c r="D65" s="45" t="s">
        <v>207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41"/>
      <c r="T65" s="8"/>
      <c r="U65" s="8"/>
      <c r="V65" s="8"/>
      <c r="W65" s="8"/>
      <c r="X65" s="8"/>
      <c r="Y65" s="8"/>
      <c r="Z65" s="8"/>
    </row>
    <row r="66" spans="1:26" ht="15.75" customHeight="1" x14ac:dyDescent="0.3">
      <c r="A66" s="22">
        <v>60</v>
      </c>
      <c r="B66" s="45" t="s">
        <v>208</v>
      </c>
      <c r="C66" s="32" t="s">
        <v>209</v>
      </c>
      <c r="D66" s="45" t="s">
        <v>210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41"/>
      <c r="T66" s="8"/>
      <c r="U66" s="8"/>
      <c r="V66" s="8"/>
      <c r="W66" s="8"/>
      <c r="X66" s="8"/>
      <c r="Y66" s="8"/>
      <c r="Z66" s="8"/>
    </row>
    <row r="67" spans="1:26" ht="15.75" customHeight="1" x14ac:dyDescent="0.3">
      <c r="A67" s="22">
        <v>61</v>
      </c>
      <c r="B67" s="45" t="s">
        <v>211</v>
      </c>
      <c r="C67" s="18" t="s">
        <v>212</v>
      </c>
      <c r="D67" s="45" t="s">
        <v>213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41"/>
      <c r="T67" s="8"/>
      <c r="U67" s="8"/>
      <c r="V67" s="8"/>
      <c r="W67" s="8"/>
      <c r="X67" s="8"/>
      <c r="Y67" s="8"/>
      <c r="Z67" s="8"/>
    </row>
    <row r="68" spans="1:26" ht="15.75" customHeight="1" x14ac:dyDescent="0.3">
      <c r="A68" s="22">
        <v>62</v>
      </c>
      <c r="B68" s="45" t="s">
        <v>214</v>
      </c>
      <c r="C68" s="214" t="s">
        <v>528</v>
      </c>
      <c r="D68" s="93" t="s">
        <v>216</v>
      </c>
      <c r="E68" s="91"/>
      <c r="F68" s="91">
        <v>10</v>
      </c>
      <c r="G68" s="91">
        <v>10</v>
      </c>
      <c r="H68" s="91">
        <v>10</v>
      </c>
      <c r="I68" s="91">
        <v>10</v>
      </c>
      <c r="J68" s="91">
        <v>10</v>
      </c>
      <c r="K68" s="91">
        <v>10</v>
      </c>
      <c r="L68" s="91">
        <v>10</v>
      </c>
      <c r="M68" s="91">
        <v>10</v>
      </c>
      <c r="N68" s="91">
        <v>10</v>
      </c>
      <c r="O68" s="91">
        <v>10</v>
      </c>
      <c r="P68" s="91">
        <v>10</v>
      </c>
      <c r="Q68" s="91">
        <v>10</v>
      </c>
      <c r="R68" s="91">
        <f>SUM(F68:Q68)</f>
        <v>120</v>
      </c>
      <c r="S68" s="215" t="s">
        <v>529</v>
      </c>
      <c r="T68" s="216"/>
      <c r="U68" s="216"/>
      <c r="V68" s="8"/>
      <c r="W68" s="8"/>
      <c r="X68" s="8"/>
      <c r="Y68" s="8"/>
      <c r="Z68" s="8"/>
    </row>
    <row r="69" spans="1:26" ht="15.75" customHeight="1" x14ac:dyDescent="0.3">
      <c r="A69" s="22">
        <v>63</v>
      </c>
      <c r="B69" s="45" t="s">
        <v>217</v>
      </c>
      <c r="C69" s="32" t="s">
        <v>218</v>
      </c>
      <c r="D69" s="45" t="s">
        <v>219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41"/>
      <c r="T69" s="8"/>
      <c r="U69" s="8"/>
      <c r="V69" s="8"/>
      <c r="W69" s="8"/>
      <c r="X69" s="8"/>
      <c r="Y69" s="8"/>
      <c r="Z69" s="8"/>
    </row>
    <row r="70" spans="1:26" ht="15.75" customHeight="1" x14ac:dyDescent="0.3">
      <c r="A70" s="22">
        <v>64</v>
      </c>
      <c r="B70" s="45" t="s">
        <v>220</v>
      </c>
      <c r="C70" s="18" t="s">
        <v>221</v>
      </c>
      <c r="D70" s="45" t="s">
        <v>222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41"/>
      <c r="T70" s="8"/>
      <c r="U70" s="8"/>
      <c r="V70" s="8"/>
      <c r="W70" s="8"/>
      <c r="X70" s="8"/>
      <c r="Y70" s="8"/>
      <c r="Z70" s="8"/>
    </row>
    <row r="71" spans="1:26" ht="15.75" customHeight="1" x14ac:dyDescent="0.3">
      <c r="A71" s="22">
        <v>65</v>
      </c>
      <c r="B71" s="45" t="s">
        <v>223</v>
      </c>
      <c r="C71" s="30" t="s">
        <v>530</v>
      </c>
      <c r="D71" s="45" t="s">
        <v>225</v>
      </c>
      <c r="E71" s="18"/>
      <c r="F71" s="184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41"/>
      <c r="T71" s="8"/>
      <c r="U71" s="8"/>
      <c r="V71" s="8"/>
      <c r="W71" s="8"/>
      <c r="X71" s="8"/>
      <c r="Y71" s="8"/>
      <c r="Z71" s="8"/>
    </row>
    <row r="72" spans="1:26" ht="15.75" customHeight="1" x14ac:dyDescent="0.3">
      <c r="A72" s="22">
        <v>66</v>
      </c>
      <c r="B72" s="45" t="s">
        <v>226</v>
      </c>
      <c r="C72" s="18" t="s">
        <v>468</v>
      </c>
      <c r="D72" s="45" t="s">
        <v>228</v>
      </c>
      <c r="E72" s="18"/>
      <c r="F72" s="184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41"/>
      <c r="T72" s="8"/>
      <c r="U72" s="8"/>
      <c r="V72" s="8"/>
    </row>
    <row r="73" spans="1:26" ht="15.75" customHeight="1" x14ac:dyDescent="0.3">
      <c r="A73" s="169">
        <v>67</v>
      </c>
      <c r="B73" s="150" t="s">
        <v>230</v>
      </c>
      <c r="C73" s="217" t="s">
        <v>531</v>
      </c>
      <c r="D73" s="150" t="s">
        <v>232</v>
      </c>
      <c r="E73" s="151"/>
      <c r="F73" s="152">
        <v>10</v>
      </c>
      <c r="G73" s="153">
        <v>10</v>
      </c>
      <c r="H73" s="153">
        <v>10</v>
      </c>
      <c r="I73" s="153">
        <v>10</v>
      </c>
      <c r="J73" s="153">
        <v>10</v>
      </c>
      <c r="K73" s="153">
        <v>10</v>
      </c>
      <c r="L73" s="153">
        <v>10</v>
      </c>
      <c r="M73" s="153">
        <v>10</v>
      </c>
      <c r="N73" s="153">
        <v>10</v>
      </c>
      <c r="O73" s="153">
        <v>10</v>
      </c>
      <c r="P73" s="153">
        <v>10</v>
      </c>
      <c r="Q73" s="153">
        <v>10</v>
      </c>
      <c r="R73" s="153">
        <v>120</v>
      </c>
      <c r="S73" s="154"/>
      <c r="T73" s="155" t="s">
        <v>486</v>
      </c>
      <c r="U73" s="156"/>
      <c r="V73" s="199"/>
      <c r="W73" s="158"/>
    </row>
    <row r="74" spans="1:26" ht="15.75" customHeight="1" x14ac:dyDescent="0.3">
      <c r="A74" s="22">
        <v>68</v>
      </c>
      <c r="B74" s="45" t="s">
        <v>233</v>
      </c>
      <c r="C74" s="18" t="s">
        <v>469</v>
      </c>
      <c r="D74" s="45" t="s">
        <v>235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41"/>
      <c r="T74" s="8"/>
      <c r="U74" s="8"/>
      <c r="V74" s="8"/>
    </row>
    <row r="75" spans="1:26" ht="15.75" customHeight="1" x14ac:dyDescent="0.3">
      <c r="A75" s="22">
        <v>69</v>
      </c>
      <c r="B75" s="45" t="s">
        <v>236</v>
      </c>
      <c r="C75" s="32" t="s">
        <v>532</v>
      </c>
      <c r="D75" s="45" t="s">
        <v>238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41"/>
    </row>
    <row r="76" spans="1:26" ht="15.75" customHeight="1" x14ac:dyDescent="0.3">
      <c r="A76" s="22">
        <v>70</v>
      </c>
      <c r="B76" s="45" t="s">
        <v>239</v>
      </c>
      <c r="C76" s="32" t="s">
        <v>240</v>
      </c>
      <c r="D76" s="45" t="s">
        <v>241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41"/>
    </row>
    <row r="77" spans="1:26" ht="15.75" customHeight="1" x14ac:dyDescent="0.3">
      <c r="A77" s="22">
        <v>71</v>
      </c>
      <c r="B77" s="45" t="s">
        <v>242</v>
      </c>
      <c r="C77" s="18" t="s">
        <v>243</v>
      </c>
      <c r="D77" s="45" t="s">
        <v>244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41"/>
    </row>
    <row r="78" spans="1:26" ht="15.75" customHeight="1" x14ac:dyDescent="0.3">
      <c r="A78" s="22">
        <v>72</v>
      </c>
      <c r="B78" s="45" t="s">
        <v>245</v>
      </c>
      <c r="C78" s="18" t="s">
        <v>246</v>
      </c>
      <c r="D78" s="45" t="s">
        <v>247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41"/>
      <c r="T78" s="8"/>
      <c r="U78" s="8"/>
    </row>
    <row r="79" spans="1:26" ht="15.75" customHeight="1" x14ac:dyDescent="0.3">
      <c r="A79" s="169">
        <v>73</v>
      </c>
      <c r="B79" s="170" t="s">
        <v>248</v>
      </c>
      <c r="C79" s="171" t="s">
        <v>249</v>
      </c>
      <c r="D79" s="170" t="s">
        <v>250</v>
      </c>
      <c r="E79" s="171"/>
      <c r="F79" s="171">
        <v>10</v>
      </c>
      <c r="G79" s="171">
        <v>10</v>
      </c>
      <c r="H79" s="171">
        <v>10</v>
      </c>
      <c r="I79" s="171">
        <v>10</v>
      </c>
      <c r="J79" s="171">
        <v>10</v>
      </c>
      <c r="K79" s="171">
        <v>10</v>
      </c>
      <c r="L79" s="171">
        <v>10</v>
      </c>
      <c r="M79" s="171">
        <v>10</v>
      </c>
      <c r="N79" s="171">
        <v>10</v>
      </c>
      <c r="O79" s="171">
        <v>10</v>
      </c>
      <c r="P79" s="171">
        <v>10</v>
      </c>
      <c r="Q79" s="171">
        <v>10</v>
      </c>
      <c r="R79" s="171">
        <f>SUM(F79:Q79)</f>
        <v>120</v>
      </c>
      <c r="S79" s="172"/>
      <c r="T79" s="155" t="s">
        <v>499</v>
      </c>
      <c r="U79" s="173"/>
      <c r="V79" s="173"/>
      <c r="W79" s="158"/>
    </row>
    <row r="80" spans="1:26" ht="15.75" customHeight="1" x14ac:dyDescent="0.3">
      <c r="A80" s="22">
        <v>74</v>
      </c>
      <c r="B80" s="45" t="s">
        <v>251</v>
      </c>
      <c r="C80" s="18" t="s">
        <v>252</v>
      </c>
      <c r="D80" s="45" t="s">
        <v>253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41"/>
    </row>
    <row r="81" spans="1:24" ht="15.75" customHeight="1" x14ac:dyDescent="0.3">
      <c r="A81" s="218">
        <v>75</v>
      </c>
      <c r="B81" s="78" t="s">
        <v>254</v>
      </c>
      <c r="C81" s="79" t="s">
        <v>255</v>
      </c>
      <c r="D81" s="78" t="s">
        <v>256</v>
      </c>
      <c r="E81" s="79"/>
      <c r="F81" s="171">
        <v>10</v>
      </c>
      <c r="G81" s="171">
        <v>10</v>
      </c>
      <c r="H81" s="171">
        <v>10</v>
      </c>
      <c r="I81" s="171">
        <v>10</v>
      </c>
      <c r="J81" s="171">
        <v>10</v>
      </c>
      <c r="K81" s="79">
        <v>10</v>
      </c>
      <c r="L81" s="79">
        <v>10</v>
      </c>
      <c r="M81" s="79">
        <v>10</v>
      </c>
      <c r="N81" s="79">
        <v>10</v>
      </c>
      <c r="O81" s="79">
        <v>10</v>
      </c>
      <c r="P81" s="79">
        <v>10</v>
      </c>
      <c r="Q81" s="79">
        <v>10</v>
      </c>
      <c r="R81" s="79">
        <f>SUM(F81:Q81)</f>
        <v>120</v>
      </c>
      <c r="S81" s="219" t="s">
        <v>533</v>
      </c>
      <c r="T81" s="220"/>
      <c r="U81" s="220"/>
      <c r="V81" s="220"/>
      <c r="W81" s="220"/>
      <c r="X81" s="220"/>
    </row>
    <row r="82" spans="1:24" ht="15.75" customHeight="1" x14ac:dyDescent="0.3">
      <c r="A82" s="22">
        <v>76</v>
      </c>
      <c r="B82" s="45" t="s">
        <v>257</v>
      </c>
      <c r="C82" s="18" t="s">
        <v>258</v>
      </c>
      <c r="D82" s="45" t="s">
        <v>259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41"/>
    </row>
    <row r="83" spans="1:24" ht="15.75" customHeight="1" x14ac:dyDescent="0.3">
      <c r="A83" s="22">
        <v>77</v>
      </c>
      <c r="B83" s="45" t="s">
        <v>260</v>
      </c>
      <c r="C83" s="30" t="s">
        <v>261</v>
      </c>
      <c r="D83" s="45" t="s">
        <v>262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41"/>
    </row>
    <row r="84" spans="1:24" ht="15.75" customHeight="1" x14ac:dyDescent="0.3">
      <c r="A84" s="22">
        <v>78</v>
      </c>
      <c r="B84" s="45" t="s">
        <v>263</v>
      </c>
      <c r="C84" s="18" t="s">
        <v>264</v>
      </c>
      <c r="D84" s="45" t="s">
        <v>265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41"/>
    </row>
    <row r="85" spans="1:24" ht="15.75" customHeight="1" x14ac:dyDescent="0.3">
      <c r="A85" s="22">
        <v>79</v>
      </c>
      <c r="B85" s="45" t="s">
        <v>266</v>
      </c>
      <c r="C85" s="32" t="s">
        <v>267</v>
      </c>
      <c r="D85" s="45" t="s">
        <v>45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41"/>
    </row>
    <row r="86" spans="1:24" ht="15.75" customHeight="1" x14ac:dyDescent="0.3">
      <c r="A86" s="22">
        <v>80</v>
      </c>
      <c r="B86" s="45" t="s">
        <v>268</v>
      </c>
      <c r="C86" s="175" t="s">
        <v>534</v>
      </c>
      <c r="D86" s="45" t="s">
        <v>270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41"/>
    </row>
    <row r="87" spans="1:24" ht="15.75" customHeight="1" x14ac:dyDescent="0.3">
      <c r="A87" s="22">
        <v>81</v>
      </c>
      <c r="B87" s="45" t="s">
        <v>272</v>
      </c>
      <c r="C87" s="18" t="s">
        <v>381</v>
      </c>
      <c r="D87" s="45" t="s">
        <v>382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41"/>
    </row>
    <row r="88" spans="1:24" ht="15.75" customHeight="1" x14ac:dyDescent="0.3">
      <c r="A88" s="22">
        <v>82</v>
      </c>
      <c r="B88" s="45" t="s">
        <v>273</v>
      </c>
      <c r="C88" s="18" t="s">
        <v>383</v>
      </c>
      <c r="D88" s="45" t="s">
        <v>384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41"/>
    </row>
    <row r="89" spans="1:24" ht="15.75" customHeight="1" x14ac:dyDescent="0.3">
      <c r="A89" s="221">
        <v>83</v>
      </c>
      <c r="B89" s="222" t="s">
        <v>274</v>
      </c>
      <c r="C89" s="223" t="s">
        <v>275</v>
      </c>
      <c r="D89" s="222" t="s">
        <v>276</v>
      </c>
      <c r="E89" s="224"/>
      <c r="F89" s="225">
        <v>10</v>
      </c>
      <c r="G89" s="225">
        <v>10</v>
      </c>
      <c r="H89" s="225">
        <v>10</v>
      </c>
      <c r="I89" s="225">
        <v>10</v>
      </c>
      <c r="J89" s="225">
        <v>10</v>
      </c>
      <c r="K89" s="225">
        <v>10</v>
      </c>
      <c r="L89" s="225">
        <v>10</v>
      </c>
      <c r="M89" s="225">
        <v>10</v>
      </c>
      <c r="N89" s="225">
        <v>10</v>
      </c>
      <c r="O89" s="225">
        <v>10</v>
      </c>
      <c r="P89" s="225">
        <v>10</v>
      </c>
      <c r="Q89" s="225">
        <v>10</v>
      </c>
      <c r="R89" s="225">
        <v>120</v>
      </c>
      <c r="S89" s="226"/>
      <c r="T89" s="190" t="s">
        <v>535</v>
      </c>
      <c r="U89" s="190"/>
      <c r="V89" s="173"/>
      <c r="W89" s="158"/>
    </row>
    <row r="90" spans="1:24" ht="15.75" customHeight="1" x14ac:dyDescent="0.3">
      <c r="A90" s="227">
        <v>84</v>
      </c>
      <c r="B90" s="228" t="s">
        <v>277</v>
      </c>
      <c r="C90" s="229" t="s">
        <v>385</v>
      </c>
      <c r="D90" s="228" t="s">
        <v>386</v>
      </c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</row>
    <row r="91" spans="1:24" ht="15.75" customHeight="1" x14ac:dyDescent="0.3">
      <c r="A91" s="227">
        <v>85</v>
      </c>
      <c r="B91" s="228" t="s">
        <v>278</v>
      </c>
      <c r="C91" s="230"/>
      <c r="D91" s="228"/>
      <c r="E91" s="230"/>
      <c r="F91" s="230"/>
      <c r="G91" s="230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41"/>
    </row>
    <row r="92" spans="1:24" ht="15.75" customHeight="1" x14ac:dyDescent="0.3">
      <c r="A92" s="231">
        <v>86</v>
      </c>
      <c r="B92" s="232" t="s">
        <v>279</v>
      </c>
      <c r="C92" s="233" t="s">
        <v>389</v>
      </c>
      <c r="D92" s="232" t="s">
        <v>390</v>
      </c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41"/>
    </row>
    <row r="93" spans="1:24" ht="15.75" customHeight="1" x14ac:dyDescent="0.3">
      <c r="A93" s="22">
        <v>87</v>
      </c>
      <c r="B93" s="45" t="s">
        <v>280</v>
      </c>
      <c r="C93" s="18"/>
      <c r="D93" s="45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41"/>
    </row>
    <row r="94" spans="1:24" ht="15.75" customHeight="1" x14ac:dyDescent="0.3">
      <c r="A94" s="106">
        <v>88</v>
      </c>
      <c r="B94" s="107" t="s">
        <v>281</v>
      </c>
      <c r="C94" s="108" t="s">
        <v>282</v>
      </c>
      <c r="D94" s="107" t="s">
        <v>283</v>
      </c>
      <c r="E94" s="110"/>
      <c r="F94" s="110">
        <v>10</v>
      </c>
      <c r="G94" s="110">
        <v>10</v>
      </c>
      <c r="H94" s="110">
        <v>10</v>
      </c>
      <c r="I94" s="110">
        <v>10</v>
      </c>
      <c r="J94" s="110">
        <v>10</v>
      </c>
      <c r="K94" s="110">
        <v>10</v>
      </c>
      <c r="L94" s="110">
        <v>10</v>
      </c>
      <c r="M94" s="110">
        <v>10</v>
      </c>
      <c r="N94" s="110">
        <v>10</v>
      </c>
      <c r="O94" s="110">
        <v>10</v>
      </c>
      <c r="P94" s="110">
        <v>10</v>
      </c>
      <c r="Q94" s="110">
        <v>10</v>
      </c>
      <c r="R94" s="110">
        <f>SUM(E94:Q94)</f>
        <v>120</v>
      </c>
      <c r="S94" s="234" t="s">
        <v>444</v>
      </c>
      <c r="T94" s="112"/>
    </row>
    <row r="95" spans="1:24" ht="15.75" customHeight="1" x14ac:dyDescent="0.3">
      <c r="A95" s="22">
        <v>89</v>
      </c>
      <c r="B95" s="45" t="s">
        <v>284</v>
      </c>
      <c r="C95" s="18"/>
      <c r="D95" s="45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41"/>
    </row>
    <row r="96" spans="1:24" ht="15.75" customHeight="1" x14ac:dyDescent="0.3">
      <c r="A96" s="22">
        <v>90</v>
      </c>
      <c r="B96" s="45" t="s">
        <v>285</v>
      </c>
      <c r="C96" s="18"/>
      <c r="D96" s="45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41"/>
      <c r="U96" s="8" t="s">
        <v>472</v>
      </c>
      <c r="V96" s="8">
        <v>33</v>
      </c>
    </row>
    <row r="97" spans="1:22" ht="15.75" customHeight="1" x14ac:dyDescent="0.3">
      <c r="A97" s="22">
        <v>91</v>
      </c>
      <c r="B97" s="45" t="s">
        <v>286</v>
      </c>
      <c r="C97" s="18"/>
      <c r="D97" s="45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41"/>
      <c r="U97" s="8" t="s">
        <v>473</v>
      </c>
      <c r="V97" s="8">
        <v>98</v>
      </c>
    </row>
    <row r="98" spans="1:22" ht="15.75" customHeight="1" x14ac:dyDescent="0.3">
      <c r="A98" s="22">
        <v>92</v>
      </c>
      <c r="B98" s="45" t="s">
        <v>287</v>
      </c>
      <c r="C98" s="18"/>
      <c r="D98" s="45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41"/>
    </row>
    <row r="99" spans="1:22" ht="15.75" customHeight="1" x14ac:dyDescent="0.3">
      <c r="A99" s="22">
        <v>93</v>
      </c>
      <c r="B99" s="45" t="s">
        <v>288</v>
      </c>
      <c r="C99" s="18"/>
      <c r="D99" s="45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41"/>
    </row>
    <row r="100" spans="1:22" ht="15.75" customHeight="1" x14ac:dyDescent="0.3">
      <c r="A100" s="22">
        <v>94</v>
      </c>
      <c r="B100" s="45" t="s">
        <v>289</v>
      </c>
      <c r="C100" s="18"/>
      <c r="D100" s="45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41"/>
    </row>
    <row r="101" spans="1:22" ht="15.75" customHeight="1" x14ac:dyDescent="0.3">
      <c r="A101" s="22">
        <v>95</v>
      </c>
      <c r="B101" s="45" t="s">
        <v>290</v>
      </c>
      <c r="C101" s="18"/>
      <c r="D101" s="45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41"/>
    </row>
    <row r="102" spans="1:22" ht="15.75" customHeight="1" x14ac:dyDescent="0.3">
      <c r="A102" s="22">
        <v>96</v>
      </c>
      <c r="B102" s="45" t="s">
        <v>291</v>
      </c>
      <c r="C102" s="18"/>
      <c r="D102" s="45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41"/>
    </row>
    <row r="103" spans="1:22" ht="15.75" customHeight="1" x14ac:dyDescent="0.3">
      <c r="A103" s="22">
        <v>97</v>
      </c>
      <c r="B103" s="45" t="s">
        <v>292</v>
      </c>
      <c r="C103" s="18"/>
      <c r="D103" s="45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41"/>
    </row>
    <row r="104" spans="1:22" ht="15.75" customHeight="1" x14ac:dyDescent="0.3">
      <c r="A104" s="22">
        <v>98</v>
      </c>
      <c r="B104" s="45" t="s">
        <v>293</v>
      </c>
      <c r="C104" s="18"/>
      <c r="D104" s="45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41"/>
    </row>
    <row r="105" spans="1:22" ht="15.75" customHeight="1" x14ac:dyDescent="0.3">
      <c r="A105" s="22">
        <v>99</v>
      </c>
      <c r="B105" s="45" t="s">
        <v>294</v>
      </c>
      <c r="C105" s="18"/>
      <c r="D105" s="45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41"/>
    </row>
    <row r="106" spans="1:22" ht="15.75" customHeight="1" x14ac:dyDescent="0.3">
      <c r="A106" s="22">
        <v>100</v>
      </c>
      <c r="B106" s="45" t="s">
        <v>295</v>
      </c>
      <c r="C106" s="18"/>
      <c r="D106" s="45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41"/>
    </row>
    <row r="107" spans="1:22" ht="15.75" customHeight="1" x14ac:dyDescent="0.3">
      <c r="A107" s="22">
        <v>101</v>
      </c>
      <c r="B107" s="45" t="s">
        <v>296</v>
      </c>
      <c r="C107" s="18"/>
      <c r="D107" s="45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41"/>
    </row>
    <row r="108" spans="1:22" ht="15.75" customHeight="1" x14ac:dyDescent="0.3">
      <c r="A108" s="22">
        <v>102</v>
      </c>
      <c r="B108" s="45" t="s">
        <v>297</v>
      </c>
      <c r="C108" s="18"/>
      <c r="D108" s="45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41"/>
    </row>
    <row r="109" spans="1:22" ht="15.75" customHeight="1" x14ac:dyDescent="0.3">
      <c r="A109" s="22">
        <v>103</v>
      </c>
      <c r="B109" s="45" t="s">
        <v>298</v>
      </c>
      <c r="C109" s="18"/>
      <c r="D109" s="45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41"/>
    </row>
    <row r="110" spans="1:22" ht="15.75" customHeight="1" x14ac:dyDescent="0.3">
      <c r="A110" s="22">
        <v>104</v>
      </c>
      <c r="B110" s="45" t="s">
        <v>299</v>
      </c>
      <c r="C110" s="18"/>
      <c r="D110" s="45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41"/>
    </row>
    <row r="111" spans="1:22" ht="15.75" customHeight="1" x14ac:dyDescent="0.3">
      <c r="A111" s="22">
        <v>105</v>
      </c>
      <c r="B111" s="45" t="s">
        <v>300</v>
      </c>
      <c r="C111" s="18" t="s">
        <v>301</v>
      </c>
      <c r="D111" s="45" t="s">
        <v>302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41"/>
      <c r="T111" s="8"/>
      <c r="U111" s="8"/>
    </row>
    <row r="112" spans="1:22" ht="15.75" customHeight="1" x14ac:dyDescent="0.3">
      <c r="A112" s="22">
        <v>106</v>
      </c>
      <c r="B112" s="45" t="s">
        <v>303</v>
      </c>
      <c r="C112" s="18"/>
      <c r="D112" s="45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41"/>
    </row>
    <row r="113" spans="1:23" ht="15.75" customHeight="1" x14ac:dyDescent="0.3">
      <c r="A113" s="22">
        <v>107</v>
      </c>
      <c r="B113" s="45" t="s">
        <v>304</v>
      </c>
      <c r="C113" s="18"/>
      <c r="D113" s="45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41"/>
    </row>
    <row r="114" spans="1:23" ht="15.75" customHeight="1" x14ac:dyDescent="0.3">
      <c r="A114" s="22">
        <v>108</v>
      </c>
      <c r="B114" s="45" t="s">
        <v>305</v>
      </c>
      <c r="C114" s="18"/>
      <c r="D114" s="45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41"/>
    </row>
    <row r="115" spans="1:23" ht="15.75" customHeight="1" x14ac:dyDescent="0.3">
      <c r="A115" s="22">
        <v>109</v>
      </c>
      <c r="B115" s="45" t="s">
        <v>306</v>
      </c>
      <c r="C115" s="18"/>
      <c r="D115" s="45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41"/>
    </row>
    <row r="116" spans="1:23" ht="15.75" customHeight="1" x14ac:dyDescent="0.3">
      <c r="A116" s="22">
        <v>110</v>
      </c>
      <c r="B116" s="45" t="s">
        <v>307</v>
      </c>
      <c r="C116" s="18"/>
      <c r="D116" s="45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41"/>
    </row>
    <row r="117" spans="1:23" ht="15.75" customHeight="1" x14ac:dyDescent="0.3">
      <c r="A117" s="90">
        <v>111</v>
      </c>
      <c r="B117" s="93" t="s">
        <v>308</v>
      </c>
      <c r="C117" s="196" t="s">
        <v>309</v>
      </c>
      <c r="D117" s="93" t="s">
        <v>310</v>
      </c>
      <c r="E117" s="91"/>
      <c r="F117" s="91">
        <v>10</v>
      </c>
      <c r="G117" s="91">
        <v>10</v>
      </c>
      <c r="H117" s="91">
        <v>10</v>
      </c>
      <c r="I117" s="91">
        <v>10</v>
      </c>
      <c r="J117" s="91">
        <v>10</v>
      </c>
      <c r="K117" s="91">
        <v>10</v>
      </c>
      <c r="L117" s="91">
        <v>10</v>
      </c>
      <c r="M117" s="91">
        <v>10</v>
      </c>
      <c r="N117" s="91">
        <v>10</v>
      </c>
      <c r="O117" s="91">
        <v>10</v>
      </c>
      <c r="P117" s="91">
        <v>10</v>
      </c>
      <c r="Q117" s="91">
        <v>10</v>
      </c>
      <c r="R117" s="91">
        <f>SUM(F117:Q117)</f>
        <v>120</v>
      </c>
      <c r="S117" s="235"/>
      <c r="T117" s="236" t="s">
        <v>536</v>
      </c>
      <c r="U117" s="95"/>
      <c r="V117" s="95"/>
      <c r="W117" s="96"/>
    </row>
    <row r="118" spans="1:23" ht="15.75" customHeight="1" x14ac:dyDescent="0.3">
      <c r="A118" s="147">
        <v>112</v>
      </c>
      <c r="B118" s="150" t="s">
        <v>311</v>
      </c>
      <c r="C118" s="151" t="s">
        <v>475</v>
      </c>
      <c r="D118" s="150" t="s">
        <v>476</v>
      </c>
      <c r="E118" s="151"/>
      <c r="F118" s="152">
        <v>10</v>
      </c>
      <c r="G118" s="153">
        <v>10</v>
      </c>
      <c r="H118" s="153">
        <v>10</v>
      </c>
      <c r="I118" s="153">
        <v>10</v>
      </c>
      <c r="J118" s="153">
        <v>10</v>
      </c>
      <c r="K118" s="153">
        <v>10</v>
      </c>
      <c r="L118" s="153">
        <v>10</v>
      </c>
      <c r="M118" s="153">
        <v>10</v>
      </c>
      <c r="N118" s="153">
        <v>10</v>
      </c>
      <c r="O118" s="153">
        <v>10</v>
      </c>
      <c r="P118" s="153">
        <v>10</v>
      </c>
      <c r="Q118" s="153">
        <v>10</v>
      </c>
      <c r="R118" s="153">
        <v>120</v>
      </c>
      <c r="S118" s="154"/>
      <c r="T118" s="155" t="s">
        <v>486</v>
      </c>
      <c r="U118" s="156"/>
      <c r="V118" s="173"/>
      <c r="W118" s="158"/>
    </row>
    <row r="119" spans="1:23" ht="15.75" customHeight="1" x14ac:dyDescent="0.3">
      <c r="A119" s="22">
        <v>113</v>
      </c>
      <c r="B119" s="45" t="s">
        <v>312</v>
      </c>
      <c r="C119" s="18"/>
      <c r="D119" s="45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41"/>
    </row>
    <row r="120" spans="1:23" ht="15.75" customHeight="1" x14ac:dyDescent="0.3">
      <c r="A120" s="22">
        <v>114</v>
      </c>
      <c r="B120" s="45" t="s">
        <v>313</v>
      </c>
      <c r="C120" s="18"/>
      <c r="D120" s="45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41"/>
    </row>
    <row r="121" spans="1:23" ht="15.75" customHeight="1" x14ac:dyDescent="0.3">
      <c r="A121" s="22">
        <v>115</v>
      </c>
      <c r="B121" s="45" t="s">
        <v>314</v>
      </c>
      <c r="C121" s="18"/>
      <c r="D121" s="45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41"/>
    </row>
    <row r="122" spans="1:23" ht="15.75" customHeight="1" x14ac:dyDescent="0.3">
      <c r="A122" s="22">
        <v>116</v>
      </c>
      <c r="B122" s="45" t="s">
        <v>315</v>
      </c>
      <c r="C122" s="18"/>
      <c r="D122" s="45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41"/>
    </row>
    <row r="123" spans="1:23" ht="15.75" customHeight="1" x14ac:dyDescent="0.3">
      <c r="A123" s="22">
        <v>117</v>
      </c>
      <c r="B123" s="45" t="s">
        <v>316</v>
      </c>
      <c r="C123" s="18"/>
      <c r="D123" s="45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41"/>
    </row>
    <row r="124" spans="1:23" ht="15.75" customHeight="1" x14ac:dyDescent="0.3">
      <c r="A124" s="22">
        <v>118</v>
      </c>
      <c r="B124" s="45" t="s">
        <v>317</v>
      </c>
      <c r="C124" s="18"/>
      <c r="D124" s="45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41"/>
    </row>
    <row r="125" spans="1:23" ht="15.75" customHeight="1" x14ac:dyDescent="0.3">
      <c r="A125" s="22">
        <v>119</v>
      </c>
      <c r="B125" s="45" t="s">
        <v>318</v>
      </c>
      <c r="C125" s="18"/>
      <c r="D125" s="45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41"/>
    </row>
    <row r="126" spans="1:23" ht="15.75" customHeight="1" x14ac:dyDescent="0.3">
      <c r="A126" s="165">
        <v>120</v>
      </c>
      <c r="B126" s="166" t="s">
        <v>319</v>
      </c>
      <c r="C126" s="179" t="s">
        <v>537</v>
      </c>
      <c r="D126" s="166" t="s">
        <v>538</v>
      </c>
      <c r="E126" s="167">
        <v>20</v>
      </c>
      <c r="F126" s="167">
        <v>10</v>
      </c>
      <c r="G126" s="167">
        <v>10</v>
      </c>
      <c r="H126" s="167">
        <v>10</v>
      </c>
      <c r="I126" s="167">
        <v>10</v>
      </c>
      <c r="J126" s="167">
        <v>10</v>
      </c>
      <c r="K126" s="167">
        <v>10</v>
      </c>
      <c r="L126" s="167">
        <v>10</v>
      </c>
      <c r="M126" s="167">
        <v>10</v>
      </c>
      <c r="N126" s="167">
        <v>10</v>
      </c>
      <c r="O126" s="167">
        <v>10</v>
      </c>
      <c r="P126" s="167">
        <v>10</v>
      </c>
      <c r="Q126" s="167">
        <v>10</v>
      </c>
      <c r="R126" s="167">
        <v>120</v>
      </c>
      <c r="S126" s="193">
        <v>20</v>
      </c>
      <c r="T126" s="186" t="s">
        <v>539</v>
      </c>
      <c r="U126" s="186"/>
      <c r="V126" s="195" t="s">
        <v>540</v>
      </c>
      <c r="W126" s="158"/>
    </row>
    <row r="127" spans="1:23" ht="15.75" customHeight="1" x14ac:dyDescent="0.3">
      <c r="A127" s="22">
        <v>121</v>
      </c>
      <c r="B127" s="45" t="s">
        <v>320</v>
      </c>
      <c r="C127" s="18" t="s">
        <v>321</v>
      </c>
      <c r="D127" s="45" t="s">
        <v>322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41"/>
    </row>
    <row r="128" spans="1:23" ht="15.75" customHeight="1" x14ac:dyDescent="0.3">
      <c r="A128" s="22">
        <v>122</v>
      </c>
      <c r="B128" s="45" t="s">
        <v>323</v>
      </c>
      <c r="C128" s="18"/>
      <c r="D128" s="45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41"/>
    </row>
    <row r="129" spans="1:26" ht="15.75" customHeight="1" x14ac:dyDescent="0.3">
      <c r="A129" s="165">
        <v>123</v>
      </c>
      <c r="B129" s="166" t="s">
        <v>324</v>
      </c>
      <c r="C129" s="237" t="s">
        <v>325</v>
      </c>
      <c r="D129" s="166" t="s">
        <v>326</v>
      </c>
      <c r="E129" s="167"/>
      <c r="F129" s="167">
        <v>10</v>
      </c>
      <c r="G129" s="167">
        <v>10</v>
      </c>
      <c r="H129" s="167">
        <v>10</v>
      </c>
      <c r="I129" s="167">
        <v>10</v>
      </c>
      <c r="J129" s="167">
        <v>10</v>
      </c>
      <c r="K129" s="167">
        <v>10</v>
      </c>
      <c r="L129" s="167">
        <v>10</v>
      </c>
      <c r="M129" s="167">
        <v>10</v>
      </c>
      <c r="N129" s="167">
        <v>10</v>
      </c>
      <c r="O129" s="167">
        <v>10</v>
      </c>
      <c r="P129" s="167">
        <v>10</v>
      </c>
      <c r="Q129" s="167">
        <v>10</v>
      </c>
      <c r="R129" s="167">
        <v>120</v>
      </c>
      <c r="S129" s="238"/>
      <c r="T129" s="186" t="s">
        <v>541</v>
      </c>
      <c r="U129" s="186"/>
      <c r="V129" s="158"/>
      <c r="W129" s="158"/>
    </row>
    <row r="130" spans="1:26" ht="15.75" customHeight="1" x14ac:dyDescent="0.3">
      <c r="A130" s="22">
        <v>124</v>
      </c>
      <c r="B130" s="45" t="s">
        <v>327</v>
      </c>
      <c r="C130" s="18"/>
      <c r="D130" s="45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41"/>
    </row>
    <row r="131" spans="1:26" ht="15.75" customHeight="1" x14ac:dyDescent="0.3">
      <c r="A131" s="22">
        <v>125</v>
      </c>
      <c r="B131" s="45" t="s">
        <v>328</v>
      </c>
      <c r="C131" s="175" t="s">
        <v>542</v>
      </c>
      <c r="D131" s="45" t="s">
        <v>330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41"/>
      <c r="T131" s="8"/>
      <c r="U131" s="8"/>
      <c r="V131" s="8"/>
    </row>
    <row r="132" spans="1:26" ht="15.75" customHeight="1" x14ac:dyDescent="0.3">
      <c r="A132" s="22">
        <v>126</v>
      </c>
      <c r="B132" s="45" t="s">
        <v>331</v>
      </c>
      <c r="C132" s="30" t="s">
        <v>332</v>
      </c>
      <c r="D132" s="45" t="s">
        <v>333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41"/>
    </row>
    <row r="133" spans="1:26" ht="15.75" customHeight="1" x14ac:dyDescent="0.3">
      <c r="A133" s="22">
        <v>127</v>
      </c>
      <c r="B133" s="45" t="s">
        <v>334</v>
      </c>
      <c r="C133" s="30" t="s">
        <v>335</v>
      </c>
      <c r="D133" s="45" t="s">
        <v>336</v>
      </c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41"/>
    </row>
    <row r="134" spans="1:26" ht="15.75" customHeight="1" x14ac:dyDescent="0.3">
      <c r="A134" s="169">
        <v>128</v>
      </c>
      <c r="B134" s="166" t="s">
        <v>338</v>
      </c>
      <c r="C134" s="168" t="s">
        <v>478</v>
      </c>
      <c r="D134" s="166" t="s">
        <v>479</v>
      </c>
      <c r="E134" s="167"/>
      <c r="F134" s="167">
        <v>10</v>
      </c>
      <c r="G134" s="167">
        <v>10</v>
      </c>
      <c r="H134" s="167">
        <v>10</v>
      </c>
      <c r="I134" s="167">
        <v>10</v>
      </c>
      <c r="J134" s="167">
        <v>10</v>
      </c>
      <c r="K134" s="167">
        <v>10</v>
      </c>
      <c r="L134" s="167">
        <v>10</v>
      </c>
      <c r="M134" s="167">
        <v>10</v>
      </c>
      <c r="N134" s="167">
        <v>10</v>
      </c>
      <c r="O134" s="167">
        <v>10</v>
      </c>
      <c r="P134" s="167">
        <v>10</v>
      </c>
      <c r="Q134" s="167">
        <v>10</v>
      </c>
      <c r="R134" s="167">
        <v>120</v>
      </c>
      <c r="S134" s="238"/>
      <c r="T134" s="186" t="s">
        <v>543</v>
      </c>
      <c r="U134" s="186"/>
      <c r="V134" s="158"/>
      <c r="W134" s="158"/>
    </row>
    <row r="135" spans="1:26" ht="15.75" customHeight="1" x14ac:dyDescent="0.3">
      <c r="A135" s="22">
        <v>129</v>
      </c>
      <c r="B135" s="45" t="s">
        <v>342</v>
      </c>
      <c r="C135" s="18" t="s">
        <v>343</v>
      </c>
      <c r="D135" s="45" t="s">
        <v>344</v>
      </c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41"/>
    </row>
    <row r="136" spans="1:26" ht="15.75" customHeight="1" x14ac:dyDescent="0.3">
      <c r="A136" s="239">
        <v>130</v>
      </c>
      <c r="B136" s="240" t="s">
        <v>345</v>
      </c>
      <c r="C136" s="241" t="s">
        <v>346</v>
      </c>
      <c r="D136" s="240"/>
      <c r="E136" s="241"/>
      <c r="F136" s="242">
        <v>10</v>
      </c>
      <c r="G136" s="243">
        <v>10</v>
      </c>
      <c r="H136" s="243">
        <v>10</v>
      </c>
      <c r="I136" s="243">
        <v>10</v>
      </c>
      <c r="J136" s="243">
        <v>10</v>
      </c>
      <c r="K136" s="243">
        <v>10</v>
      </c>
      <c r="L136" s="243">
        <v>10</v>
      </c>
      <c r="M136" s="243">
        <v>10</v>
      </c>
      <c r="N136" s="243">
        <v>10</v>
      </c>
      <c r="O136" s="243">
        <v>10</v>
      </c>
      <c r="P136" s="243">
        <v>10</v>
      </c>
      <c r="Q136" s="243">
        <v>10</v>
      </c>
      <c r="R136" s="243">
        <f>SUM(F136:Q136)</f>
        <v>120</v>
      </c>
      <c r="S136" s="244"/>
      <c r="T136" s="245" t="s">
        <v>544</v>
      </c>
      <c r="U136" s="246"/>
      <c r="V136" s="213"/>
      <c r="W136" s="213"/>
    </row>
    <row r="137" spans="1:26" ht="15.75" customHeight="1" x14ac:dyDescent="0.3">
      <c r="A137" s="22">
        <v>131</v>
      </c>
      <c r="B137" s="45" t="s">
        <v>347</v>
      </c>
      <c r="C137" s="32" t="s">
        <v>348</v>
      </c>
      <c r="D137" s="45" t="s">
        <v>349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41"/>
    </row>
    <row r="138" spans="1:26" ht="15.75" customHeight="1" x14ac:dyDescent="0.3">
      <c r="A138" s="22">
        <v>132</v>
      </c>
      <c r="B138" s="45" t="s">
        <v>350</v>
      </c>
      <c r="C138" s="32" t="s">
        <v>397</v>
      </c>
      <c r="D138" s="45" t="s">
        <v>82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41"/>
      <c r="T138" s="8"/>
      <c r="U138" s="8"/>
      <c r="V138" s="8"/>
      <c r="W138" s="8"/>
      <c r="X138" s="8"/>
      <c r="Y138" s="8"/>
      <c r="Z138" s="8"/>
    </row>
    <row r="139" spans="1:26" ht="15.75" customHeight="1" x14ac:dyDescent="0.3">
      <c r="A139" s="22">
        <v>133</v>
      </c>
      <c r="B139" s="45" t="s">
        <v>352</v>
      </c>
      <c r="C139" s="247" t="s">
        <v>545</v>
      </c>
      <c r="D139" s="45" t="s">
        <v>354</v>
      </c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41"/>
      <c r="T139" s="8"/>
      <c r="U139" s="8"/>
      <c r="V139" s="8"/>
      <c r="W139" s="8"/>
      <c r="X139" s="8"/>
      <c r="Y139" s="8"/>
      <c r="Z139" s="8"/>
    </row>
    <row r="140" spans="1:26" ht="15.75" customHeight="1" x14ac:dyDescent="0.3">
      <c r="A140" s="22">
        <v>134</v>
      </c>
      <c r="B140" s="45" t="s">
        <v>355</v>
      </c>
      <c r="C140" s="32" t="s">
        <v>356</v>
      </c>
      <c r="D140" s="45" t="s">
        <v>357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41"/>
      <c r="T140" s="8"/>
      <c r="U140" s="8"/>
      <c r="V140" s="8"/>
      <c r="W140" s="8"/>
      <c r="X140" s="8"/>
      <c r="Y140" s="8"/>
      <c r="Z140" s="8"/>
    </row>
    <row r="141" spans="1:26" ht="15.75" customHeight="1" x14ac:dyDescent="0.3">
      <c r="A141" s="22">
        <v>135</v>
      </c>
      <c r="B141" s="248" t="s">
        <v>482</v>
      </c>
      <c r="C141" s="249" t="s">
        <v>483</v>
      </c>
      <c r="D141" s="248" t="s">
        <v>484</v>
      </c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1" t="s">
        <v>546</v>
      </c>
      <c r="T141" s="252"/>
      <c r="U141" s="8"/>
      <c r="V141" s="8"/>
      <c r="W141" s="8"/>
    </row>
    <row r="142" spans="1:26" ht="15.75" customHeight="1" x14ac:dyDescent="0.3">
      <c r="A142" s="41"/>
      <c r="B142" s="42"/>
      <c r="C142" s="40"/>
      <c r="D142" s="42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41"/>
    </row>
    <row r="143" spans="1:26" ht="15.75" customHeight="1" x14ac:dyDescent="0.3">
      <c r="B143" s="42"/>
      <c r="D143" s="42" t="s">
        <v>358</v>
      </c>
      <c r="E143" s="173">
        <f t="shared" ref="E143:U143" si="0">SUM(E7:E141)</f>
        <v>20</v>
      </c>
      <c r="F143" s="8">
        <f>SUM(F7:F141)</f>
        <v>450</v>
      </c>
      <c r="G143" s="8">
        <f t="shared" ref="G143:Q143" si="1">SUM(G7:G141)</f>
        <v>450</v>
      </c>
      <c r="H143" s="8">
        <f t="shared" si="1"/>
        <v>450</v>
      </c>
      <c r="I143" s="8">
        <f t="shared" si="1"/>
        <v>450</v>
      </c>
      <c r="J143" s="8">
        <f t="shared" si="1"/>
        <v>450</v>
      </c>
      <c r="K143" s="8">
        <f t="shared" si="1"/>
        <v>450</v>
      </c>
      <c r="L143" s="8">
        <f t="shared" si="1"/>
        <v>450</v>
      </c>
      <c r="M143" s="8">
        <f t="shared" si="1"/>
        <v>450</v>
      </c>
      <c r="N143" s="8">
        <f t="shared" si="1"/>
        <v>450</v>
      </c>
      <c r="O143" s="8">
        <f t="shared" si="1"/>
        <v>450</v>
      </c>
      <c r="P143" s="8">
        <f t="shared" si="1"/>
        <v>450</v>
      </c>
      <c r="Q143" s="8">
        <f t="shared" si="1"/>
        <v>450</v>
      </c>
      <c r="R143" s="173">
        <f>SUM(R7:R141)</f>
        <v>5400</v>
      </c>
      <c r="S143" s="41">
        <f t="shared" si="0"/>
        <v>7640</v>
      </c>
      <c r="T143" s="8">
        <f t="shared" si="0"/>
        <v>9</v>
      </c>
      <c r="U143" s="8">
        <f t="shared" si="0"/>
        <v>0</v>
      </c>
    </row>
    <row r="144" spans="1:26" ht="15.75" customHeight="1" x14ac:dyDescent="0.3">
      <c r="B144" s="42"/>
      <c r="D144" s="42"/>
      <c r="E144" s="8">
        <f>E143/20</f>
        <v>1</v>
      </c>
    </row>
    <row r="145" spans="2:19" ht="15.75" customHeight="1" x14ac:dyDescent="0.3">
      <c r="B145" s="42"/>
      <c r="D145" s="42"/>
    </row>
    <row r="146" spans="2:19" ht="15.75" customHeight="1" x14ac:dyDescent="0.3">
      <c r="B146" s="42"/>
      <c r="D146" s="42"/>
      <c r="S146" s="41">
        <f>S143-110</f>
        <v>7530</v>
      </c>
    </row>
    <row r="147" spans="2:19" ht="15.75" customHeight="1" x14ac:dyDescent="0.3">
      <c r="B147" s="42"/>
      <c r="D147" s="42"/>
      <c r="S147" s="41">
        <f>S146/120</f>
        <v>62.75</v>
      </c>
    </row>
    <row r="148" spans="2:19" ht="15.75" customHeight="1" x14ac:dyDescent="0.3">
      <c r="B148" s="42"/>
      <c r="D148" s="42"/>
    </row>
    <row r="149" spans="2:19" ht="15.75" customHeight="1" x14ac:dyDescent="0.3">
      <c r="B149" s="42"/>
      <c r="D149" s="42"/>
    </row>
    <row r="150" spans="2:19" ht="15.75" customHeight="1" x14ac:dyDescent="0.3">
      <c r="B150" s="42"/>
      <c r="D150" s="42"/>
    </row>
    <row r="151" spans="2:19" ht="15.75" customHeight="1" x14ac:dyDescent="0.3">
      <c r="B151" s="42"/>
      <c r="D151" s="42"/>
    </row>
    <row r="152" spans="2:19" ht="15.75" customHeight="1" x14ac:dyDescent="0.3">
      <c r="B152" s="42"/>
      <c r="D152" s="42"/>
    </row>
    <row r="153" spans="2:19" ht="15.75" customHeight="1" x14ac:dyDescent="0.3">
      <c r="B153" s="42"/>
      <c r="D153" s="42"/>
    </row>
    <row r="154" spans="2:19" ht="15.75" customHeight="1" x14ac:dyDescent="0.3">
      <c r="B154" s="42"/>
      <c r="D154" s="42"/>
    </row>
    <row r="155" spans="2:19" ht="15.75" customHeight="1" x14ac:dyDescent="0.3">
      <c r="B155" s="42"/>
      <c r="D155" s="42"/>
    </row>
    <row r="156" spans="2:19" ht="15.75" customHeight="1" x14ac:dyDescent="0.3">
      <c r="B156" s="42"/>
      <c r="D156" s="42"/>
    </row>
    <row r="157" spans="2:19" ht="15.75" customHeight="1" x14ac:dyDescent="0.3">
      <c r="B157" s="42"/>
      <c r="D157" s="42"/>
    </row>
    <row r="158" spans="2:19" ht="15.75" customHeight="1" x14ac:dyDescent="0.3">
      <c r="B158" s="42"/>
      <c r="D158" s="42"/>
    </row>
    <row r="159" spans="2:19" ht="15.75" customHeight="1" x14ac:dyDescent="0.3">
      <c r="B159" s="42"/>
      <c r="D159" s="42"/>
    </row>
    <row r="160" spans="2:19" ht="15.75" customHeight="1" x14ac:dyDescent="0.3">
      <c r="B160" s="42"/>
      <c r="D160" s="42"/>
    </row>
    <row r="161" spans="2:4" ht="15.75" customHeight="1" x14ac:dyDescent="0.3">
      <c r="B161" s="42"/>
      <c r="D161" s="42"/>
    </row>
    <row r="162" spans="2:4" ht="15.75" customHeight="1" x14ac:dyDescent="0.3">
      <c r="B162" s="42"/>
      <c r="D162" s="42"/>
    </row>
    <row r="163" spans="2:4" ht="15.75" customHeight="1" x14ac:dyDescent="0.3">
      <c r="B163" s="42"/>
      <c r="D163" s="42"/>
    </row>
    <row r="164" spans="2:4" ht="15.75" customHeight="1" x14ac:dyDescent="0.3">
      <c r="B164" s="42"/>
      <c r="D164" s="42"/>
    </row>
    <row r="165" spans="2:4" ht="15.75" customHeight="1" x14ac:dyDescent="0.3">
      <c r="B165" s="42"/>
      <c r="D165" s="42"/>
    </row>
    <row r="166" spans="2:4" ht="15.75" customHeight="1" x14ac:dyDescent="0.3">
      <c r="B166" s="42"/>
      <c r="D166" s="42"/>
    </row>
    <row r="167" spans="2:4" ht="15.75" customHeight="1" x14ac:dyDescent="0.3">
      <c r="B167" s="42"/>
      <c r="D167" s="42"/>
    </row>
    <row r="168" spans="2:4" ht="15.75" customHeight="1" x14ac:dyDescent="0.3">
      <c r="B168" s="42"/>
      <c r="D168" s="42"/>
    </row>
    <row r="169" spans="2:4" ht="15.75" customHeight="1" x14ac:dyDescent="0.3">
      <c r="B169" s="42"/>
      <c r="D169" s="42"/>
    </row>
    <row r="170" spans="2:4" ht="15.75" customHeight="1" x14ac:dyDescent="0.3">
      <c r="B170" s="42"/>
      <c r="D170" s="42"/>
    </row>
    <row r="171" spans="2:4" ht="15.75" customHeight="1" x14ac:dyDescent="0.3">
      <c r="B171" s="42"/>
      <c r="D171" s="42"/>
    </row>
    <row r="172" spans="2:4" ht="15.75" customHeight="1" x14ac:dyDescent="0.3">
      <c r="B172" s="42"/>
      <c r="D172" s="42"/>
    </row>
    <row r="173" spans="2:4" ht="15.75" customHeight="1" x14ac:dyDescent="0.3">
      <c r="B173" s="42"/>
      <c r="D173" s="42"/>
    </row>
    <row r="174" spans="2:4" ht="15.75" customHeight="1" x14ac:dyDescent="0.3">
      <c r="B174" s="42"/>
      <c r="D174" s="42"/>
    </row>
    <row r="175" spans="2:4" ht="15.75" customHeight="1" x14ac:dyDescent="0.3">
      <c r="B175" s="42"/>
      <c r="D175" s="42"/>
    </row>
    <row r="176" spans="2:4" ht="15.75" customHeight="1" x14ac:dyDescent="0.3">
      <c r="B176" s="42"/>
      <c r="D176" s="42"/>
    </row>
    <row r="177" spans="2:4" ht="15.75" customHeight="1" x14ac:dyDescent="0.3">
      <c r="B177" s="42"/>
      <c r="D177" s="42"/>
    </row>
    <row r="178" spans="2:4" ht="15.75" customHeight="1" x14ac:dyDescent="0.3">
      <c r="B178" s="42"/>
      <c r="D178" s="42"/>
    </row>
    <row r="179" spans="2:4" ht="15.75" customHeight="1" x14ac:dyDescent="0.3">
      <c r="B179" s="42"/>
      <c r="D179" s="42"/>
    </row>
    <row r="180" spans="2:4" ht="15.75" customHeight="1" x14ac:dyDescent="0.3">
      <c r="B180" s="42"/>
      <c r="D180" s="42"/>
    </row>
    <row r="181" spans="2:4" ht="15.75" customHeight="1" x14ac:dyDescent="0.3">
      <c r="B181" s="42"/>
      <c r="D181" s="42"/>
    </row>
    <row r="182" spans="2:4" ht="15.75" customHeight="1" x14ac:dyDescent="0.3">
      <c r="B182" s="42"/>
      <c r="D182" s="42"/>
    </row>
    <row r="183" spans="2:4" ht="15.75" customHeight="1" x14ac:dyDescent="0.3">
      <c r="B183" s="42"/>
      <c r="D183" s="42"/>
    </row>
    <row r="184" spans="2:4" ht="15.75" customHeight="1" x14ac:dyDescent="0.3">
      <c r="B184" s="42"/>
      <c r="D184" s="42"/>
    </row>
    <row r="185" spans="2:4" ht="15.75" customHeight="1" x14ac:dyDescent="0.3">
      <c r="B185" s="42"/>
      <c r="D185" s="42"/>
    </row>
    <row r="186" spans="2:4" ht="15.75" customHeight="1" x14ac:dyDescent="0.3">
      <c r="B186" s="42"/>
      <c r="D186" s="42"/>
    </row>
    <row r="187" spans="2:4" ht="15.75" customHeight="1" x14ac:dyDescent="0.3">
      <c r="B187" s="42"/>
      <c r="D187" s="42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S68:U68"/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449F-2566-47B9-BF86-BDA7937A5541}">
  <dimension ref="A1:Y1000"/>
  <sheetViews>
    <sheetView workbookViewId="0">
      <selection activeCell="T3" sqref="T3"/>
    </sheetView>
  </sheetViews>
  <sheetFormatPr defaultColWidth="14.44140625" defaultRowHeight="14.4" x14ac:dyDescent="0.3"/>
  <cols>
    <col min="1" max="2" width="10.6640625" style="3" customWidth="1"/>
    <col min="3" max="3" width="31.88671875" style="1" customWidth="1"/>
    <col min="4" max="4" width="13.44140625" style="3" customWidth="1"/>
    <col min="5" max="5" width="9.109375" style="3" customWidth="1"/>
    <col min="6" max="7" width="5.6640625" style="3" customWidth="1"/>
    <col min="8" max="8" width="4.44140625" style="3" customWidth="1"/>
    <col min="9" max="9" width="4.109375" style="3" customWidth="1"/>
    <col min="10" max="10" width="5.109375" style="3" customWidth="1"/>
    <col min="11" max="11" width="4.33203125" style="3" customWidth="1"/>
    <col min="12" max="12" width="3.88671875" style="3" customWidth="1"/>
    <col min="13" max="14" width="4.88671875" style="3" customWidth="1"/>
    <col min="15" max="15" width="5" style="3" customWidth="1"/>
    <col min="16" max="16" width="4.6640625" style="3" customWidth="1"/>
    <col min="17" max="17" width="5" style="3" customWidth="1"/>
    <col min="18" max="18" width="6.88671875" style="3" customWidth="1"/>
    <col min="19" max="25" width="10.6640625" style="1" customWidth="1"/>
    <col min="26" max="16384" width="14.44140625" style="1"/>
  </cols>
  <sheetData>
    <row r="1" spans="1:25" x14ac:dyDescent="0.3">
      <c r="B1" s="42"/>
      <c r="D1" s="42"/>
      <c r="S1" s="220"/>
      <c r="T1" s="220"/>
      <c r="U1" s="220"/>
      <c r="V1" s="220"/>
    </row>
    <row r="2" spans="1:25" ht="2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220"/>
      <c r="T2" s="220"/>
      <c r="U2" s="220"/>
      <c r="V2" s="220"/>
    </row>
    <row r="3" spans="1:25" ht="21" x14ac:dyDescent="0.4">
      <c r="A3" s="4" t="s">
        <v>1</v>
      </c>
      <c r="B3" s="5"/>
      <c r="C3" s="6">
        <f>E143+R143</f>
        <v>3610</v>
      </c>
      <c r="D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20"/>
      <c r="T3" s="220"/>
      <c r="U3" s="102"/>
      <c r="V3" s="253"/>
      <c r="X3" s="8">
        <v>4360</v>
      </c>
    </row>
    <row r="4" spans="1:25" x14ac:dyDescent="0.3">
      <c r="B4" s="42"/>
      <c r="D4" s="42"/>
      <c r="S4" s="220"/>
      <c r="T4" s="220"/>
      <c r="U4" s="220"/>
      <c r="V4" s="220"/>
      <c r="X4" s="8">
        <v>408</v>
      </c>
    </row>
    <row r="5" spans="1:25" x14ac:dyDescent="0.3">
      <c r="A5" s="10" t="s">
        <v>2</v>
      </c>
      <c r="B5" s="11" t="s">
        <v>3</v>
      </c>
      <c r="C5" s="10" t="s">
        <v>4</v>
      </c>
      <c r="D5" s="11" t="s">
        <v>5</v>
      </c>
      <c r="E5" s="113" t="s">
        <v>6</v>
      </c>
      <c r="F5" s="12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220"/>
      <c r="T5" s="220"/>
      <c r="U5" s="220"/>
      <c r="V5" s="220"/>
    </row>
    <row r="6" spans="1:25" x14ac:dyDescent="0.3">
      <c r="A6" s="16"/>
      <c r="B6" s="16"/>
      <c r="C6" s="15"/>
      <c r="D6" s="16"/>
      <c r="E6" s="254"/>
      <c r="F6" s="255" t="s">
        <v>8</v>
      </c>
      <c r="G6" s="255" t="s">
        <v>9</v>
      </c>
      <c r="H6" s="255" t="s">
        <v>10</v>
      </c>
      <c r="I6" s="255" t="s">
        <v>11</v>
      </c>
      <c r="J6" s="255" t="s">
        <v>12</v>
      </c>
      <c r="K6" s="255" t="s">
        <v>13</v>
      </c>
      <c r="L6" s="255" t="s">
        <v>14</v>
      </c>
      <c r="M6" s="255" t="s">
        <v>15</v>
      </c>
      <c r="N6" s="255" t="s">
        <v>16</v>
      </c>
      <c r="O6" s="255" t="s">
        <v>17</v>
      </c>
      <c r="P6" s="255" t="s">
        <v>18</v>
      </c>
      <c r="Q6" s="255" t="s">
        <v>19</v>
      </c>
      <c r="R6" s="255" t="s">
        <v>20</v>
      </c>
      <c r="S6" s="220"/>
      <c r="T6" s="220"/>
      <c r="U6" s="220"/>
      <c r="V6" s="220"/>
      <c r="X6" s="8">
        <f>X3+X4+X5</f>
        <v>4768</v>
      </c>
    </row>
    <row r="7" spans="1:25" x14ac:dyDescent="0.3">
      <c r="A7" s="97">
        <v>1</v>
      </c>
      <c r="B7" s="256" t="s">
        <v>21</v>
      </c>
      <c r="C7" s="257" t="s">
        <v>22</v>
      </c>
      <c r="D7" s="98" t="s">
        <v>23</v>
      </c>
      <c r="E7" s="97"/>
      <c r="F7" s="258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0">
        <f>SUM(F7:Q7)</f>
        <v>0</v>
      </c>
      <c r="S7" s="219"/>
      <c r="T7" s="103"/>
      <c r="U7" s="102"/>
      <c r="V7" s="220"/>
      <c r="X7" s="8">
        <v>276.8</v>
      </c>
    </row>
    <row r="8" spans="1:25" x14ac:dyDescent="0.3">
      <c r="A8" s="97">
        <v>2</v>
      </c>
      <c r="B8" s="256" t="s">
        <v>25</v>
      </c>
      <c r="C8" s="101" t="s">
        <v>26</v>
      </c>
      <c r="D8" s="98" t="s">
        <v>27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260">
        <f t="shared" ref="R8:R71" si="0">SUM(F8:Q8)</f>
        <v>0</v>
      </c>
      <c r="S8" s="220"/>
      <c r="T8" s="220"/>
      <c r="U8" s="220"/>
      <c r="V8" s="220"/>
      <c r="X8" s="8">
        <f>X6-X7</f>
        <v>4491.2</v>
      </c>
    </row>
    <row r="9" spans="1:25" x14ac:dyDescent="0.3">
      <c r="A9" s="97">
        <v>3</v>
      </c>
      <c r="B9" s="98" t="s">
        <v>29</v>
      </c>
      <c r="C9" s="101" t="s">
        <v>400</v>
      </c>
      <c r="D9" s="98" t="s">
        <v>31</v>
      </c>
      <c r="E9" s="97"/>
      <c r="F9" s="258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60">
        <f t="shared" si="0"/>
        <v>0</v>
      </c>
      <c r="S9" s="219"/>
      <c r="T9" s="103"/>
      <c r="U9" s="102"/>
      <c r="V9" s="220"/>
    </row>
    <row r="10" spans="1:25" x14ac:dyDescent="0.3">
      <c r="A10" s="97">
        <v>4</v>
      </c>
      <c r="B10" s="98" t="s">
        <v>32</v>
      </c>
      <c r="C10" s="101" t="s">
        <v>33</v>
      </c>
      <c r="D10" s="98" t="s">
        <v>34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260">
        <f t="shared" si="0"/>
        <v>0</v>
      </c>
      <c r="S10" s="103"/>
      <c r="T10" s="103"/>
      <c r="U10" s="102"/>
      <c r="V10" s="220"/>
    </row>
    <row r="11" spans="1:25" x14ac:dyDescent="0.3">
      <c r="A11" s="97">
        <v>5</v>
      </c>
      <c r="B11" s="98" t="s">
        <v>36</v>
      </c>
      <c r="C11" s="257" t="s">
        <v>37</v>
      </c>
      <c r="D11" s="98" t="s">
        <v>38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260">
        <f t="shared" si="0"/>
        <v>0</v>
      </c>
      <c r="S11" s="220"/>
      <c r="T11" s="220"/>
      <c r="U11" s="220"/>
      <c r="V11" s="220"/>
    </row>
    <row r="12" spans="1:25" x14ac:dyDescent="0.3">
      <c r="A12" s="106">
        <v>6</v>
      </c>
      <c r="B12" s="107" t="s">
        <v>39</v>
      </c>
      <c r="C12" s="261" t="s">
        <v>446</v>
      </c>
      <c r="D12" s="107" t="s">
        <v>41</v>
      </c>
      <c r="E12" s="106"/>
      <c r="F12" s="106">
        <v>10</v>
      </c>
      <c r="G12" s="106">
        <v>10</v>
      </c>
      <c r="H12" s="106">
        <v>10</v>
      </c>
      <c r="I12" s="106">
        <v>10</v>
      </c>
      <c r="J12" s="106">
        <v>10</v>
      </c>
      <c r="K12" s="106">
        <v>10</v>
      </c>
      <c r="L12" s="106">
        <v>10</v>
      </c>
      <c r="M12" s="106">
        <v>10</v>
      </c>
      <c r="N12" s="106">
        <v>10</v>
      </c>
      <c r="O12" s="106">
        <v>10</v>
      </c>
      <c r="P12" s="106">
        <v>10</v>
      </c>
      <c r="Q12" s="106">
        <v>10</v>
      </c>
      <c r="R12" s="262">
        <f t="shared" si="0"/>
        <v>120</v>
      </c>
      <c r="S12" s="263" t="s">
        <v>547</v>
      </c>
      <c r="T12" s="263"/>
      <c r="U12" s="103"/>
      <c r="V12" s="220"/>
    </row>
    <row r="13" spans="1:25" x14ac:dyDescent="0.3">
      <c r="A13" s="97">
        <v>7</v>
      </c>
      <c r="B13" s="98" t="s">
        <v>43</v>
      </c>
      <c r="C13" s="101" t="s">
        <v>44</v>
      </c>
      <c r="D13" s="98" t="s">
        <v>428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260">
        <f t="shared" si="0"/>
        <v>0</v>
      </c>
      <c r="S13" s="219"/>
      <c r="T13" s="102"/>
      <c r="U13" s="102"/>
      <c r="V13" s="220"/>
    </row>
    <row r="14" spans="1:25" x14ac:dyDescent="0.3">
      <c r="A14" s="90">
        <v>8</v>
      </c>
      <c r="B14" s="93" t="s">
        <v>46</v>
      </c>
      <c r="C14" s="264" t="s">
        <v>491</v>
      </c>
      <c r="D14" s="93" t="s">
        <v>48</v>
      </c>
      <c r="E14" s="90"/>
      <c r="F14" s="90">
        <v>10</v>
      </c>
      <c r="G14" s="90">
        <v>10</v>
      </c>
      <c r="H14" s="90">
        <v>10</v>
      </c>
      <c r="I14" s="90">
        <v>10</v>
      </c>
      <c r="J14" s="90">
        <v>10</v>
      </c>
      <c r="K14" s="90">
        <v>10</v>
      </c>
      <c r="L14" s="90">
        <v>10</v>
      </c>
      <c r="M14" s="90">
        <v>10</v>
      </c>
      <c r="N14" s="90">
        <v>10</v>
      </c>
      <c r="O14" s="90">
        <v>10</v>
      </c>
      <c r="P14" s="90">
        <v>10</v>
      </c>
      <c r="Q14" s="90">
        <v>10</v>
      </c>
      <c r="R14" s="265">
        <f t="shared" si="0"/>
        <v>120</v>
      </c>
      <c r="S14" s="266" t="s">
        <v>548</v>
      </c>
      <c r="T14" s="95"/>
      <c r="U14" s="102"/>
      <c r="V14" s="102"/>
      <c r="W14" s="8"/>
      <c r="X14" s="8"/>
      <c r="Y14" s="8"/>
    </row>
    <row r="15" spans="1:25" x14ac:dyDescent="0.3">
      <c r="A15" s="97">
        <v>9</v>
      </c>
      <c r="B15" s="98" t="s">
        <v>49</v>
      </c>
      <c r="C15" s="101" t="s">
        <v>50</v>
      </c>
      <c r="D15" s="98" t="s">
        <v>51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260">
        <f t="shared" si="0"/>
        <v>0</v>
      </c>
      <c r="S15" s="220"/>
      <c r="T15" s="220"/>
      <c r="U15" s="220"/>
      <c r="V15" s="220"/>
    </row>
    <row r="16" spans="1:25" x14ac:dyDescent="0.3">
      <c r="A16" s="97">
        <v>10</v>
      </c>
      <c r="B16" s="98" t="s">
        <v>52</v>
      </c>
      <c r="C16" s="267" t="s">
        <v>493</v>
      </c>
      <c r="D16" s="98" t="s">
        <v>54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260">
        <f t="shared" si="0"/>
        <v>0</v>
      </c>
      <c r="S16" s="102"/>
      <c r="T16" s="102"/>
      <c r="U16" s="102"/>
      <c r="V16" s="220"/>
    </row>
    <row r="17" spans="1:22" x14ac:dyDescent="0.3">
      <c r="A17" s="97">
        <v>11</v>
      </c>
      <c r="B17" s="98" t="s">
        <v>55</v>
      </c>
      <c r="C17" s="257" t="s">
        <v>56</v>
      </c>
      <c r="D17" s="98" t="s">
        <v>57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260">
        <f t="shared" si="0"/>
        <v>0</v>
      </c>
      <c r="S17" s="220"/>
      <c r="T17" s="220"/>
      <c r="U17" s="220"/>
      <c r="V17" s="220"/>
    </row>
    <row r="18" spans="1:22" x14ac:dyDescent="0.3">
      <c r="A18" s="97">
        <v>12</v>
      </c>
      <c r="B18" s="98" t="s">
        <v>58</v>
      </c>
      <c r="C18" s="257" t="s">
        <v>59</v>
      </c>
      <c r="D18" s="98" t="s">
        <v>60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260">
        <f t="shared" si="0"/>
        <v>0</v>
      </c>
      <c r="S18" s="220"/>
      <c r="T18" s="220"/>
      <c r="U18" s="220"/>
      <c r="V18" s="220"/>
    </row>
    <row r="19" spans="1:22" x14ac:dyDescent="0.3">
      <c r="A19" s="90">
        <v>13</v>
      </c>
      <c r="B19" s="93" t="s">
        <v>61</v>
      </c>
      <c r="C19" s="91" t="s">
        <v>62</v>
      </c>
      <c r="D19" s="93" t="s">
        <v>63</v>
      </c>
      <c r="E19" s="90"/>
      <c r="F19" s="268">
        <v>10</v>
      </c>
      <c r="G19" s="269">
        <v>10</v>
      </c>
      <c r="H19" s="269">
        <v>10</v>
      </c>
      <c r="I19" s="269">
        <v>10</v>
      </c>
      <c r="J19" s="269">
        <v>10</v>
      </c>
      <c r="K19" s="269">
        <v>10</v>
      </c>
      <c r="L19" s="269">
        <v>10</v>
      </c>
      <c r="M19" s="269">
        <v>10</v>
      </c>
      <c r="N19" s="269">
        <v>10</v>
      </c>
      <c r="O19" s="269">
        <v>10</v>
      </c>
      <c r="P19" s="269">
        <v>10</v>
      </c>
      <c r="Q19" s="269">
        <v>10</v>
      </c>
      <c r="R19" s="265">
        <f t="shared" si="0"/>
        <v>120</v>
      </c>
      <c r="S19" s="270" t="s">
        <v>549</v>
      </c>
      <c r="T19" s="266"/>
      <c r="U19" s="102"/>
      <c r="V19" s="220"/>
    </row>
    <row r="20" spans="1:22" x14ac:dyDescent="0.3">
      <c r="A20" s="90">
        <v>14</v>
      </c>
      <c r="B20" s="93" t="s">
        <v>65</v>
      </c>
      <c r="C20" s="196" t="s">
        <v>66</v>
      </c>
      <c r="D20" s="93" t="s">
        <v>67</v>
      </c>
      <c r="E20" s="90"/>
      <c r="F20" s="90">
        <v>10</v>
      </c>
      <c r="G20" s="90">
        <v>10</v>
      </c>
      <c r="H20" s="90">
        <v>10</v>
      </c>
      <c r="I20" s="90">
        <v>10</v>
      </c>
      <c r="J20" s="90">
        <v>10</v>
      </c>
      <c r="K20" s="90">
        <v>10</v>
      </c>
      <c r="L20" s="90">
        <v>10</v>
      </c>
      <c r="M20" s="90">
        <v>10</v>
      </c>
      <c r="N20" s="90">
        <v>10</v>
      </c>
      <c r="O20" s="90">
        <v>10</v>
      </c>
      <c r="P20" s="90">
        <v>10</v>
      </c>
      <c r="Q20" s="90">
        <v>10</v>
      </c>
      <c r="R20" s="265">
        <f t="shared" si="0"/>
        <v>120</v>
      </c>
      <c r="S20" s="266" t="s">
        <v>548</v>
      </c>
      <c r="T20" s="266"/>
      <c r="U20" s="102"/>
      <c r="V20" s="220"/>
    </row>
    <row r="21" spans="1:22" ht="15.75" customHeight="1" x14ac:dyDescent="0.3">
      <c r="A21" s="90">
        <v>15</v>
      </c>
      <c r="B21" s="93" t="s">
        <v>68</v>
      </c>
      <c r="C21" s="271" t="s">
        <v>495</v>
      </c>
      <c r="D21" s="93" t="s">
        <v>70</v>
      </c>
      <c r="E21" s="90"/>
      <c r="F21" s="90">
        <v>10</v>
      </c>
      <c r="G21" s="90">
        <v>10</v>
      </c>
      <c r="H21" s="90">
        <v>10</v>
      </c>
      <c r="I21" s="90">
        <v>10</v>
      </c>
      <c r="J21" s="90">
        <v>10</v>
      </c>
      <c r="K21" s="90">
        <v>10</v>
      </c>
      <c r="L21" s="90">
        <v>10</v>
      </c>
      <c r="M21" s="90">
        <v>10</v>
      </c>
      <c r="N21" s="90">
        <v>10</v>
      </c>
      <c r="O21" s="90">
        <v>10</v>
      </c>
      <c r="P21" s="90">
        <v>10</v>
      </c>
      <c r="Q21" s="90">
        <v>10</v>
      </c>
      <c r="R21" s="265">
        <f t="shared" si="0"/>
        <v>120</v>
      </c>
      <c r="S21" s="266" t="s">
        <v>550</v>
      </c>
      <c r="T21" s="266"/>
      <c r="U21" s="102"/>
      <c r="V21" s="220"/>
    </row>
    <row r="22" spans="1:22" ht="15.75" customHeight="1" x14ac:dyDescent="0.3">
      <c r="A22" s="97">
        <v>16</v>
      </c>
      <c r="B22" s="98" t="s">
        <v>71</v>
      </c>
      <c r="C22" s="257" t="s">
        <v>72</v>
      </c>
      <c r="D22" s="98" t="s">
        <v>73</v>
      </c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260">
        <f t="shared" si="0"/>
        <v>0</v>
      </c>
      <c r="S22" s="220"/>
      <c r="T22" s="220"/>
      <c r="U22" s="220"/>
      <c r="V22" s="220"/>
    </row>
    <row r="23" spans="1:22" ht="15.75" customHeight="1" x14ac:dyDescent="0.3">
      <c r="A23" s="97">
        <v>17</v>
      </c>
      <c r="B23" s="98" t="s">
        <v>74</v>
      </c>
      <c r="C23" s="267" t="s">
        <v>497</v>
      </c>
      <c r="D23" s="98" t="s">
        <v>76</v>
      </c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260">
        <f t="shared" si="0"/>
        <v>0</v>
      </c>
      <c r="S23" s="220"/>
      <c r="T23" s="220"/>
      <c r="U23" s="220"/>
      <c r="V23" s="220"/>
    </row>
    <row r="24" spans="1:22" ht="15.75" customHeight="1" x14ac:dyDescent="0.3">
      <c r="A24" s="106">
        <v>18</v>
      </c>
      <c r="B24" s="107" t="s">
        <v>77</v>
      </c>
      <c r="C24" s="272" t="s">
        <v>498</v>
      </c>
      <c r="D24" s="107" t="s">
        <v>79</v>
      </c>
      <c r="E24" s="106"/>
      <c r="F24" s="106">
        <v>10</v>
      </c>
      <c r="G24" s="106">
        <v>10</v>
      </c>
      <c r="H24" s="106">
        <v>10</v>
      </c>
      <c r="I24" s="106">
        <v>10</v>
      </c>
      <c r="J24" s="106">
        <v>10</v>
      </c>
      <c r="K24" s="106">
        <v>10</v>
      </c>
      <c r="L24" s="106">
        <v>10</v>
      </c>
      <c r="M24" s="106">
        <v>10</v>
      </c>
      <c r="N24" s="106">
        <v>10</v>
      </c>
      <c r="O24" s="106">
        <v>10</v>
      </c>
      <c r="P24" s="106">
        <v>10</v>
      </c>
      <c r="Q24" s="106">
        <v>10</v>
      </c>
      <c r="R24" s="262">
        <f t="shared" si="0"/>
        <v>120</v>
      </c>
      <c r="S24" s="263" t="s">
        <v>551</v>
      </c>
      <c r="T24" s="273"/>
      <c r="U24" s="111"/>
      <c r="V24" s="112"/>
    </row>
    <row r="25" spans="1:22" ht="15.75" customHeight="1" x14ac:dyDescent="0.3">
      <c r="A25" s="97">
        <v>19</v>
      </c>
      <c r="B25" s="98" t="s">
        <v>80</v>
      </c>
      <c r="C25" s="101" t="s">
        <v>81</v>
      </c>
      <c r="D25" s="98" t="s">
        <v>82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260">
        <f t="shared" si="0"/>
        <v>0</v>
      </c>
      <c r="S25" s="220"/>
      <c r="T25" s="219"/>
      <c r="U25" s="220"/>
      <c r="V25" s="220"/>
    </row>
    <row r="26" spans="1:22" ht="15.75" customHeight="1" x14ac:dyDescent="0.3">
      <c r="A26" s="97">
        <v>20</v>
      </c>
      <c r="B26" s="98" t="s">
        <v>83</v>
      </c>
      <c r="C26" s="257" t="s">
        <v>84</v>
      </c>
      <c r="D26" s="98" t="s">
        <v>85</v>
      </c>
      <c r="E26" s="97"/>
      <c r="F26" s="258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60">
        <f t="shared" si="0"/>
        <v>0</v>
      </c>
      <c r="S26" s="219"/>
      <c r="T26" s="102"/>
      <c r="U26" s="102"/>
      <c r="V26" s="220"/>
    </row>
    <row r="27" spans="1:22" ht="15.75" customHeight="1" x14ac:dyDescent="0.3">
      <c r="A27" s="97">
        <v>21</v>
      </c>
      <c r="B27" s="98" t="s">
        <v>86</v>
      </c>
      <c r="C27" s="257" t="s">
        <v>87</v>
      </c>
      <c r="D27" s="98" t="s">
        <v>88</v>
      </c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260">
        <f t="shared" si="0"/>
        <v>0</v>
      </c>
      <c r="S27" s="220"/>
      <c r="T27" s="220"/>
      <c r="U27" s="220"/>
      <c r="V27" s="220"/>
    </row>
    <row r="28" spans="1:22" ht="15.75" customHeight="1" x14ac:dyDescent="0.3">
      <c r="A28" s="97">
        <v>22</v>
      </c>
      <c r="B28" s="98" t="s">
        <v>89</v>
      </c>
      <c r="C28" s="267" t="s">
        <v>502</v>
      </c>
      <c r="D28" s="98" t="s">
        <v>91</v>
      </c>
      <c r="E28" s="97"/>
      <c r="F28" s="258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60">
        <f t="shared" si="0"/>
        <v>0</v>
      </c>
      <c r="S28" s="102"/>
      <c r="T28" s="102"/>
      <c r="U28" s="102"/>
      <c r="V28" s="220"/>
    </row>
    <row r="29" spans="1:22" ht="15.75" customHeight="1" x14ac:dyDescent="0.3">
      <c r="A29" s="97">
        <v>23</v>
      </c>
      <c r="B29" s="98" t="s">
        <v>92</v>
      </c>
      <c r="C29" s="257" t="s">
        <v>93</v>
      </c>
      <c r="D29" s="98" t="s">
        <v>94</v>
      </c>
      <c r="E29" s="97"/>
      <c r="F29" s="258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60">
        <f t="shared" si="0"/>
        <v>0</v>
      </c>
      <c r="S29" s="219"/>
      <c r="T29" s="103"/>
      <c r="U29" s="220"/>
      <c r="V29" s="220"/>
    </row>
    <row r="30" spans="1:22" ht="15.75" customHeight="1" x14ac:dyDescent="0.3">
      <c r="A30" s="90">
        <v>24</v>
      </c>
      <c r="B30" s="93" t="s">
        <v>95</v>
      </c>
      <c r="C30" s="91" t="s">
        <v>453</v>
      </c>
      <c r="D30" s="93" t="s">
        <v>97</v>
      </c>
      <c r="E30" s="90"/>
      <c r="F30" s="268">
        <v>10</v>
      </c>
      <c r="G30" s="269">
        <v>10</v>
      </c>
      <c r="H30" s="269">
        <v>10</v>
      </c>
      <c r="I30" s="269">
        <v>10</v>
      </c>
      <c r="J30" s="269">
        <v>10</v>
      </c>
      <c r="K30" s="269">
        <v>10</v>
      </c>
      <c r="L30" s="269">
        <v>10</v>
      </c>
      <c r="M30" s="269">
        <v>10</v>
      </c>
      <c r="N30" s="269">
        <v>10</v>
      </c>
      <c r="O30" s="269">
        <v>10</v>
      </c>
      <c r="P30" s="269">
        <v>10</v>
      </c>
      <c r="Q30" s="269">
        <v>10</v>
      </c>
      <c r="R30" s="265">
        <f t="shared" si="0"/>
        <v>120</v>
      </c>
      <c r="S30" s="266" t="s">
        <v>552</v>
      </c>
      <c r="T30" s="266"/>
      <c r="U30" s="103"/>
      <c r="V30" s="220"/>
    </row>
    <row r="31" spans="1:22" ht="15.75" customHeight="1" x14ac:dyDescent="0.3">
      <c r="A31" s="90">
        <v>25</v>
      </c>
      <c r="B31" s="93" t="s">
        <v>98</v>
      </c>
      <c r="C31" s="91" t="s">
        <v>99</v>
      </c>
      <c r="D31" s="93" t="s">
        <v>100</v>
      </c>
      <c r="E31" s="90"/>
      <c r="F31" s="268">
        <v>10</v>
      </c>
      <c r="G31" s="269">
        <v>10</v>
      </c>
      <c r="H31" s="269">
        <v>10</v>
      </c>
      <c r="I31" s="269">
        <v>10</v>
      </c>
      <c r="J31" s="269">
        <v>10</v>
      </c>
      <c r="K31" s="269">
        <v>10</v>
      </c>
      <c r="L31" s="269">
        <v>10</v>
      </c>
      <c r="M31" s="269">
        <v>10</v>
      </c>
      <c r="N31" s="269">
        <v>10</v>
      </c>
      <c r="O31" s="269">
        <v>10</v>
      </c>
      <c r="P31" s="269">
        <v>10</v>
      </c>
      <c r="Q31" s="269">
        <v>10</v>
      </c>
      <c r="R31" s="265">
        <f t="shared" si="0"/>
        <v>120</v>
      </c>
      <c r="S31" s="266" t="s">
        <v>553</v>
      </c>
      <c r="T31" s="95"/>
      <c r="U31" s="102"/>
      <c r="V31" s="220"/>
    </row>
    <row r="32" spans="1:22" ht="15.75" customHeight="1" x14ac:dyDescent="0.3">
      <c r="A32" s="97">
        <v>26</v>
      </c>
      <c r="B32" s="98" t="s">
        <v>101</v>
      </c>
      <c r="C32" s="101" t="s">
        <v>102</v>
      </c>
      <c r="D32" s="98" t="s">
        <v>103</v>
      </c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260">
        <f t="shared" si="0"/>
        <v>0</v>
      </c>
      <c r="S32" s="220"/>
      <c r="T32" s="220"/>
      <c r="U32" s="220"/>
      <c r="V32" s="220"/>
    </row>
    <row r="33" spans="1:25" ht="15.75" customHeight="1" x14ac:dyDescent="0.3">
      <c r="A33" s="90">
        <v>27</v>
      </c>
      <c r="B33" s="93" t="s">
        <v>104</v>
      </c>
      <c r="C33" s="91" t="s">
        <v>105</v>
      </c>
      <c r="D33" s="93" t="s">
        <v>106</v>
      </c>
      <c r="E33" s="90"/>
      <c r="F33" s="268">
        <v>10</v>
      </c>
      <c r="G33" s="269">
        <v>10</v>
      </c>
      <c r="H33" s="269">
        <v>10</v>
      </c>
      <c r="I33" s="269">
        <v>10</v>
      </c>
      <c r="J33" s="269">
        <v>10</v>
      </c>
      <c r="K33" s="269">
        <v>10</v>
      </c>
      <c r="L33" s="269">
        <v>10</v>
      </c>
      <c r="M33" s="269">
        <v>10</v>
      </c>
      <c r="N33" s="269">
        <v>10</v>
      </c>
      <c r="O33" s="269">
        <v>10</v>
      </c>
      <c r="P33" s="269">
        <v>10</v>
      </c>
      <c r="Q33" s="269">
        <v>10</v>
      </c>
      <c r="R33" s="265">
        <f t="shared" si="0"/>
        <v>120</v>
      </c>
      <c r="S33" s="266" t="s">
        <v>554</v>
      </c>
      <c r="T33" s="266"/>
      <c r="U33" s="103"/>
      <c r="V33" s="220"/>
    </row>
    <row r="34" spans="1:25" ht="15.75" customHeight="1" x14ac:dyDescent="0.3">
      <c r="A34" s="90">
        <v>28</v>
      </c>
      <c r="B34" s="93" t="s">
        <v>107</v>
      </c>
      <c r="C34" s="91" t="s">
        <v>108</v>
      </c>
      <c r="D34" s="93" t="s">
        <v>109</v>
      </c>
      <c r="E34" s="90"/>
      <c r="F34" s="268">
        <v>10</v>
      </c>
      <c r="G34" s="269">
        <v>10</v>
      </c>
      <c r="H34" s="269">
        <v>10</v>
      </c>
      <c r="I34" s="269">
        <v>10</v>
      </c>
      <c r="J34" s="269">
        <v>10</v>
      </c>
      <c r="K34" s="269">
        <v>10</v>
      </c>
      <c r="L34" s="269">
        <v>10</v>
      </c>
      <c r="M34" s="269">
        <v>10</v>
      </c>
      <c r="N34" s="269">
        <v>10</v>
      </c>
      <c r="O34" s="269">
        <v>10</v>
      </c>
      <c r="P34" s="269">
        <v>10</v>
      </c>
      <c r="Q34" s="269">
        <v>10</v>
      </c>
      <c r="R34" s="265">
        <f t="shared" si="0"/>
        <v>120</v>
      </c>
      <c r="S34" s="266" t="s">
        <v>555</v>
      </c>
      <c r="T34" s="266"/>
      <c r="U34" s="103"/>
      <c r="V34" s="102"/>
    </row>
    <row r="35" spans="1:25" ht="15.75" customHeight="1" x14ac:dyDescent="0.3">
      <c r="A35" s="97">
        <v>29</v>
      </c>
      <c r="B35" s="98" t="s">
        <v>110</v>
      </c>
      <c r="C35" s="257" t="s">
        <v>111</v>
      </c>
      <c r="D35" s="98" t="s">
        <v>112</v>
      </c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260">
        <f t="shared" si="0"/>
        <v>0</v>
      </c>
      <c r="S35" s="220"/>
      <c r="T35" s="220"/>
      <c r="U35" s="220"/>
      <c r="V35" s="220"/>
    </row>
    <row r="36" spans="1:25" ht="15.75" customHeight="1" x14ac:dyDescent="0.3">
      <c r="A36" s="90">
        <v>30</v>
      </c>
      <c r="B36" s="93" t="s">
        <v>113</v>
      </c>
      <c r="C36" s="91" t="s">
        <v>114</v>
      </c>
      <c r="D36" s="93" t="s">
        <v>115</v>
      </c>
      <c r="E36" s="90"/>
      <c r="F36" s="268">
        <v>10</v>
      </c>
      <c r="G36" s="269">
        <v>10</v>
      </c>
      <c r="H36" s="269">
        <v>10</v>
      </c>
      <c r="I36" s="269">
        <v>10</v>
      </c>
      <c r="J36" s="269">
        <v>10</v>
      </c>
      <c r="K36" s="269">
        <v>10</v>
      </c>
      <c r="L36" s="269">
        <v>10</v>
      </c>
      <c r="M36" s="269">
        <v>10</v>
      </c>
      <c r="N36" s="269">
        <v>10</v>
      </c>
      <c r="O36" s="269">
        <v>10</v>
      </c>
      <c r="P36" s="269">
        <v>10</v>
      </c>
      <c r="Q36" s="269">
        <v>10</v>
      </c>
      <c r="R36" s="265">
        <f t="shared" si="0"/>
        <v>120</v>
      </c>
      <c r="S36" s="266" t="s">
        <v>556</v>
      </c>
      <c r="T36" s="266"/>
      <c r="U36" s="102"/>
      <c r="V36" s="220"/>
    </row>
    <row r="37" spans="1:25" ht="15.75" customHeight="1" x14ac:dyDescent="0.3">
      <c r="A37" s="97">
        <v>31</v>
      </c>
      <c r="B37" s="98" t="s">
        <v>116</v>
      </c>
      <c r="C37" s="257" t="s">
        <v>117</v>
      </c>
      <c r="D37" s="98" t="s">
        <v>118</v>
      </c>
      <c r="E37" s="97"/>
      <c r="F37" s="258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60">
        <f t="shared" si="0"/>
        <v>0</v>
      </c>
      <c r="S37" s="102"/>
      <c r="T37" s="102"/>
      <c r="U37" s="102"/>
      <c r="V37" s="220"/>
    </row>
    <row r="38" spans="1:25" ht="15.75" customHeight="1" x14ac:dyDescent="0.3">
      <c r="A38" s="90">
        <v>32</v>
      </c>
      <c r="B38" s="93" t="s">
        <v>119</v>
      </c>
      <c r="C38" s="274" t="s">
        <v>507</v>
      </c>
      <c r="D38" s="93" t="s">
        <v>121</v>
      </c>
      <c r="E38" s="90"/>
      <c r="F38" s="268">
        <v>10</v>
      </c>
      <c r="G38" s="269">
        <v>10</v>
      </c>
      <c r="H38" s="269">
        <v>10</v>
      </c>
      <c r="I38" s="269">
        <v>10</v>
      </c>
      <c r="J38" s="269">
        <v>10</v>
      </c>
      <c r="K38" s="269">
        <v>10</v>
      </c>
      <c r="L38" s="269">
        <v>10</v>
      </c>
      <c r="M38" s="269">
        <v>10</v>
      </c>
      <c r="N38" s="269">
        <v>10</v>
      </c>
      <c r="O38" s="269">
        <v>10</v>
      </c>
      <c r="P38" s="269">
        <v>10</v>
      </c>
      <c r="Q38" s="269">
        <v>10</v>
      </c>
      <c r="R38" s="265">
        <f t="shared" si="0"/>
        <v>120</v>
      </c>
      <c r="S38" s="266" t="s">
        <v>557</v>
      </c>
      <c r="T38" s="266"/>
      <c r="U38" s="103"/>
      <c r="V38" s="220"/>
    </row>
    <row r="39" spans="1:25" ht="15.75" customHeight="1" x14ac:dyDescent="0.3">
      <c r="A39" s="90">
        <v>33</v>
      </c>
      <c r="B39" s="93" t="s">
        <v>122</v>
      </c>
      <c r="C39" s="91" t="s">
        <v>123</v>
      </c>
      <c r="D39" s="93" t="s">
        <v>124</v>
      </c>
      <c r="E39" s="90"/>
      <c r="F39" s="268">
        <v>10</v>
      </c>
      <c r="G39" s="269">
        <v>10</v>
      </c>
      <c r="H39" s="269">
        <v>10</v>
      </c>
      <c r="I39" s="269">
        <v>10</v>
      </c>
      <c r="J39" s="269">
        <v>10</v>
      </c>
      <c r="K39" s="269">
        <v>10</v>
      </c>
      <c r="L39" s="269">
        <v>10</v>
      </c>
      <c r="M39" s="269">
        <v>10</v>
      </c>
      <c r="N39" s="269">
        <v>10</v>
      </c>
      <c r="O39" s="269">
        <v>10</v>
      </c>
      <c r="P39" s="269">
        <v>10</v>
      </c>
      <c r="Q39" s="269">
        <v>10</v>
      </c>
      <c r="R39" s="265">
        <f t="shared" si="0"/>
        <v>120</v>
      </c>
      <c r="S39" s="266" t="s">
        <v>558</v>
      </c>
      <c r="T39" s="266"/>
      <c r="U39" s="103"/>
      <c r="V39" s="220"/>
    </row>
    <row r="40" spans="1:25" ht="15.75" customHeight="1" x14ac:dyDescent="0.3">
      <c r="A40" s="90">
        <v>34</v>
      </c>
      <c r="B40" s="107" t="s">
        <v>125</v>
      </c>
      <c r="C40" s="275" t="s">
        <v>510</v>
      </c>
      <c r="D40" s="107" t="s">
        <v>127</v>
      </c>
      <c r="E40" s="106"/>
      <c r="F40" s="106">
        <v>10</v>
      </c>
      <c r="G40" s="106">
        <v>10</v>
      </c>
      <c r="H40" s="106">
        <v>10</v>
      </c>
      <c r="I40" s="106">
        <v>10</v>
      </c>
      <c r="J40" s="106">
        <v>10</v>
      </c>
      <c r="K40" s="106">
        <v>10</v>
      </c>
      <c r="L40" s="106">
        <v>10</v>
      </c>
      <c r="M40" s="106">
        <v>10</v>
      </c>
      <c r="N40" s="106">
        <v>10</v>
      </c>
      <c r="O40" s="106">
        <v>10</v>
      </c>
      <c r="P40" s="106">
        <v>10</v>
      </c>
      <c r="Q40" s="106">
        <v>10</v>
      </c>
      <c r="R40" s="262">
        <f t="shared" si="0"/>
        <v>120</v>
      </c>
      <c r="S40" s="263" t="s">
        <v>559</v>
      </c>
      <c r="T40" s="112"/>
      <c r="U40" s="220"/>
      <c r="V40" s="220"/>
    </row>
    <row r="41" spans="1:25" ht="15.75" customHeight="1" x14ac:dyDescent="0.3">
      <c r="A41" s="97">
        <v>35</v>
      </c>
      <c r="B41" s="98" t="s">
        <v>128</v>
      </c>
      <c r="C41" s="267" t="s">
        <v>512</v>
      </c>
      <c r="D41" s="98" t="s">
        <v>130</v>
      </c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260">
        <f t="shared" si="0"/>
        <v>0</v>
      </c>
      <c r="S41" s="103"/>
      <c r="T41" s="102"/>
      <c r="U41" s="102"/>
      <c r="V41" s="220"/>
    </row>
    <row r="42" spans="1:25" ht="15.75" customHeight="1" x14ac:dyDescent="0.3">
      <c r="A42" s="97">
        <v>36</v>
      </c>
      <c r="B42" s="98" t="s">
        <v>131</v>
      </c>
      <c r="C42" s="257" t="s">
        <v>132</v>
      </c>
      <c r="D42" s="98" t="s">
        <v>133</v>
      </c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260">
        <f t="shared" si="0"/>
        <v>0</v>
      </c>
      <c r="S42" s="220"/>
      <c r="T42" s="220"/>
      <c r="U42" s="220"/>
      <c r="V42" s="220"/>
    </row>
    <row r="43" spans="1:25" ht="15.75" customHeight="1" x14ac:dyDescent="0.3">
      <c r="A43" s="97">
        <v>37</v>
      </c>
      <c r="B43" s="98" t="s">
        <v>135</v>
      </c>
      <c r="C43" s="257" t="s">
        <v>136</v>
      </c>
      <c r="D43" s="98" t="s">
        <v>137</v>
      </c>
      <c r="E43" s="97"/>
      <c r="F43" s="258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60">
        <f t="shared" si="0"/>
        <v>0</v>
      </c>
      <c r="S43" s="103"/>
      <c r="T43" s="103"/>
      <c r="U43" s="102"/>
      <c r="V43" s="102"/>
    </row>
    <row r="44" spans="1:25" ht="15.75" customHeight="1" x14ac:dyDescent="0.3">
      <c r="A44" s="97">
        <v>38</v>
      </c>
      <c r="B44" s="98" t="s">
        <v>138</v>
      </c>
      <c r="C44" s="257" t="s">
        <v>139</v>
      </c>
      <c r="D44" s="98" t="s">
        <v>140</v>
      </c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260">
        <f t="shared" si="0"/>
        <v>0</v>
      </c>
      <c r="S44" s="102"/>
      <c r="T44" s="102"/>
      <c r="U44" s="102"/>
      <c r="V44" s="220"/>
    </row>
    <row r="45" spans="1:25" ht="15.75" customHeight="1" x14ac:dyDescent="0.3">
      <c r="A45" s="90">
        <v>39</v>
      </c>
      <c r="B45" s="93" t="s">
        <v>141</v>
      </c>
      <c r="C45" s="196" t="s">
        <v>142</v>
      </c>
      <c r="D45" s="93" t="s">
        <v>143</v>
      </c>
      <c r="E45" s="90"/>
      <c r="F45" s="90">
        <v>10</v>
      </c>
      <c r="G45" s="90">
        <v>10</v>
      </c>
      <c r="H45" s="90">
        <v>10</v>
      </c>
      <c r="I45" s="90">
        <v>10</v>
      </c>
      <c r="J45" s="90">
        <v>10</v>
      </c>
      <c r="K45" s="90">
        <v>10</v>
      </c>
      <c r="L45" s="90">
        <v>10</v>
      </c>
      <c r="M45" s="90">
        <v>10</v>
      </c>
      <c r="N45" s="90">
        <v>10</v>
      </c>
      <c r="O45" s="90">
        <v>10</v>
      </c>
      <c r="P45" s="90">
        <v>10</v>
      </c>
      <c r="Q45" s="90">
        <v>10</v>
      </c>
      <c r="R45" s="265">
        <f t="shared" si="0"/>
        <v>120</v>
      </c>
      <c r="S45" s="173" t="s">
        <v>515</v>
      </c>
      <c r="T45" s="173"/>
      <c r="U45" s="173"/>
      <c r="V45" s="220"/>
    </row>
    <row r="46" spans="1:25" ht="15.75" customHeight="1" x14ac:dyDescent="0.3">
      <c r="A46" s="97">
        <v>40</v>
      </c>
      <c r="B46" s="98" t="s">
        <v>144</v>
      </c>
      <c r="C46" s="257" t="s">
        <v>145</v>
      </c>
      <c r="D46" s="98" t="s">
        <v>146</v>
      </c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260">
        <f t="shared" si="0"/>
        <v>0</v>
      </c>
      <c r="S46" s="103"/>
      <c r="T46" s="102"/>
      <c r="U46" s="102"/>
      <c r="V46" s="102"/>
      <c r="W46" s="8"/>
      <c r="X46" s="8"/>
      <c r="Y46" s="8"/>
    </row>
    <row r="47" spans="1:25" ht="15.75" customHeight="1" x14ac:dyDescent="0.3">
      <c r="A47" s="97">
        <v>41</v>
      </c>
      <c r="B47" s="98" t="s">
        <v>147</v>
      </c>
      <c r="C47" s="101" t="s">
        <v>458</v>
      </c>
      <c r="D47" s="98" t="s">
        <v>149</v>
      </c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260">
        <f t="shared" si="0"/>
        <v>0</v>
      </c>
      <c r="S47" s="102"/>
      <c r="T47" s="102"/>
      <c r="U47" s="102"/>
      <c r="V47" s="220"/>
    </row>
    <row r="48" spans="1:25" ht="15.75" customHeight="1" x14ac:dyDescent="0.3">
      <c r="A48" s="97">
        <v>42</v>
      </c>
      <c r="B48" s="98" t="s">
        <v>150</v>
      </c>
      <c r="C48" s="276" t="s">
        <v>517</v>
      </c>
      <c r="D48" s="98" t="s">
        <v>152</v>
      </c>
      <c r="E48" s="97"/>
      <c r="F48" s="258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60">
        <f t="shared" si="0"/>
        <v>0</v>
      </c>
      <c r="S48" s="219"/>
      <c r="T48" s="103"/>
      <c r="U48" s="277"/>
      <c r="V48" s="220"/>
    </row>
    <row r="49" spans="1:25" ht="15.75" customHeight="1" x14ac:dyDescent="0.3">
      <c r="A49" s="97">
        <v>43</v>
      </c>
      <c r="B49" s="98" t="s">
        <v>153</v>
      </c>
      <c r="C49" s="101" t="s">
        <v>518</v>
      </c>
      <c r="D49" s="98" t="s">
        <v>155</v>
      </c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260">
        <f t="shared" si="0"/>
        <v>0</v>
      </c>
      <c r="S49" s="278"/>
      <c r="T49" s="277"/>
      <c r="U49" s="102"/>
      <c r="V49" s="277"/>
    </row>
    <row r="50" spans="1:25" ht="15.75" customHeight="1" x14ac:dyDescent="0.3">
      <c r="A50" s="97">
        <v>44</v>
      </c>
      <c r="B50" s="98" t="s">
        <v>156</v>
      </c>
      <c r="C50" s="101" t="s">
        <v>157</v>
      </c>
      <c r="D50" s="98" t="s">
        <v>158</v>
      </c>
      <c r="E50" s="97"/>
      <c r="F50" s="258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60">
        <f t="shared" si="0"/>
        <v>0</v>
      </c>
      <c r="S50" s="102"/>
      <c r="T50" s="102"/>
      <c r="U50" s="102"/>
      <c r="V50" s="220"/>
    </row>
    <row r="51" spans="1:25" ht="15.75" customHeight="1" x14ac:dyDescent="0.3">
      <c r="A51" s="97">
        <v>45</v>
      </c>
      <c r="B51" s="98" t="s">
        <v>159</v>
      </c>
      <c r="C51" s="99" t="s">
        <v>160</v>
      </c>
      <c r="D51" s="98" t="s">
        <v>161</v>
      </c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260">
        <f t="shared" si="0"/>
        <v>0</v>
      </c>
      <c r="S51" s="220"/>
      <c r="T51" s="220"/>
      <c r="U51" s="220"/>
      <c r="V51" s="220"/>
    </row>
    <row r="52" spans="1:25" ht="15.75" customHeight="1" x14ac:dyDescent="0.3">
      <c r="A52" s="97">
        <v>46</v>
      </c>
      <c r="B52" s="98" t="s">
        <v>162</v>
      </c>
      <c r="C52" s="101" t="s">
        <v>163</v>
      </c>
      <c r="D52" s="98" t="s">
        <v>164</v>
      </c>
      <c r="E52" s="97"/>
      <c r="F52" s="258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60">
        <f t="shared" si="0"/>
        <v>0</v>
      </c>
      <c r="S52" s="103"/>
      <c r="T52" s="103"/>
      <c r="U52" s="103"/>
      <c r="V52" s="220"/>
    </row>
    <row r="53" spans="1:25" ht="15.75" customHeight="1" x14ac:dyDescent="0.3">
      <c r="A53" s="97">
        <v>47</v>
      </c>
      <c r="B53" s="98" t="s">
        <v>165</v>
      </c>
      <c r="C53" s="99" t="s">
        <v>166</v>
      </c>
      <c r="D53" s="98" t="s">
        <v>167</v>
      </c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260">
        <f t="shared" si="0"/>
        <v>0</v>
      </c>
      <c r="S53" s="220"/>
      <c r="T53" s="220"/>
      <c r="U53" s="220"/>
      <c r="V53" s="220"/>
    </row>
    <row r="54" spans="1:25" ht="15.75" customHeight="1" x14ac:dyDescent="0.3">
      <c r="A54" s="90">
        <v>48</v>
      </c>
      <c r="B54" s="93" t="s">
        <v>168</v>
      </c>
      <c r="C54" s="196" t="s">
        <v>169</v>
      </c>
      <c r="D54" s="93" t="s">
        <v>170</v>
      </c>
      <c r="E54" s="90"/>
      <c r="F54" s="268">
        <v>10</v>
      </c>
      <c r="G54" s="269">
        <v>10</v>
      </c>
      <c r="H54" s="269">
        <v>10</v>
      </c>
      <c r="I54" s="269">
        <v>10</v>
      </c>
      <c r="J54" s="269">
        <v>10</v>
      </c>
      <c r="K54" s="269">
        <v>10</v>
      </c>
      <c r="L54" s="269">
        <v>10</v>
      </c>
      <c r="M54" s="269">
        <v>10</v>
      </c>
      <c r="N54" s="269">
        <v>10</v>
      </c>
      <c r="O54" s="269">
        <v>10</v>
      </c>
      <c r="P54" s="269">
        <v>10</v>
      </c>
      <c r="Q54" s="269">
        <v>10</v>
      </c>
      <c r="R54" s="265">
        <f t="shared" si="0"/>
        <v>120</v>
      </c>
      <c r="S54" s="270" t="s">
        <v>560</v>
      </c>
      <c r="T54" s="266"/>
      <c r="U54" s="103"/>
      <c r="V54" s="220"/>
    </row>
    <row r="55" spans="1:25" ht="15.75" customHeight="1" x14ac:dyDescent="0.3">
      <c r="A55" s="97">
        <v>49</v>
      </c>
      <c r="B55" s="98" t="s">
        <v>171</v>
      </c>
      <c r="C55" s="257" t="s">
        <v>172</v>
      </c>
      <c r="D55" s="98" t="s">
        <v>173</v>
      </c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260">
        <f t="shared" si="0"/>
        <v>0</v>
      </c>
      <c r="S55" s="102"/>
      <c r="T55" s="102"/>
      <c r="U55" s="102"/>
      <c r="V55" s="102"/>
      <c r="W55" s="8"/>
      <c r="X55" s="8"/>
      <c r="Y55" s="8"/>
    </row>
    <row r="56" spans="1:25" ht="15.75" customHeight="1" x14ac:dyDescent="0.3">
      <c r="A56" s="97">
        <v>50</v>
      </c>
      <c r="B56" s="98" t="s">
        <v>174</v>
      </c>
      <c r="C56" s="99" t="s">
        <v>175</v>
      </c>
      <c r="D56" s="98" t="s">
        <v>176</v>
      </c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260">
        <f t="shared" si="0"/>
        <v>0</v>
      </c>
      <c r="S56" s="102"/>
      <c r="T56" s="102"/>
      <c r="U56" s="102"/>
      <c r="V56" s="102"/>
      <c r="W56" s="8"/>
      <c r="X56" s="8"/>
      <c r="Y56" s="8"/>
    </row>
    <row r="57" spans="1:25" ht="15.75" customHeight="1" x14ac:dyDescent="0.3">
      <c r="A57" s="90">
        <v>51</v>
      </c>
      <c r="B57" s="93" t="s">
        <v>177</v>
      </c>
      <c r="C57" s="91" t="s">
        <v>178</v>
      </c>
      <c r="D57" s="93" t="s">
        <v>179</v>
      </c>
      <c r="E57" s="90"/>
      <c r="F57" s="268">
        <v>10</v>
      </c>
      <c r="G57" s="269">
        <v>10</v>
      </c>
      <c r="H57" s="269">
        <v>10</v>
      </c>
      <c r="I57" s="269">
        <v>10</v>
      </c>
      <c r="J57" s="269">
        <v>10</v>
      </c>
      <c r="K57" s="269">
        <v>10</v>
      </c>
      <c r="L57" s="269">
        <v>10</v>
      </c>
      <c r="M57" s="269">
        <v>10</v>
      </c>
      <c r="N57" s="269">
        <v>10</v>
      </c>
      <c r="O57" s="269">
        <v>10</v>
      </c>
      <c r="P57" s="269">
        <v>10</v>
      </c>
      <c r="Q57" s="269">
        <v>10</v>
      </c>
      <c r="R57" s="265">
        <f t="shared" si="0"/>
        <v>120</v>
      </c>
      <c r="S57" s="270" t="s">
        <v>561</v>
      </c>
      <c r="T57" s="266"/>
      <c r="U57" s="277"/>
      <c r="V57" s="102"/>
      <c r="W57" s="8"/>
      <c r="X57" s="8"/>
      <c r="Y57" s="8"/>
    </row>
    <row r="58" spans="1:25" ht="15.75" customHeight="1" x14ac:dyDescent="0.3">
      <c r="A58" s="97">
        <v>52</v>
      </c>
      <c r="B58" s="98" t="s">
        <v>180</v>
      </c>
      <c r="C58" s="257" t="s">
        <v>181</v>
      </c>
      <c r="D58" s="98" t="s">
        <v>182</v>
      </c>
      <c r="E58" s="97"/>
      <c r="F58" s="258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60">
        <f t="shared" si="0"/>
        <v>0</v>
      </c>
      <c r="S58" s="219"/>
      <c r="T58" s="102"/>
      <c r="U58" s="102"/>
      <c r="V58" s="102"/>
      <c r="W58" s="8"/>
      <c r="X58" s="8"/>
      <c r="Y58" s="8"/>
    </row>
    <row r="59" spans="1:25" ht="15.75" customHeight="1" x14ac:dyDescent="0.3">
      <c r="A59" s="97">
        <v>53</v>
      </c>
      <c r="B59" s="98" t="s">
        <v>183</v>
      </c>
      <c r="C59" s="257" t="s">
        <v>184</v>
      </c>
      <c r="D59" s="98" t="s">
        <v>185</v>
      </c>
      <c r="E59" s="97"/>
      <c r="F59" s="258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60">
        <f t="shared" si="0"/>
        <v>0</v>
      </c>
      <c r="S59" s="219"/>
      <c r="T59" s="102"/>
      <c r="U59" s="102"/>
      <c r="V59" s="102"/>
      <c r="W59" s="8"/>
      <c r="X59" s="8"/>
      <c r="Y59" s="8"/>
    </row>
    <row r="60" spans="1:25" ht="15.75" customHeight="1" x14ac:dyDescent="0.3">
      <c r="A60" s="97">
        <v>54</v>
      </c>
      <c r="B60" s="98" t="s">
        <v>186</v>
      </c>
      <c r="C60" s="101" t="s">
        <v>422</v>
      </c>
      <c r="D60" s="98" t="s">
        <v>188</v>
      </c>
      <c r="E60" s="97"/>
      <c r="F60" s="258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60">
        <f t="shared" si="0"/>
        <v>0</v>
      </c>
      <c r="S60" s="219"/>
      <c r="T60" s="103"/>
      <c r="U60" s="277"/>
      <c r="V60" s="102"/>
      <c r="W60" s="8"/>
      <c r="X60" s="8"/>
      <c r="Y60" s="8"/>
    </row>
    <row r="61" spans="1:25" ht="15.75" customHeight="1" x14ac:dyDescent="0.3">
      <c r="A61" s="97">
        <v>55</v>
      </c>
      <c r="B61" s="98" t="s">
        <v>190</v>
      </c>
      <c r="C61" s="267" t="s">
        <v>526</v>
      </c>
      <c r="D61" s="98" t="s">
        <v>192</v>
      </c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260">
        <f t="shared" si="0"/>
        <v>0</v>
      </c>
      <c r="S61" s="102"/>
      <c r="T61" s="102"/>
      <c r="U61" s="102"/>
      <c r="V61" s="102"/>
      <c r="W61" s="8"/>
      <c r="X61" s="8"/>
      <c r="Y61" s="8"/>
    </row>
    <row r="62" spans="1:25" ht="15.75" customHeight="1" x14ac:dyDescent="0.3">
      <c r="A62" s="97">
        <v>56</v>
      </c>
      <c r="B62" s="98" t="s">
        <v>193</v>
      </c>
      <c r="C62" s="267" t="s">
        <v>527</v>
      </c>
      <c r="D62" s="98" t="s">
        <v>195</v>
      </c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260">
        <f t="shared" si="0"/>
        <v>0</v>
      </c>
      <c r="S62" s="102"/>
      <c r="T62" s="102"/>
      <c r="U62" s="102"/>
      <c r="V62" s="102"/>
      <c r="W62" s="8"/>
      <c r="X62" s="8"/>
      <c r="Y62" s="8"/>
    </row>
    <row r="63" spans="1:25" ht="15.75" customHeight="1" x14ac:dyDescent="0.3">
      <c r="A63" s="90">
        <v>57</v>
      </c>
      <c r="B63" s="93" t="s">
        <v>198</v>
      </c>
      <c r="C63" s="196" t="s">
        <v>199</v>
      </c>
      <c r="D63" s="93" t="s">
        <v>200</v>
      </c>
      <c r="E63" s="90"/>
      <c r="F63" s="90">
        <v>10</v>
      </c>
      <c r="G63" s="90">
        <v>10</v>
      </c>
      <c r="H63" s="90">
        <v>10</v>
      </c>
      <c r="I63" s="90">
        <v>10</v>
      </c>
      <c r="J63" s="90">
        <v>10</v>
      </c>
      <c r="K63" s="90">
        <v>10</v>
      </c>
      <c r="L63" s="90">
        <v>10</v>
      </c>
      <c r="M63" s="90">
        <v>10</v>
      </c>
      <c r="N63" s="90">
        <v>10</v>
      </c>
      <c r="O63" s="90">
        <v>10</v>
      </c>
      <c r="P63" s="90">
        <v>10</v>
      </c>
      <c r="Q63" s="90">
        <v>10</v>
      </c>
      <c r="R63" s="265">
        <f t="shared" si="0"/>
        <v>120</v>
      </c>
      <c r="S63" s="270" t="s">
        <v>562</v>
      </c>
      <c r="T63" s="95"/>
      <c r="U63" s="102"/>
      <c r="V63" s="102"/>
      <c r="W63" s="8"/>
      <c r="X63" s="8"/>
      <c r="Y63" s="8"/>
    </row>
    <row r="64" spans="1:25" ht="15.75" customHeight="1" x14ac:dyDescent="0.3">
      <c r="A64" s="97">
        <v>58</v>
      </c>
      <c r="B64" s="98" t="s">
        <v>202</v>
      </c>
      <c r="C64" s="99" t="s">
        <v>203</v>
      </c>
      <c r="D64" s="98" t="s">
        <v>204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260">
        <f t="shared" si="0"/>
        <v>0</v>
      </c>
      <c r="S64" s="102"/>
      <c r="T64" s="102"/>
      <c r="U64" s="102"/>
      <c r="V64" s="102"/>
      <c r="W64" s="8"/>
      <c r="X64" s="8"/>
      <c r="Y64" s="8"/>
    </row>
    <row r="65" spans="1:25" ht="15.75" customHeight="1" x14ac:dyDescent="0.3">
      <c r="A65" s="97">
        <v>59</v>
      </c>
      <c r="B65" s="98" t="s">
        <v>205</v>
      </c>
      <c r="C65" s="99" t="s">
        <v>206</v>
      </c>
      <c r="D65" s="98" t="s">
        <v>207</v>
      </c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260">
        <f t="shared" si="0"/>
        <v>0</v>
      </c>
      <c r="S65" s="102"/>
      <c r="T65" s="102"/>
      <c r="U65" s="102"/>
      <c r="V65" s="102"/>
      <c r="W65" s="8"/>
      <c r="X65" s="8"/>
      <c r="Y65" s="8"/>
    </row>
    <row r="66" spans="1:25" ht="15.75" customHeight="1" x14ac:dyDescent="0.3">
      <c r="A66" s="97">
        <v>60</v>
      </c>
      <c r="B66" s="98" t="s">
        <v>208</v>
      </c>
      <c r="C66" s="99" t="s">
        <v>209</v>
      </c>
      <c r="D66" s="98" t="s">
        <v>210</v>
      </c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260">
        <f t="shared" si="0"/>
        <v>0</v>
      </c>
      <c r="S66" s="102"/>
      <c r="T66" s="102"/>
      <c r="U66" s="102"/>
      <c r="V66" s="102"/>
      <c r="W66" s="8"/>
      <c r="X66" s="8"/>
      <c r="Y66" s="8"/>
    </row>
    <row r="67" spans="1:25" ht="15.75" customHeight="1" x14ac:dyDescent="0.3">
      <c r="A67" s="97">
        <v>61</v>
      </c>
      <c r="B67" s="98" t="s">
        <v>211</v>
      </c>
      <c r="C67" s="101" t="s">
        <v>212</v>
      </c>
      <c r="D67" s="98" t="s">
        <v>213</v>
      </c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260">
        <f t="shared" si="0"/>
        <v>0</v>
      </c>
      <c r="S67" s="102"/>
      <c r="T67" s="102"/>
      <c r="U67" s="102"/>
      <c r="V67" s="102"/>
      <c r="W67" s="8"/>
      <c r="X67" s="8"/>
      <c r="Y67" s="8"/>
    </row>
    <row r="68" spans="1:25" ht="15.75" customHeight="1" x14ac:dyDescent="0.3">
      <c r="A68" s="97">
        <v>62</v>
      </c>
      <c r="B68" s="93" t="s">
        <v>214</v>
      </c>
      <c r="C68" s="214" t="s">
        <v>528</v>
      </c>
      <c r="D68" s="93" t="s">
        <v>216</v>
      </c>
      <c r="E68" s="90"/>
      <c r="F68" s="90">
        <v>10</v>
      </c>
      <c r="G68" s="90">
        <v>10</v>
      </c>
      <c r="H68" s="90">
        <v>10</v>
      </c>
      <c r="I68" s="90">
        <v>10</v>
      </c>
      <c r="J68" s="90">
        <v>10</v>
      </c>
      <c r="K68" s="90">
        <v>10</v>
      </c>
      <c r="L68" s="90">
        <v>10</v>
      </c>
      <c r="M68" s="90">
        <v>10</v>
      </c>
      <c r="N68" s="90">
        <v>10</v>
      </c>
      <c r="O68" s="90">
        <v>10</v>
      </c>
      <c r="P68" s="90">
        <v>10</v>
      </c>
      <c r="Q68" s="90">
        <v>10</v>
      </c>
      <c r="R68" s="265">
        <f t="shared" si="0"/>
        <v>120</v>
      </c>
      <c r="S68" s="95" t="s">
        <v>529</v>
      </c>
      <c r="T68" s="95"/>
      <c r="U68" s="95"/>
      <c r="V68" s="102"/>
      <c r="W68" s="8"/>
      <c r="X68" s="8"/>
      <c r="Y68" s="8"/>
    </row>
    <row r="69" spans="1:25" ht="15.75" customHeight="1" x14ac:dyDescent="0.3">
      <c r="A69" s="97">
        <v>63</v>
      </c>
      <c r="B69" s="98" t="s">
        <v>217</v>
      </c>
      <c r="C69" s="99" t="s">
        <v>218</v>
      </c>
      <c r="D69" s="98" t="s">
        <v>219</v>
      </c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260">
        <f t="shared" si="0"/>
        <v>0</v>
      </c>
      <c r="S69" s="102"/>
      <c r="T69" s="102"/>
      <c r="U69" s="102"/>
      <c r="V69" s="102"/>
      <c r="W69" s="8"/>
      <c r="X69" s="8"/>
      <c r="Y69" s="8"/>
    </row>
    <row r="70" spans="1:25" ht="15.75" customHeight="1" x14ac:dyDescent="0.3">
      <c r="A70" s="97">
        <v>64</v>
      </c>
      <c r="B70" s="98" t="s">
        <v>220</v>
      </c>
      <c r="C70" s="101" t="s">
        <v>221</v>
      </c>
      <c r="D70" s="98" t="s">
        <v>222</v>
      </c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260">
        <f t="shared" si="0"/>
        <v>0</v>
      </c>
      <c r="S70" s="102"/>
      <c r="T70" s="102"/>
      <c r="U70" s="102"/>
      <c r="V70" s="102"/>
      <c r="W70" s="8"/>
      <c r="X70" s="8"/>
      <c r="Y70" s="8"/>
    </row>
    <row r="71" spans="1:25" ht="15.75" customHeight="1" x14ac:dyDescent="0.3">
      <c r="A71" s="97">
        <v>65</v>
      </c>
      <c r="B71" s="98" t="s">
        <v>223</v>
      </c>
      <c r="C71" s="257" t="s">
        <v>530</v>
      </c>
      <c r="D71" s="98" t="s">
        <v>225</v>
      </c>
      <c r="E71" s="97"/>
      <c r="F71" s="258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60">
        <f t="shared" si="0"/>
        <v>0</v>
      </c>
      <c r="S71" s="102"/>
      <c r="T71" s="102"/>
      <c r="U71" s="102"/>
      <c r="V71" s="102"/>
      <c r="W71" s="8"/>
      <c r="X71" s="8"/>
      <c r="Y71" s="8"/>
    </row>
    <row r="72" spans="1:25" ht="15.75" customHeight="1" x14ac:dyDescent="0.3">
      <c r="A72" s="97">
        <v>66</v>
      </c>
      <c r="B72" s="98" t="s">
        <v>226</v>
      </c>
      <c r="C72" s="101" t="s">
        <v>468</v>
      </c>
      <c r="D72" s="98" t="s">
        <v>228</v>
      </c>
      <c r="E72" s="97"/>
      <c r="F72" s="258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60">
        <f t="shared" ref="R72:R90" si="1">SUM(F72:Q72)</f>
        <v>0</v>
      </c>
      <c r="S72" s="102"/>
      <c r="T72" s="102"/>
      <c r="U72" s="102"/>
      <c r="V72" s="220"/>
    </row>
    <row r="73" spans="1:25" ht="15.75" customHeight="1" x14ac:dyDescent="0.3">
      <c r="A73" s="90">
        <v>67</v>
      </c>
      <c r="B73" s="93" t="s">
        <v>230</v>
      </c>
      <c r="C73" s="214" t="s">
        <v>531</v>
      </c>
      <c r="D73" s="93" t="s">
        <v>232</v>
      </c>
      <c r="E73" s="90"/>
      <c r="F73" s="268">
        <v>10</v>
      </c>
      <c r="G73" s="269">
        <v>10</v>
      </c>
      <c r="H73" s="269">
        <v>10</v>
      </c>
      <c r="I73" s="269">
        <v>10</v>
      </c>
      <c r="J73" s="269">
        <v>10</v>
      </c>
      <c r="K73" s="269">
        <v>10</v>
      </c>
      <c r="L73" s="269">
        <v>10</v>
      </c>
      <c r="M73" s="269">
        <v>10</v>
      </c>
      <c r="N73" s="269">
        <v>10</v>
      </c>
      <c r="O73" s="269">
        <v>10</v>
      </c>
      <c r="P73" s="269">
        <v>10</v>
      </c>
      <c r="Q73" s="269">
        <v>10</v>
      </c>
      <c r="R73" s="265">
        <f t="shared" si="1"/>
        <v>120</v>
      </c>
      <c r="S73" s="270" t="s">
        <v>563</v>
      </c>
      <c r="T73" s="266"/>
      <c r="U73" s="277"/>
      <c r="V73" s="220"/>
    </row>
    <row r="74" spans="1:25" ht="15.75" customHeight="1" x14ac:dyDescent="0.3">
      <c r="A74" s="97">
        <v>68</v>
      </c>
      <c r="B74" s="98" t="s">
        <v>233</v>
      </c>
      <c r="C74" s="101" t="s">
        <v>469</v>
      </c>
      <c r="D74" s="98" t="s">
        <v>235</v>
      </c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260">
        <f t="shared" si="1"/>
        <v>0</v>
      </c>
      <c r="S74" s="102"/>
      <c r="T74" s="102"/>
      <c r="U74" s="102"/>
      <c r="V74" s="220"/>
    </row>
    <row r="75" spans="1:25" ht="15.75" customHeight="1" x14ac:dyDescent="0.3">
      <c r="A75" s="97">
        <v>69</v>
      </c>
      <c r="B75" s="98" t="s">
        <v>236</v>
      </c>
      <c r="C75" s="99" t="s">
        <v>532</v>
      </c>
      <c r="D75" s="98" t="s">
        <v>238</v>
      </c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260">
        <f t="shared" si="1"/>
        <v>0</v>
      </c>
      <c r="S75" s="220"/>
      <c r="T75" s="220"/>
      <c r="U75" s="220"/>
      <c r="V75" s="220"/>
    </row>
    <row r="76" spans="1:25" ht="15.75" customHeight="1" x14ac:dyDescent="0.3">
      <c r="A76" s="97">
        <v>70</v>
      </c>
      <c r="B76" s="98" t="s">
        <v>239</v>
      </c>
      <c r="C76" s="99" t="s">
        <v>240</v>
      </c>
      <c r="D76" s="98" t="s">
        <v>241</v>
      </c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260">
        <f t="shared" si="1"/>
        <v>0</v>
      </c>
      <c r="S76" s="220"/>
      <c r="T76" s="220"/>
      <c r="U76" s="220"/>
      <c r="V76" s="220"/>
    </row>
    <row r="77" spans="1:25" ht="15.75" customHeight="1" x14ac:dyDescent="0.3">
      <c r="A77" s="97">
        <v>71</v>
      </c>
      <c r="B77" s="98" t="s">
        <v>242</v>
      </c>
      <c r="C77" s="101" t="s">
        <v>243</v>
      </c>
      <c r="D77" s="98" t="s">
        <v>244</v>
      </c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260">
        <f t="shared" si="1"/>
        <v>0</v>
      </c>
      <c r="S77" s="220"/>
      <c r="T77" s="220"/>
      <c r="U77" s="220"/>
      <c r="V77" s="220"/>
    </row>
    <row r="78" spans="1:25" ht="15.75" customHeight="1" x14ac:dyDescent="0.3">
      <c r="A78" s="106">
        <v>72</v>
      </c>
      <c r="B78" s="107" t="s">
        <v>245</v>
      </c>
      <c r="C78" s="110" t="s">
        <v>246</v>
      </c>
      <c r="D78" s="107" t="s">
        <v>247</v>
      </c>
      <c r="E78" s="106"/>
      <c r="F78" s="106">
        <v>10</v>
      </c>
      <c r="G78" s="106">
        <v>10</v>
      </c>
      <c r="H78" s="106">
        <v>10</v>
      </c>
      <c r="I78" s="106">
        <v>10</v>
      </c>
      <c r="J78" s="106">
        <v>10</v>
      </c>
      <c r="K78" s="106">
        <v>10</v>
      </c>
      <c r="L78" s="106">
        <v>10</v>
      </c>
      <c r="M78" s="106">
        <v>10</v>
      </c>
      <c r="N78" s="106">
        <v>10</v>
      </c>
      <c r="O78" s="106">
        <v>10</v>
      </c>
      <c r="P78" s="106">
        <v>10</v>
      </c>
      <c r="Q78" s="106">
        <v>10</v>
      </c>
      <c r="R78" s="262">
        <f t="shared" si="1"/>
        <v>120</v>
      </c>
      <c r="S78" s="111" t="s">
        <v>564</v>
      </c>
      <c r="T78" s="111"/>
      <c r="U78" s="112"/>
      <c r="V78" s="220"/>
    </row>
    <row r="79" spans="1:25" ht="15.75" customHeight="1" x14ac:dyDescent="0.3">
      <c r="A79" s="97">
        <v>73</v>
      </c>
      <c r="B79" s="98" t="s">
        <v>248</v>
      </c>
      <c r="C79" s="101" t="s">
        <v>249</v>
      </c>
      <c r="D79" s="98" t="s">
        <v>250</v>
      </c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260">
        <f t="shared" si="1"/>
        <v>0</v>
      </c>
      <c r="S79" s="219"/>
      <c r="T79" s="102"/>
      <c r="U79" s="102"/>
      <c r="V79" s="220"/>
    </row>
    <row r="80" spans="1:25" ht="15.75" customHeight="1" x14ac:dyDescent="0.3">
      <c r="A80" s="97">
        <v>74</v>
      </c>
      <c r="B80" s="98" t="s">
        <v>251</v>
      </c>
      <c r="C80" s="101" t="s">
        <v>252</v>
      </c>
      <c r="D80" s="98" t="s">
        <v>253</v>
      </c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260">
        <f t="shared" si="1"/>
        <v>0</v>
      </c>
      <c r="S80" s="220"/>
      <c r="T80" s="220"/>
      <c r="U80" s="220"/>
      <c r="V80" s="220"/>
    </row>
    <row r="81" spans="1:22" ht="15.75" customHeight="1" x14ac:dyDescent="0.3">
      <c r="A81" s="90">
        <v>75</v>
      </c>
      <c r="B81" s="93" t="s">
        <v>254</v>
      </c>
      <c r="C81" s="91" t="s">
        <v>255</v>
      </c>
      <c r="D81" s="93" t="s">
        <v>256</v>
      </c>
      <c r="E81" s="90"/>
      <c r="F81" s="90">
        <v>10</v>
      </c>
      <c r="G81" s="90">
        <v>10</v>
      </c>
      <c r="H81" s="90">
        <v>10</v>
      </c>
      <c r="I81" s="90">
        <v>10</v>
      </c>
      <c r="J81" s="90">
        <v>10</v>
      </c>
      <c r="K81" s="90">
        <v>10</v>
      </c>
      <c r="L81" s="90">
        <v>10</v>
      </c>
      <c r="M81" s="90">
        <v>10</v>
      </c>
      <c r="N81" s="90">
        <v>10</v>
      </c>
      <c r="O81" s="90">
        <v>10</v>
      </c>
      <c r="P81" s="90">
        <v>10</v>
      </c>
      <c r="Q81" s="90">
        <v>10</v>
      </c>
      <c r="R81" s="265">
        <f t="shared" si="1"/>
        <v>120</v>
      </c>
      <c r="S81" s="270" t="s">
        <v>565</v>
      </c>
      <c r="T81" s="96"/>
      <c r="U81" s="96"/>
      <c r="V81" s="96"/>
    </row>
    <row r="82" spans="1:22" ht="15.75" customHeight="1" x14ac:dyDescent="0.3">
      <c r="A82" s="97">
        <v>76</v>
      </c>
      <c r="B82" s="98" t="s">
        <v>257</v>
      </c>
      <c r="C82" s="101" t="s">
        <v>258</v>
      </c>
      <c r="D82" s="98" t="s">
        <v>259</v>
      </c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260">
        <f t="shared" si="1"/>
        <v>0</v>
      </c>
      <c r="S82" s="220"/>
      <c r="T82" s="220"/>
      <c r="U82" s="220"/>
      <c r="V82" s="220"/>
    </row>
    <row r="83" spans="1:22" ht="15.75" customHeight="1" x14ac:dyDescent="0.3">
      <c r="A83" s="97">
        <v>77</v>
      </c>
      <c r="B83" s="98" t="s">
        <v>260</v>
      </c>
      <c r="C83" s="257" t="s">
        <v>261</v>
      </c>
      <c r="D83" s="98" t="s">
        <v>262</v>
      </c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260">
        <f t="shared" si="1"/>
        <v>0</v>
      </c>
      <c r="S83" s="220"/>
      <c r="T83" s="220"/>
      <c r="U83" s="220"/>
      <c r="V83" s="220"/>
    </row>
    <row r="84" spans="1:22" ht="15.75" customHeight="1" x14ac:dyDescent="0.3">
      <c r="A84" s="97">
        <v>78</v>
      </c>
      <c r="B84" s="98" t="s">
        <v>263</v>
      </c>
      <c r="C84" s="101" t="s">
        <v>264</v>
      </c>
      <c r="D84" s="98" t="s">
        <v>265</v>
      </c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260">
        <f t="shared" si="1"/>
        <v>0</v>
      </c>
      <c r="S84" s="220"/>
      <c r="T84" s="220"/>
      <c r="U84" s="220"/>
      <c r="V84" s="220"/>
    </row>
    <row r="85" spans="1:22" ht="15.75" customHeight="1" x14ac:dyDescent="0.3">
      <c r="A85" s="97">
        <v>79</v>
      </c>
      <c r="B85" s="98" t="s">
        <v>266</v>
      </c>
      <c r="C85" s="99" t="s">
        <v>267</v>
      </c>
      <c r="D85" s="98" t="s">
        <v>45</v>
      </c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260">
        <f t="shared" si="1"/>
        <v>0</v>
      </c>
      <c r="S85" s="220"/>
      <c r="T85" s="220"/>
      <c r="U85" s="220"/>
      <c r="V85" s="220"/>
    </row>
    <row r="86" spans="1:22" ht="15.75" customHeight="1" x14ac:dyDescent="0.3">
      <c r="A86" s="97">
        <v>80</v>
      </c>
      <c r="B86" s="98" t="s">
        <v>268</v>
      </c>
      <c r="C86" s="267" t="s">
        <v>534</v>
      </c>
      <c r="D86" s="98" t="s">
        <v>270</v>
      </c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260">
        <f t="shared" si="1"/>
        <v>0</v>
      </c>
      <c r="S86" s="220"/>
      <c r="T86" s="220">
        <v>3</v>
      </c>
      <c r="U86" s="220"/>
      <c r="V86" s="220"/>
    </row>
    <row r="87" spans="1:22" ht="15.75" customHeight="1" x14ac:dyDescent="0.3">
      <c r="A87" s="97">
        <v>81</v>
      </c>
      <c r="B87" s="98" t="s">
        <v>272</v>
      </c>
      <c r="C87" s="101" t="s">
        <v>381</v>
      </c>
      <c r="D87" s="98" t="s">
        <v>382</v>
      </c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260">
        <f t="shared" si="1"/>
        <v>0</v>
      </c>
      <c r="S87" s="220"/>
      <c r="T87" s="220"/>
      <c r="U87" s="220"/>
      <c r="V87" s="220"/>
    </row>
    <row r="88" spans="1:22" ht="15.75" customHeight="1" x14ac:dyDescent="0.3">
      <c r="A88" s="97">
        <v>82</v>
      </c>
      <c r="B88" s="98" t="s">
        <v>273</v>
      </c>
      <c r="C88" s="101" t="s">
        <v>383</v>
      </c>
      <c r="D88" s="98" t="s">
        <v>384</v>
      </c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260">
        <f t="shared" si="1"/>
        <v>0</v>
      </c>
      <c r="S88" s="220"/>
      <c r="T88" s="220"/>
      <c r="U88" s="220"/>
      <c r="V88" s="220"/>
    </row>
    <row r="89" spans="1:22" ht="15.75" customHeight="1" x14ac:dyDescent="0.3">
      <c r="A89" s="90">
        <v>83</v>
      </c>
      <c r="B89" s="93" t="s">
        <v>274</v>
      </c>
      <c r="C89" s="196" t="s">
        <v>275</v>
      </c>
      <c r="D89" s="93" t="s">
        <v>276</v>
      </c>
      <c r="E89" s="279"/>
      <c r="F89" s="279">
        <v>10</v>
      </c>
      <c r="G89" s="279">
        <v>10</v>
      </c>
      <c r="H89" s="279">
        <v>10</v>
      </c>
      <c r="I89" s="279">
        <v>10</v>
      </c>
      <c r="J89" s="279">
        <v>10</v>
      </c>
      <c r="K89" s="279">
        <v>10</v>
      </c>
      <c r="L89" s="279">
        <v>10</v>
      </c>
      <c r="M89" s="279">
        <v>10</v>
      </c>
      <c r="N89" s="279">
        <v>10</v>
      </c>
      <c r="O89" s="279">
        <v>10</v>
      </c>
      <c r="P89" s="279">
        <v>10</v>
      </c>
      <c r="Q89" s="279">
        <v>10</v>
      </c>
      <c r="R89" s="265">
        <f t="shared" si="1"/>
        <v>120</v>
      </c>
      <c r="S89" s="266" t="s">
        <v>550</v>
      </c>
      <c r="T89" s="266"/>
      <c r="U89" s="102"/>
      <c r="V89" s="220"/>
    </row>
    <row r="90" spans="1:22" ht="15.75" customHeight="1" x14ac:dyDescent="0.3">
      <c r="A90" s="97">
        <v>84</v>
      </c>
      <c r="B90" s="98" t="s">
        <v>277</v>
      </c>
      <c r="C90" s="99" t="s">
        <v>385</v>
      </c>
      <c r="D90" s="280" t="s">
        <v>386</v>
      </c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60">
        <f t="shared" si="1"/>
        <v>0</v>
      </c>
      <c r="S90" s="220"/>
      <c r="T90" s="220"/>
      <c r="U90" s="220"/>
      <c r="V90" s="220"/>
    </row>
    <row r="91" spans="1:22" ht="15.75" customHeight="1" x14ac:dyDescent="0.3">
      <c r="A91" s="90">
        <v>85</v>
      </c>
      <c r="B91" s="93" t="s">
        <v>278</v>
      </c>
      <c r="C91" s="91" t="s">
        <v>566</v>
      </c>
      <c r="D91" s="93" t="s">
        <v>210</v>
      </c>
      <c r="E91" s="282">
        <v>20</v>
      </c>
      <c r="F91" s="282">
        <v>10</v>
      </c>
      <c r="G91" s="282">
        <v>10</v>
      </c>
      <c r="H91" s="282">
        <v>10</v>
      </c>
      <c r="I91" s="282">
        <v>10</v>
      </c>
      <c r="J91" s="282">
        <v>10</v>
      </c>
      <c r="K91" s="282">
        <v>10</v>
      </c>
      <c r="L91" s="282">
        <v>10</v>
      </c>
      <c r="M91" s="282">
        <v>10</v>
      </c>
      <c r="N91" s="282">
        <v>10</v>
      </c>
      <c r="O91" s="282">
        <v>10</v>
      </c>
      <c r="P91" s="282">
        <v>10</v>
      </c>
      <c r="Q91" s="282">
        <v>10</v>
      </c>
      <c r="R91" s="90">
        <f>SUM(E91:Q91)</f>
        <v>140</v>
      </c>
      <c r="S91" s="270" t="s">
        <v>567</v>
      </c>
      <c r="T91" s="96"/>
      <c r="U91" s="220"/>
      <c r="V91" s="220"/>
    </row>
    <row r="92" spans="1:22" ht="15.75" customHeight="1" x14ac:dyDescent="0.3">
      <c r="A92" s="97">
        <v>86</v>
      </c>
      <c r="B92" s="98" t="s">
        <v>279</v>
      </c>
      <c r="C92" s="99" t="s">
        <v>389</v>
      </c>
      <c r="D92" s="98" t="s">
        <v>390</v>
      </c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>
        <f>SUM(F92:Q92)</f>
        <v>0</v>
      </c>
      <c r="S92" s="220"/>
      <c r="T92" s="220"/>
      <c r="U92" s="220"/>
      <c r="V92" s="220"/>
    </row>
    <row r="93" spans="1:22" ht="15.75" customHeight="1" x14ac:dyDescent="0.3">
      <c r="A93" s="90">
        <v>87</v>
      </c>
      <c r="B93" s="93" t="s">
        <v>280</v>
      </c>
      <c r="C93" s="91" t="s">
        <v>568</v>
      </c>
      <c r="D93" s="93" t="s">
        <v>569</v>
      </c>
      <c r="E93" s="90">
        <v>20</v>
      </c>
      <c r="F93" s="90">
        <v>10</v>
      </c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>
        <f>SUM(E93:Q93)</f>
        <v>30</v>
      </c>
      <c r="S93" s="270" t="s">
        <v>570</v>
      </c>
      <c r="T93" s="96"/>
      <c r="U93" s="220"/>
      <c r="V93" s="220"/>
    </row>
    <row r="94" spans="1:22" ht="15.75" customHeight="1" x14ac:dyDescent="0.3">
      <c r="A94" s="106">
        <v>88</v>
      </c>
      <c r="B94" s="107" t="s">
        <v>281</v>
      </c>
      <c r="C94" s="108" t="s">
        <v>282</v>
      </c>
      <c r="D94" s="107" t="s">
        <v>283</v>
      </c>
      <c r="E94" s="106"/>
      <c r="F94" s="106">
        <v>10</v>
      </c>
      <c r="G94" s="106">
        <v>10</v>
      </c>
      <c r="H94" s="106">
        <v>10</v>
      </c>
      <c r="I94" s="106">
        <v>10</v>
      </c>
      <c r="J94" s="106">
        <v>10</v>
      </c>
      <c r="K94" s="106">
        <v>10</v>
      </c>
      <c r="L94" s="106">
        <v>10</v>
      </c>
      <c r="M94" s="106">
        <v>10</v>
      </c>
      <c r="N94" s="106">
        <v>10</v>
      </c>
      <c r="O94" s="106">
        <v>10</v>
      </c>
      <c r="P94" s="106">
        <v>10</v>
      </c>
      <c r="Q94" s="106">
        <v>10</v>
      </c>
      <c r="R94" s="106">
        <f>SUM(F94:Q94)</f>
        <v>120</v>
      </c>
      <c r="S94" s="112" t="s">
        <v>444</v>
      </c>
      <c r="T94" s="112"/>
      <c r="U94" s="220"/>
      <c r="V94" s="220"/>
    </row>
    <row r="95" spans="1:22" ht="15.75" customHeight="1" x14ac:dyDescent="0.3">
      <c r="A95" s="90">
        <v>89</v>
      </c>
      <c r="B95" s="93" t="s">
        <v>284</v>
      </c>
      <c r="C95" s="91" t="s">
        <v>571</v>
      </c>
      <c r="D95" s="93" t="s">
        <v>484</v>
      </c>
      <c r="E95" s="90">
        <v>20</v>
      </c>
      <c r="F95" s="90">
        <v>10</v>
      </c>
      <c r="G95" s="90">
        <v>10</v>
      </c>
      <c r="H95" s="90">
        <v>10</v>
      </c>
      <c r="I95" s="90">
        <v>10</v>
      </c>
      <c r="J95" s="90">
        <v>10</v>
      </c>
      <c r="K95" s="90">
        <v>10</v>
      </c>
      <c r="L95" s="90">
        <v>10</v>
      </c>
      <c r="M95" s="90">
        <v>10</v>
      </c>
      <c r="N95" s="90">
        <v>10</v>
      </c>
      <c r="O95" s="90">
        <v>10</v>
      </c>
      <c r="P95" s="90">
        <v>10</v>
      </c>
      <c r="Q95" s="90">
        <v>10</v>
      </c>
      <c r="R95" s="90">
        <f>SUM(E95:Q95)</f>
        <v>140</v>
      </c>
      <c r="S95" s="270" t="s">
        <v>557</v>
      </c>
      <c r="T95" s="96"/>
      <c r="U95" s="220"/>
      <c r="V95" s="220"/>
    </row>
    <row r="96" spans="1:22" ht="15.75" customHeight="1" x14ac:dyDescent="0.3">
      <c r="A96" s="97">
        <v>90</v>
      </c>
      <c r="B96" s="98" t="s">
        <v>285</v>
      </c>
      <c r="C96" s="101"/>
      <c r="D96" s="98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220"/>
      <c r="T96" s="102"/>
      <c r="U96" s="102"/>
      <c r="V96" s="220"/>
    </row>
    <row r="97" spans="1:22" ht="15.75" customHeight="1" x14ac:dyDescent="0.3">
      <c r="A97" s="97">
        <v>91</v>
      </c>
      <c r="B97" s="98" t="s">
        <v>286</v>
      </c>
      <c r="C97" s="101"/>
      <c r="D97" s="98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220"/>
      <c r="T97" s="102"/>
      <c r="U97" s="102"/>
      <c r="V97" s="220"/>
    </row>
    <row r="98" spans="1:22" ht="15.75" customHeight="1" x14ac:dyDescent="0.3">
      <c r="A98" s="97">
        <v>92</v>
      </c>
      <c r="B98" s="98" t="s">
        <v>287</v>
      </c>
      <c r="C98" s="101"/>
      <c r="D98" s="98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220"/>
      <c r="T98" s="220"/>
      <c r="U98" s="220"/>
      <c r="V98" s="220"/>
    </row>
    <row r="99" spans="1:22" ht="15.75" customHeight="1" x14ac:dyDescent="0.3">
      <c r="A99" s="97">
        <v>93</v>
      </c>
      <c r="B99" s="98" t="s">
        <v>288</v>
      </c>
      <c r="C99" s="101"/>
      <c r="D99" s="98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220"/>
      <c r="T99" s="220"/>
      <c r="U99" s="220"/>
      <c r="V99" s="220"/>
    </row>
    <row r="100" spans="1:22" ht="15.75" customHeight="1" x14ac:dyDescent="0.3">
      <c r="A100" s="97">
        <v>94</v>
      </c>
      <c r="B100" s="98" t="s">
        <v>289</v>
      </c>
      <c r="C100" s="101"/>
      <c r="D100" s="98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220"/>
      <c r="T100" s="220"/>
      <c r="U100" s="220"/>
      <c r="V100" s="220"/>
    </row>
    <row r="101" spans="1:22" ht="15.75" customHeight="1" x14ac:dyDescent="0.3">
      <c r="A101" s="97">
        <v>95</v>
      </c>
      <c r="B101" s="98" t="s">
        <v>290</v>
      </c>
      <c r="C101" s="101"/>
      <c r="D101" s="98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220"/>
      <c r="T101" s="220"/>
      <c r="U101" s="220"/>
      <c r="V101" s="220"/>
    </row>
    <row r="102" spans="1:22" ht="15.75" customHeight="1" x14ac:dyDescent="0.3">
      <c r="A102" s="97">
        <v>96</v>
      </c>
      <c r="B102" s="98" t="s">
        <v>291</v>
      </c>
      <c r="C102" s="101"/>
      <c r="D102" s="98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220"/>
      <c r="T102" s="220"/>
      <c r="U102" s="220"/>
      <c r="V102" s="220"/>
    </row>
    <row r="103" spans="1:22" ht="15.75" customHeight="1" x14ac:dyDescent="0.3">
      <c r="A103" s="97">
        <v>97</v>
      </c>
      <c r="B103" s="98" t="s">
        <v>292</v>
      </c>
      <c r="C103" s="101"/>
      <c r="D103" s="98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220"/>
      <c r="T103" s="220"/>
      <c r="U103" s="220"/>
      <c r="V103" s="220"/>
    </row>
    <row r="104" spans="1:22" ht="15.75" customHeight="1" x14ac:dyDescent="0.3">
      <c r="A104" s="97">
        <v>98</v>
      </c>
      <c r="B104" s="98" t="s">
        <v>293</v>
      </c>
      <c r="C104" s="101"/>
      <c r="D104" s="98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220"/>
      <c r="T104" s="220"/>
      <c r="U104" s="220"/>
      <c r="V104" s="220"/>
    </row>
    <row r="105" spans="1:22" ht="15.75" customHeight="1" x14ac:dyDescent="0.3">
      <c r="A105" s="97">
        <v>99</v>
      </c>
      <c r="B105" s="98" t="s">
        <v>294</v>
      </c>
      <c r="C105" s="101"/>
      <c r="D105" s="98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220"/>
      <c r="T105" s="220"/>
      <c r="U105" s="220"/>
      <c r="V105" s="220"/>
    </row>
    <row r="106" spans="1:22" ht="15.75" customHeight="1" x14ac:dyDescent="0.3">
      <c r="A106" s="97">
        <v>100</v>
      </c>
      <c r="B106" s="98" t="s">
        <v>295</v>
      </c>
      <c r="C106" s="101"/>
      <c r="D106" s="98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220"/>
      <c r="T106" s="220"/>
      <c r="U106" s="220"/>
      <c r="V106" s="220"/>
    </row>
    <row r="107" spans="1:22" ht="15.75" customHeight="1" x14ac:dyDescent="0.3">
      <c r="A107" s="97">
        <v>101</v>
      </c>
      <c r="B107" s="98" t="s">
        <v>296</v>
      </c>
      <c r="C107" s="101"/>
      <c r="D107" s="98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220"/>
      <c r="T107" s="220"/>
      <c r="U107" s="220"/>
      <c r="V107" s="220"/>
    </row>
    <row r="108" spans="1:22" ht="15.75" customHeight="1" x14ac:dyDescent="0.3">
      <c r="A108" s="97">
        <v>102</v>
      </c>
      <c r="B108" s="98" t="s">
        <v>297</v>
      </c>
      <c r="C108" s="101"/>
      <c r="D108" s="98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220"/>
      <c r="T108" s="220"/>
      <c r="U108" s="220"/>
      <c r="V108" s="220"/>
    </row>
    <row r="109" spans="1:22" ht="15.75" customHeight="1" x14ac:dyDescent="0.3">
      <c r="A109" s="97">
        <v>103</v>
      </c>
      <c r="B109" s="98" t="s">
        <v>298</v>
      </c>
      <c r="C109" s="101"/>
      <c r="D109" s="98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220"/>
      <c r="T109" s="220"/>
      <c r="U109" s="220"/>
      <c r="V109" s="220"/>
    </row>
    <row r="110" spans="1:22" ht="15.75" customHeight="1" x14ac:dyDescent="0.3">
      <c r="A110" s="97">
        <v>104</v>
      </c>
      <c r="B110" s="98" t="s">
        <v>299</v>
      </c>
      <c r="C110" s="101"/>
      <c r="D110" s="98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220"/>
      <c r="T110" s="220"/>
      <c r="U110" s="220"/>
      <c r="V110" s="220"/>
    </row>
    <row r="111" spans="1:22" ht="15.75" customHeight="1" x14ac:dyDescent="0.3">
      <c r="A111" s="97">
        <v>105</v>
      </c>
      <c r="B111" s="98" t="s">
        <v>300</v>
      </c>
      <c r="C111" s="101" t="s">
        <v>301</v>
      </c>
      <c r="D111" s="98" t="s">
        <v>302</v>
      </c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>
        <f>SUM(F111:Q111)</f>
        <v>0</v>
      </c>
      <c r="S111" s="102"/>
      <c r="T111" s="102"/>
      <c r="U111" s="220"/>
      <c r="V111" s="220"/>
    </row>
    <row r="112" spans="1:22" ht="15.75" customHeight="1" x14ac:dyDescent="0.3">
      <c r="A112" s="97">
        <v>106</v>
      </c>
      <c r="B112" s="98" t="s">
        <v>303</v>
      </c>
      <c r="C112" s="101"/>
      <c r="D112" s="98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220"/>
      <c r="T112" s="220"/>
      <c r="U112" s="220"/>
      <c r="V112" s="220"/>
    </row>
    <row r="113" spans="1:22" ht="15.75" customHeight="1" x14ac:dyDescent="0.3">
      <c r="A113" s="97">
        <v>107</v>
      </c>
      <c r="B113" s="98" t="s">
        <v>304</v>
      </c>
      <c r="C113" s="101"/>
      <c r="D113" s="98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220"/>
      <c r="T113" s="220"/>
      <c r="U113" s="220"/>
      <c r="V113" s="220"/>
    </row>
    <row r="114" spans="1:22" ht="15.75" customHeight="1" x14ac:dyDescent="0.3">
      <c r="A114" s="97">
        <v>108</v>
      </c>
      <c r="B114" s="98" t="s">
        <v>305</v>
      </c>
      <c r="C114" s="101"/>
      <c r="D114" s="98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220"/>
      <c r="T114" s="220"/>
      <c r="U114" s="220"/>
      <c r="V114" s="220"/>
    </row>
    <row r="115" spans="1:22" ht="15.75" customHeight="1" x14ac:dyDescent="0.3">
      <c r="A115" s="97">
        <v>109</v>
      </c>
      <c r="B115" s="98" t="s">
        <v>306</v>
      </c>
      <c r="C115" s="101"/>
      <c r="D115" s="98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220"/>
      <c r="T115" s="220"/>
      <c r="U115" s="220"/>
      <c r="V115" s="220"/>
    </row>
    <row r="116" spans="1:22" ht="15.75" customHeight="1" x14ac:dyDescent="0.3">
      <c r="A116" s="97">
        <v>110</v>
      </c>
      <c r="B116" s="98" t="s">
        <v>307</v>
      </c>
      <c r="C116" s="101"/>
      <c r="D116" s="98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220"/>
      <c r="T116" s="220"/>
      <c r="U116" s="220"/>
      <c r="V116" s="220"/>
    </row>
    <row r="117" spans="1:22" ht="15.75" customHeight="1" x14ac:dyDescent="0.3">
      <c r="A117" s="90">
        <v>111</v>
      </c>
      <c r="B117" s="93" t="s">
        <v>308</v>
      </c>
      <c r="C117" s="196" t="s">
        <v>309</v>
      </c>
      <c r="D117" s="93" t="s">
        <v>310</v>
      </c>
      <c r="E117" s="90"/>
      <c r="F117" s="90">
        <v>10</v>
      </c>
      <c r="G117" s="90">
        <v>10</v>
      </c>
      <c r="H117" s="90">
        <v>10</v>
      </c>
      <c r="I117" s="90">
        <v>10</v>
      </c>
      <c r="J117" s="90">
        <v>10</v>
      </c>
      <c r="K117" s="90">
        <v>10</v>
      </c>
      <c r="L117" s="90">
        <v>10</v>
      </c>
      <c r="M117" s="90">
        <v>10</v>
      </c>
      <c r="N117" s="90">
        <v>10</v>
      </c>
      <c r="O117" s="90">
        <v>10</v>
      </c>
      <c r="P117" s="90">
        <v>10</v>
      </c>
      <c r="Q117" s="90">
        <v>10</v>
      </c>
      <c r="R117" s="90">
        <f t="shared" ref="R117:R118" si="2">SUM(F117:Q117)</f>
        <v>120</v>
      </c>
      <c r="S117" s="283" t="s">
        <v>572</v>
      </c>
      <c r="T117" s="95"/>
      <c r="U117" s="102"/>
      <c r="V117" s="220"/>
    </row>
    <row r="118" spans="1:22" ht="15.75" customHeight="1" x14ac:dyDescent="0.3">
      <c r="A118" s="90">
        <v>112</v>
      </c>
      <c r="B118" s="93" t="s">
        <v>311</v>
      </c>
      <c r="C118" s="91" t="s">
        <v>475</v>
      </c>
      <c r="D118" s="93" t="s">
        <v>476</v>
      </c>
      <c r="E118" s="90"/>
      <c r="F118" s="268">
        <v>10</v>
      </c>
      <c r="G118" s="269">
        <v>10</v>
      </c>
      <c r="H118" s="269">
        <v>10</v>
      </c>
      <c r="I118" s="269">
        <v>10</v>
      </c>
      <c r="J118" s="269">
        <v>10</v>
      </c>
      <c r="K118" s="269">
        <v>10</v>
      </c>
      <c r="L118" s="269">
        <v>10</v>
      </c>
      <c r="M118" s="269">
        <v>10</v>
      </c>
      <c r="N118" s="269">
        <v>10</v>
      </c>
      <c r="O118" s="269">
        <v>10</v>
      </c>
      <c r="P118" s="269">
        <v>10</v>
      </c>
      <c r="Q118" s="269">
        <v>10</v>
      </c>
      <c r="R118" s="90">
        <f t="shared" si="2"/>
        <v>120</v>
      </c>
      <c r="S118" s="283" t="s">
        <v>573</v>
      </c>
      <c r="T118" s="266"/>
      <c r="U118" s="102"/>
      <c r="V118" s="220"/>
    </row>
    <row r="119" spans="1:22" ht="15.75" customHeight="1" x14ac:dyDescent="0.3">
      <c r="A119" s="97">
        <v>113</v>
      </c>
      <c r="B119" s="98" t="s">
        <v>312</v>
      </c>
      <c r="C119" s="101"/>
      <c r="D119" s="98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220"/>
      <c r="T119" s="220"/>
      <c r="U119" s="220"/>
      <c r="V119" s="220"/>
    </row>
    <row r="120" spans="1:22" ht="15.75" customHeight="1" x14ac:dyDescent="0.3">
      <c r="A120" s="97">
        <v>114</v>
      </c>
      <c r="B120" s="98" t="s">
        <v>313</v>
      </c>
      <c r="C120" s="101"/>
      <c r="D120" s="98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220"/>
      <c r="T120" s="220"/>
      <c r="U120" s="220"/>
      <c r="V120" s="220"/>
    </row>
    <row r="121" spans="1:22" ht="15.75" customHeight="1" x14ac:dyDescent="0.3">
      <c r="A121" s="97">
        <v>115</v>
      </c>
      <c r="B121" s="98" t="s">
        <v>314</v>
      </c>
      <c r="C121" s="101"/>
      <c r="D121" s="98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220"/>
      <c r="T121" s="220"/>
      <c r="U121" s="220"/>
      <c r="V121" s="220"/>
    </row>
    <row r="122" spans="1:22" ht="15.75" customHeight="1" x14ac:dyDescent="0.3">
      <c r="A122" s="97">
        <v>116</v>
      </c>
      <c r="B122" s="98" t="s">
        <v>315</v>
      </c>
      <c r="C122" s="101"/>
      <c r="D122" s="98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220"/>
      <c r="T122" s="220"/>
      <c r="U122" s="220"/>
      <c r="V122" s="220"/>
    </row>
    <row r="123" spans="1:22" ht="15.75" customHeight="1" x14ac:dyDescent="0.3">
      <c r="A123" s="97">
        <v>117</v>
      </c>
      <c r="B123" s="98" t="s">
        <v>316</v>
      </c>
      <c r="C123" s="101"/>
      <c r="D123" s="98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220"/>
      <c r="T123" s="220"/>
      <c r="U123" s="220"/>
      <c r="V123" s="220"/>
    </row>
    <row r="124" spans="1:22" ht="15.75" customHeight="1" x14ac:dyDescent="0.3">
      <c r="A124" s="97">
        <v>118</v>
      </c>
      <c r="B124" s="98" t="s">
        <v>317</v>
      </c>
      <c r="C124" s="101"/>
      <c r="D124" s="98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220"/>
      <c r="T124" s="220"/>
      <c r="U124" s="220"/>
      <c r="V124" s="220"/>
    </row>
    <row r="125" spans="1:22" ht="15.75" customHeight="1" x14ac:dyDescent="0.3">
      <c r="A125" s="97">
        <v>119</v>
      </c>
      <c r="B125" s="98" t="s">
        <v>318</v>
      </c>
      <c r="C125" s="101"/>
      <c r="D125" s="98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220"/>
      <c r="T125" s="220"/>
      <c r="U125" s="220"/>
      <c r="V125" s="220"/>
    </row>
    <row r="126" spans="1:22" ht="15.75" customHeight="1" x14ac:dyDescent="0.3">
      <c r="A126" s="97">
        <v>120</v>
      </c>
      <c r="B126" s="98" t="s">
        <v>319</v>
      </c>
      <c r="C126" s="284" t="s">
        <v>537</v>
      </c>
      <c r="D126" s="98" t="s">
        <v>538</v>
      </c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>
        <f>SUM(F126:Q126)</f>
        <v>0</v>
      </c>
      <c r="S126" s="103"/>
      <c r="T126" s="103"/>
      <c r="U126" s="102"/>
      <c r="V126" s="220"/>
    </row>
    <row r="127" spans="1:22" ht="15.75" customHeight="1" x14ac:dyDescent="0.3">
      <c r="A127" s="97">
        <v>121</v>
      </c>
      <c r="B127" s="98" t="s">
        <v>320</v>
      </c>
      <c r="C127" s="101" t="s">
        <v>321</v>
      </c>
      <c r="D127" s="98" t="s">
        <v>322</v>
      </c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>
        <f>SUM(F127:Q127)</f>
        <v>0</v>
      </c>
      <c r="S127" s="220"/>
      <c r="T127" s="220"/>
      <c r="U127" s="220"/>
      <c r="V127" s="220"/>
    </row>
    <row r="128" spans="1:22" ht="15.75" customHeight="1" x14ac:dyDescent="0.3">
      <c r="A128" s="97">
        <v>122</v>
      </c>
      <c r="B128" s="98" t="s">
        <v>323</v>
      </c>
      <c r="C128" s="101"/>
      <c r="D128" s="98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220"/>
      <c r="T128" s="220"/>
      <c r="U128" s="220"/>
      <c r="V128" s="220"/>
    </row>
    <row r="129" spans="1:25" ht="15.75" customHeight="1" x14ac:dyDescent="0.3">
      <c r="A129" s="90">
        <v>123</v>
      </c>
      <c r="B129" s="93" t="s">
        <v>324</v>
      </c>
      <c r="C129" s="196" t="s">
        <v>325</v>
      </c>
      <c r="D129" s="93" t="s">
        <v>326</v>
      </c>
      <c r="E129" s="90"/>
      <c r="F129" s="90">
        <v>10</v>
      </c>
      <c r="G129" s="90">
        <v>10</v>
      </c>
      <c r="H129" s="90">
        <v>10</v>
      </c>
      <c r="I129" s="90">
        <v>10</v>
      </c>
      <c r="J129" s="90">
        <v>10</v>
      </c>
      <c r="K129" s="90">
        <v>10</v>
      </c>
      <c r="L129" s="90">
        <v>10</v>
      </c>
      <c r="M129" s="90">
        <v>10</v>
      </c>
      <c r="N129" s="90">
        <v>10</v>
      </c>
      <c r="O129" s="90">
        <v>10</v>
      </c>
      <c r="P129" s="90">
        <v>10</v>
      </c>
      <c r="Q129" s="90">
        <v>10</v>
      </c>
      <c r="R129" s="90">
        <f>SUM(F129:Q129)</f>
        <v>120</v>
      </c>
      <c r="S129" s="283" t="s">
        <v>563</v>
      </c>
      <c r="T129" s="270"/>
      <c r="U129" s="220"/>
      <c r="V129" s="220"/>
    </row>
    <row r="130" spans="1:25" ht="15.75" customHeight="1" x14ac:dyDescent="0.3">
      <c r="A130" s="97">
        <v>124</v>
      </c>
      <c r="B130" s="98" t="s">
        <v>327</v>
      </c>
      <c r="C130" s="101"/>
      <c r="D130" s="98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220"/>
      <c r="T130" s="220"/>
      <c r="U130" s="220"/>
      <c r="V130" s="220"/>
    </row>
    <row r="131" spans="1:25" ht="15.75" customHeight="1" x14ac:dyDescent="0.3">
      <c r="A131" s="97">
        <v>125</v>
      </c>
      <c r="B131" s="98" t="s">
        <v>328</v>
      </c>
      <c r="C131" s="267" t="s">
        <v>542</v>
      </c>
      <c r="D131" s="98" t="s">
        <v>330</v>
      </c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>
        <f t="shared" ref="R131:R141" si="3">SUM(F131:Q131)</f>
        <v>0</v>
      </c>
      <c r="S131" s="102"/>
      <c r="T131" s="102"/>
      <c r="U131" s="102"/>
      <c r="V131" s="220"/>
    </row>
    <row r="132" spans="1:25" ht="15.75" customHeight="1" x14ac:dyDescent="0.3">
      <c r="A132" s="97">
        <v>126</v>
      </c>
      <c r="B132" s="98" t="s">
        <v>331</v>
      </c>
      <c r="C132" s="257" t="s">
        <v>332</v>
      </c>
      <c r="D132" s="98" t="s">
        <v>333</v>
      </c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>
        <f t="shared" si="3"/>
        <v>0</v>
      </c>
      <c r="S132" s="220"/>
      <c r="T132" s="220"/>
      <c r="U132" s="220"/>
      <c r="V132" s="220"/>
    </row>
    <row r="133" spans="1:25" ht="15.75" customHeight="1" x14ac:dyDescent="0.3">
      <c r="A133" s="97">
        <v>127</v>
      </c>
      <c r="B133" s="98" t="s">
        <v>334</v>
      </c>
      <c r="C133" s="257" t="s">
        <v>335</v>
      </c>
      <c r="D133" s="98" t="s">
        <v>336</v>
      </c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>
        <f t="shared" si="3"/>
        <v>0</v>
      </c>
      <c r="S133" s="220"/>
      <c r="T133" s="220"/>
      <c r="U133" s="220"/>
      <c r="V133" s="220"/>
    </row>
    <row r="134" spans="1:25" ht="15.75" customHeight="1" x14ac:dyDescent="0.3">
      <c r="A134" s="97">
        <v>128</v>
      </c>
      <c r="B134" s="98" t="s">
        <v>338</v>
      </c>
      <c r="C134" s="99" t="s">
        <v>478</v>
      </c>
      <c r="D134" s="98" t="s">
        <v>479</v>
      </c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>
        <f t="shared" si="3"/>
        <v>0</v>
      </c>
      <c r="S134" s="103"/>
      <c r="T134" s="103"/>
      <c r="U134" s="220"/>
      <c r="V134" s="220"/>
    </row>
    <row r="135" spans="1:25" ht="15.75" customHeight="1" x14ac:dyDescent="0.3">
      <c r="A135" s="97">
        <v>129</v>
      </c>
      <c r="B135" s="98" t="s">
        <v>342</v>
      </c>
      <c r="C135" s="101" t="s">
        <v>343</v>
      </c>
      <c r="D135" s="98" t="s">
        <v>344</v>
      </c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>
        <f t="shared" si="3"/>
        <v>0</v>
      </c>
      <c r="S135" s="220"/>
      <c r="T135" s="220"/>
      <c r="U135" s="220"/>
      <c r="V135" s="220"/>
    </row>
    <row r="136" spans="1:25" ht="15.75" customHeight="1" x14ac:dyDescent="0.3">
      <c r="A136" s="97">
        <v>130</v>
      </c>
      <c r="B136" s="98" t="s">
        <v>345</v>
      </c>
      <c r="C136" s="101" t="s">
        <v>346</v>
      </c>
      <c r="D136" s="98"/>
      <c r="E136" s="97"/>
      <c r="F136" s="258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97">
        <f t="shared" si="3"/>
        <v>0</v>
      </c>
      <c r="S136" s="219"/>
      <c r="T136" s="103"/>
      <c r="U136" s="220"/>
      <c r="V136" s="220"/>
    </row>
    <row r="137" spans="1:25" ht="15.75" customHeight="1" x14ac:dyDescent="0.3">
      <c r="A137" s="97">
        <v>131</v>
      </c>
      <c r="B137" s="98" t="s">
        <v>347</v>
      </c>
      <c r="C137" s="99" t="s">
        <v>348</v>
      </c>
      <c r="D137" s="98" t="s">
        <v>349</v>
      </c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>
        <f t="shared" si="3"/>
        <v>0</v>
      </c>
      <c r="S137" s="220"/>
      <c r="T137" s="220"/>
      <c r="U137" s="220"/>
      <c r="V137" s="220"/>
    </row>
    <row r="138" spans="1:25" ht="15.75" customHeight="1" x14ac:dyDescent="0.3">
      <c r="A138" s="97">
        <v>132</v>
      </c>
      <c r="B138" s="98" t="s">
        <v>350</v>
      </c>
      <c r="C138" s="99" t="s">
        <v>397</v>
      </c>
      <c r="D138" s="98" t="s">
        <v>82</v>
      </c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>
        <f t="shared" si="3"/>
        <v>0</v>
      </c>
      <c r="S138" s="102"/>
      <c r="T138" s="102"/>
      <c r="U138" s="102"/>
      <c r="V138" s="102"/>
      <c r="W138" s="8"/>
      <c r="X138" s="8"/>
      <c r="Y138" s="8"/>
    </row>
    <row r="139" spans="1:25" ht="15.75" customHeight="1" x14ac:dyDescent="0.3">
      <c r="A139" s="97">
        <v>133</v>
      </c>
      <c r="B139" s="98" t="s">
        <v>352</v>
      </c>
      <c r="C139" s="285" t="s">
        <v>545</v>
      </c>
      <c r="D139" s="98" t="s">
        <v>354</v>
      </c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>
        <f t="shared" si="3"/>
        <v>0</v>
      </c>
      <c r="S139" s="102"/>
      <c r="T139" s="102"/>
      <c r="U139" s="102"/>
      <c r="V139" s="102"/>
      <c r="W139" s="8"/>
      <c r="X139" s="8"/>
      <c r="Y139" s="8"/>
    </row>
    <row r="140" spans="1:25" ht="15.75" customHeight="1" x14ac:dyDescent="0.3">
      <c r="A140" s="97">
        <v>134</v>
      </c>
      <c r="B140" s="98" t="s">
        <v>355</v>
      </c>
      <c r="C140" s="99" t="s">
        <v>356</v>
      </c>
      <c r="D140" s="98" t="s">
        <v>357</v>
      </c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>
        <f t="shared" si="3"/>
        <v>0</v>
      </c>
      <c r="S140" s="102"/>
      <c r="T140" s="102"/>
      <c r="U140" s="102"/>
      <c r="V140" s="102"/>
      <c r="W140" s="8"/>
      <c r="X140" s="8"/>
      <c r="Y140" s="8"/>
    </row>
    <row r="141" spans="1:25" ht="15.75" customHeight="1" x14ac:dyDescent="0.3">
      <c r="A141" s="97">
        <v>135</v>
      </c>
      <c r="B141" s="98" t="s">
        <v>482</v>
      </c>
      <c r="C141" s="257" t="s">
        <v>483</v>
      </c>
      <c r="D141" s="98" t="s">
        <v>484</v>
      </c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>
        <f t="shared" si="3"/>
        <v>0</v>
      </c>
      <c r="S141" s="286"/>
      <c r="T141" s="286"/>
      <c r="U141" s="8"/>
      <c r="V141" s="8"/>
    </row>
    <row r="142" spans="1:25" ht="15.75" customHeight="1" x14ac:dyDescent="0.3">
      <c r="A142" s="41"/>
      <c r="B142" s="42"/>
      <c r="C142" s="40"/>
      <c r="D142" s="42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</row>
    <row r="143" spans="1:25" ht="15.75" customHeight="1" x14ac:dyDescent="0.3">
      <c r="B143" s="42"/>
      <c r="D143" s="42" t="s">
        <v>358</v>
      </c>
      <c r="E143" s="172">
        <f>SUM(E7:E141)</f>
        <v>60</v>
      </c>
      <c r="F143" s="172">
        <f t="shared" ref="F143:Q143" si="4">SUM(F7:F141)</f>
        <v>300</v>
      </c>
      <c r="G143" s="172">
        <f t="shared" si="4"/>
        <v>290</v>
      </c>
      <c r="H143" s="172">
        <f t="shared" si="4"/>
        <v>290</v>
      </c>
      <c r="I143" s="172">
        <f t="shared" si="4"/>
        <v>290</v>
      </c>
      <c r="J143" s="172">
        <f t="shared" si="4"/>
        <v>290</v>
      </c>
      <c r="K143" s="172">
        <f t="shared" si="4"/>
        <v>290</v>
      </c>
      <c r="L143" s="172">
        <f t="shared" si="4"/>
        <v>290</v>
      </c>
      <c r="M143" s="172">
        <f t="shared" si="4"/>
        <v>290</v>
      </c>
      <c r="N143" s="172">
        <f t="shared" si="4"/>
        <v>290</v>
      </c>
      <c r="O143" s="172">
        <f t="shared" si="4"/>
        <v>290</v>
      </c>
      <c r="P143" s="172">
        <f t="shared" si="4"/>
        <v>290</v>
      </c>
      <c r="Q143" s="172">
        <f t="shared" si="4"/>
        <v>290</v>
      </c>
      <c r="R143" s="172">
        <f>SUM(R7:R141)</f>
        <v>3550</v>
      </c>
      <c r="S143" s="8">
        <f t="shared" ref="S143:T143" si="5">SUM(S7:S141)</f>
        <v>0</v>
      </c>
      <c r="T143" s="8">
        <f t="shared" si="5"/>
        <v>3</v>
      </c>
    </row>
    <row r="144" spans="1:25" ht="15.75" customHeight="1" x14ac:dyDescent="0.3">
      <c r="B144" s="42"/>
      <c r="D144" s="42"/>
      <c r="E144" s="41">
        <f>E143/20</f>
        <v>3</v>
      </c>
    </row>
    <row r="145" spans="2:18" ht="15.75" customHeight="1" x14ac:dyDescent="0.3">
      <c r="B145" s="42"/>
      <c r="D145" s="42"/>
      <c r="R145" s="3">
        <f>SUM(E143:Q143)</f>
        <v>3550</v>
      </c>
    </row>
    <row r="146" spans="2:18" ht="15.75" customHeight="1" x14ac:dyDescent="0.3">
      <c r="B146" s="42"/>
      <c r="D146" s="42"/>
    </row>
    <row r="147" spans="2:18" ht="15.75" customHeight="1" x14ac:dyDescent="0.3">
      <c r="B147" s="42"/>
      <c r="D147" s="42"/>
    </row>
    <row r="148" spans="2:18" ht="15.75" customHeight="1" x14ac:dyDescent="0.3">
      <c r="B148" s="42"/>
      <c r="D148" s="42"/>
    </row>
    <row r="149" spans="2:18" ht="15.75" customHeight="1" x14ac:dyDescent="0.3">
      <c r="B149" s="42"/>
      <c r="D149" s="42"/>
    </row>
    <row r="150" spans="2:18" ht="15.75" customHeight="1" x14ac:dyDescent="0.3">
      <c r="B150" s="42"/>
      <c r="D150" s="42"/>
    </row>
    <row r="151" spans="2:18" ht="15.75" customHeight="1" x14ac:dyDescent="0.3">
      <c r="B151" s="42"/>
      <c r="D151" s="42"/>
    </row>
    <row r="152" spans="2:18" ht="15.75" customHeight="1" x14ac:dyDescent="0.3">
      <c r="B152" s="42"/>
      <c r="D152" s="42"/>
    </row>
    <row r="153" spans="2:18" ht="15.75" customHeight="1" x14ac:dyDescent="0.3">
      <c r="B153" s="42"/>
      <c r="D153" s="42"/>
    </row>
    <row r="154" spans="2:18" ht="15.75" customHeight="1" x14ac:dyDescent="0.3">
      <c r="B154" s="42"/>
      <c r="D154" s="42"/>
    </row>
    <row r="155" spans="2:18" ht="15.75" customHeight="1" x14ac:dyDescent="0.3">
      <c r="B155" s="42"/>
      <c r="D155" s="42"/>
    </row>
    <row r="156" spans="2:18" ht="15.75" customHeight="1" x14ac:dyDescent="0.3">
      <c r="B156" s="42"/>
      <c r="D156" s="42"/>
    </row>
    <row r="157" spans="2:18" ht="15.75" customHeight="1" x14ac:dyDescent="0.3">
      <c r="B157" s="42"/>
      <c r="D157" s="42"/>
    </row>
    <row r="158" spans="2:18" ht="15.75" customHeight="1" x14ac:dyDescent="0.3">
      <c r="B158" s="42"/>
      <c r="D158" s="42"/>
    </row>
    <row r="159" spans="2:18" ht="15.75" customHeight="1" x14ac:dyDescent="0.3">
      <c r="B159" s="42"/>
      <c r="D159" s="42"/>
    </row>
    <row r="160" spans="2:18" ht="15.75" customHeight="1" x14ac:dyDescent="0.3">
      <c r="B160" s="42"/>
      <c r="D160" s="42"/>
    </row>
    <row r="161" spans="2:4" ht="15.75" customHeight="1" x14ac:dyDescent="0.3">
      <c r="B161" s="42"/>
      <c r="D161" s="42"/>
    </row>
    <row r="162" spans="2:4" ht="15.75" customHeight="1" x14ac:dyDescent="0.3">
      <c r="B162" s="42"/>
      <c r="D162" s="42"/>
    </row>
    <row r="163" spans="2:4" ht="15.75" customHeight="1" x14ac:dyDescent="0.3">
      <c r="B163" s="42"/>
      <c r="D163" s="42"/>
    </row>
    <row r="164" spans="2:4" ht="15.75" customHeight="1" x14ac:dyDescent="0.3">
      <c r="B164" s="42"/>
      <c r="D164" s="42"/>
    </row>
    <row r="165" spans="2:4" ht="15.75" customHeight="1" x14ac:dyDescent="0.3">
      <c r="B165" s="42"/>
      <c r="D165" s="42"/>
    </row>
    <row r="166" spans="2:4" ht="15.75" customHeight="1" x14ac:dyDescent="0.3">
      <c r="B166" s="42"/>
      <c r="D166" s="42"/>
    </row>
    <row r="167" spans="2:4" ht="15.75" customHeight="1" x14ac:dyDescent="0.3">
      <c r="B167" s="42"/>
      <c r="D167" s="42"/>
    </row>
    <row r="168" spans="2:4" ht="15.75" customHeight="1" x14ac:dyDescent="0.3">
      <c r="B168" s="42"/>
      <c r="D168" s="42"/>
    </row>
    <row r="169" spans="2:4" ht="15.75" customHeight="1" x14ac:dyDescent="0.3">
      <c r="B169" s="42"/>
      <c r="D169" s="42"/>
    </row>
    <row r="170" spans="2:4" ht="15.75" customHeight="1" x14ac:dyDescent="0.3">
      <c r="B170" s="42"/>
      <c r="D170" s="42"/>
    </row>
    <row r="171" spans="2:4" ht="15.75" customHeight="1" x14ac:dyDescent="0.3">
      <c r="B171" s="42"/>
      <c r="D171" s="42"/>
    </row>
    <row r="172" spans="2:4" ht="15.75" customHeight="1" x14ac:dyDescent="0.3">
      <c r="B172" s="42"/>
      <c r="D172" s="42"/>
    </row>
    <row r="173" spans="2:4" ht="15.75" customHeight="1" x14ac:dyDescent="0.3">
      <c r="B173" s="42"/>
      <c r="D173" s="42"/>
    </row>
    <row r="174" spans="2:4" ht="15.75" customHeight="1" x14ac:dyDescent="0.3">
      <c r="B174" s="42"/>
      <c r="D174" s="42"/>
    </row>
    <row r="175" spans="2:4" ht="15.75" customHeight="1" x14ac:dyDescent="0.3">
      <c r="B175" s="42"/>
      <c r="D175" s="42"/>
    </row>
    <row r="176" spans="2:4" ht="15.75" customHeight="1" x14ac:dyDescent="0.3">
      <c r="B176" s="42"/>
      <c r="D176" s="42"/>
    </row>
    <row r="177" spans="2:4" ht="15.75" customHeight="1" x14ac:dyDescent="0.3">
      <c r="B177" s="42"/>
      <c r="D177" s="42"/>
    </row>
    <row r="178" spans="2:4" ht="15.75" customHeight="1" x14ac:dyDescent="0.3">
      <c r="B178" s="42"/>
      <c r="D178" s="42"/>
    </row>
    <row r="179" spans="2:4" ht="15.75" customHeight="1" x14ac:dyDescent="0.3">
      <c r="B179" s="42"/>
      <c r="D179" s="42"/>
    </row>
    <row r="180" spans="2:4" ht="15.75" customHeight="1" x14ac:dyDescent="0.3">
      <c r="B180" s="42"/>
      <c r="D180" s="42"/>
    </row>
    <row r="181" spans="2:4" ht="15.75" customHeight="1" x14ac:dyDescent="0.3">
      <c r="B181" s="42"/>
      <c r="D181" s="42"/>
    </row>
    <row r="182" spans="2:4" ht="15.75" customHeight="1" x14ac:dyDescent="0.3">
      <c r="B182" s="42"/>
      <c r="D182" s="42"/>
    </row>
    <row r="183" spans="2:4" ht="15.75" customHeight="1" x14ac:dyDescent="0.3">
      <c r="B183" s="42"/>
      <c r="D183" s="42"/>
    </row>
    <row r="184" spans="2:4" ht="15.75" customHeight="1" x14ac:dyDescent="0.3">
      <c r="B184" s="42"/>
      <c r="D184" s="42"/>
    </row>
    <row r="185" spans="2:4" ht="15.75" customHeight="1" x14ac:dyDescent="0.3">
      <c r="B185" s="42"/>
      <c r="D185" s="42"/>
    </row>
    <row r="186" spans="2:4" ht="15.75" customHeight="1" x14ac:dyDescent="0.3">
      <c r="B186" s="42"/>
      <c r="D186" s="42"/>
    </row>
    <row r="187" spans="2:4" ht="15.75" customHeight="1" x14ac:dyDescent="0.3">
      <c r="B187" s="42"/>
      <c r="D187" s="42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S141:T141"/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E75A-C67E-4386-8D62-77CD9E136976}">
  <dimension ref="A1:Y1000"/>
  <sheetViews>
    <sheetView tabSelected="1" workbookViewId="0">
      <selection activeCell="G9" sqref="G9"/>
    </sheetView>
  </sheetViews>
  <sheetFormatPr defaultColWidth="14.44140625" defaultRowHeight="14.4" x14ac:dyDescent="0.3"/>
  <cols>
    <col min="1" max="2" width="10.6640625" style="3" customWidth="1"/>
    <col min="3" max="3" width="31.88671875" style="1" customWidth="1"/>
    <col min="4" max="4" width="13.44140625" style="3" customWidth="1"/>
    <col min="5" max="5" width="9.109375" style="3" customWidth="1"/>
    <col min="6" max="7" width="5.6640625" style="3" customWidth="1"/>
    <col min="8" max="8" width="4.44140625" style="3" customWidth="1"/>
    <col min="9" max="9" width="4.109375" style="3" customWidth="1"/>
    <col min="10" max="10" width="5.109375" style="3" customWidth="1"/>
    <col min="11" max="11" width="4.33203125" style="3" customWidth="1"/>
    <col min="12" max="12" width="3.88671875" style="3" customWidth="1"/>
    <col min="13" max="14" width="4.88671875" style="3" customWidth="1"/>
    <col min="15" max="15" width="5" style="3" customWidth="1"/>
    <col min="16" max="16" width="4.6640625" style="3" customWidth="1"/>
    <col min="17" max="17" width="5" style="3" customWidth="1"/>
    <col min="18" max="18" width="6.88671875" style="3" customWidth="1"/>
    <col min="19" max="25" width="10.6640625" style="1" customWidth="1"/>
    <col min="26" max="16384" width="14.44140625" style="1"/>
  </cols>
  <sheetData>
    <row r="1" spans="1:25" x14ac:dyDescent="0.3">
      <c r="B1" s="42"/>
      <c r="D1" s="42"/>
      <c r="S1" s="220"/>
      <c r="T1" s="220"/>
      <c r="U1" s="220"/>
      <c r="V1" s="220"/>
    </row>
    <row r="2" spans="1:25" ht="2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220"/>
      <c r="T2" s="220"/>
      <c r="U2" s="220"/>
      <c r="V2" s="220"/>
    </row>
    <row r="3" spans="1:25" ht="21" x14ac:dyDescent="0.4">
      <c r="A3" s="4" t="s">
        <v>1</v>
      </c>
      <c r="B3" s="5"/>
      <c r="C3" s="6">
        <f>E143+R143</f>
        <v>2450</v>
      </c>
      <c r="D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20"/>
      <c r="T3" s="220"/>
      <c r="U3" s="102"/>
      <c r="V3" s="253"/>
      <c r="X3" s="8">
        <v>4360</v>
      </c>
    </row>
    <row r="4" spans="1:25" x14ac:dyDescent="0.3">
      <c r="B4" s="42"/>
      <c r="D4" s="42"/>
      <c r="S4" s="220"/>
      <c r="T4" s="220"/>
      <c r="U4" s="220"/>
      <c r="V4" s="220"/>
      <c r="X4" s="8">
        <v>408</v>
      </c>
    </row>
    <row r="5" spans="1:25" x14ac:dyDescent="0.3">
      <c r="A5" s="10" t="s">
        <v>2</v>
      </c>
      <c r="B5" s="11" t="s">
        <v>3</v>
      </c>
      <c r="C5" s="10" t="s">
        <v>4</v>
      </c>
      <c r="D5" s="11" t="s">
        <v>5</v>
      </c>
      <c r="E5" s="113" t="s">
        <v>6</v>
      </c>
      <c r="F5" s="12" t="s">
        <v>7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4"/>
      <c r="S5" s="220"/>
      <c r="T5" s="220"/>
      <c r="U5" s="220"/>
      <c r="V5" s="220"/>
    </row>
    <row r="6" spans="1:25" x14ac:dyDescent="0.3">
      <c r="A6" s="16"/>
      <c r="B6" s="16"/>
      <c r="C6" s="15"/>
      <c r="D6" s="16"/>
      <c r="E6" s="254"/>
      <c r="F6" s="255" t="s">
        <v>8</v>
      </c>
      <c r="G6" s="255" t="s">
        <v>9</v>
      </c>
      <c r="H6" s="255" t="s">
        <v>10</v>
      </c>
      <c r="I6" s="255" t="s">
        <v>11</v>
      </c>
      <c r="J6" s="255" t="s">
        <v>12</v>
      </c>
      <c r="K6" s="255" t="s">
        <v>13</v>
      </c>
      <c r="L6" s="255" t="s">
        <v>14</v>
      </c>
      <c r="M6" s="255" t="s">
        <v>15</v>
      </c>
      <c r="N6" s="255" t="s">
        <v>16</v>
      </c>
      <c r="O6" s="255" t="s">
        <v>17</v>
      </c>
      <c r="P6" s="255" t="s">
        <v>18</v>
      </c>
      <c r="Q6" s="255" t="s">
        <v>19</v>
      </c>
      <c r="R6" s="255" t="s">
        <v>20</v>
      </c>
      <c r="S6" s="220"/>
      <c r="T6" s="220"/>
      <c r="U6" s="220"/>
      <c r="V6" s="220"/>
      <c r="X6" s="8">
        <f>X3+X4+X5</f>
        <v>4768</v>
      </c>
    </row>
    <row r="7" spans="1:25" x14ac:dyDescent="0.3">
      <c r="A7" s="97">
        <v>1</v>
      </c>
      <c r="B7" s="256" t="s">
        <v>21</v>
      </c>
      <c r="C7" s="257" t="s">
        <v>22</v>
      </c>
      <c r="D7" s="98" t="s">
        <v>23</v>
      </c>
      <c r="E7" s="97"/>
      <c r="F7" s="258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0">
        <f>SUM(F7:Q7)</f>
        <v>0</v>
      </c>
      <c r="S7" s="219"/>
      <c r="T7" s="103"/>
      <c r="U7" s="102"/>
      <c r="V7" s="220"/>
      <c r="X7" s="8">
        <v>276.8</v>
      </c>
    </row>
    <row r="8" spans="1:25" x14ac:dyDescent="0.3">
      <c r="A8" s="97">
        <v>2</v>
      </c>
      <c r="B8" s="256" t="s">
        <v>25</v>
      </c>
      <c r="C8" s="101" t="s">
        <v>26</v>
      </c>
      <c r="D8" s="98" t="s">
        <v>27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260">
        <f t="shared" ref="R8:R71" si="0">SUM(F8:Q8)</f>
        <v>0</v>
      </c>
      <c r="S8" s="220"/>
      <c r="T8" s="220"/>
      <c r="U8" s="220"/>
      <c r="V8" s="220"/>
      <c r="X8" s="8">
        <f>X6-X7</f>
        <v>4491.2</v>
      </c>
    </row>
    <row r="9" spans="1:25" x14ac:dyDescent="0.3">
      <c r="A9" s="97">
        <v>3</v>
      </c>
      <c r="B9" s="98" t="s">
        <v>29</v>
      </c>
      <c r="C9" s="101" t="s">
        <v>400</v>
      </c>
      <c r="D9" s="98" t="s">
        <v>31</v>
      </c>
      <c r="E9" s="97"/>
      <c r="F9" s="258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60">
        <f t="shared" si="0"/>
        <v>0</v>
      </c>
      <c r="S9" s="219"/>
      <c r="T9" s="103"/>
      <c r="U9" s="102"/>
      <c r="V9" s="220"/>
    </row>
    <row r="10" spans="1:25" x14ac:dyDescent="0.3">
      <c r="A10" s="97">
        <v>4</v>
      </c>
      <c r="B10" s="98" t="s">
        <v>32</v>
      </c>
      <c r="C10" s="101" t="s">
        <v>33</v>
      </c>
      <c r="D10" s="98" t="s">
        <v>34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260">
        <f t="shared" si="0"/>
        <v>0</v>
      </c>
      <c r="S10" s="103"/>
      <c r="T10" s="103"/>
      <c r="U10" s="102"/>
      <c r="V10" s="220"/>
    </row>
    <row r="11" spans="1:25" x14ac:dyDescent="0.3">
      <c r="A11" s="97">
        <v>5</v>
      </c>
      <c r="B11" s="98" t="s">
        <v>36</v>
      </c>
      <c r="C11" s="257" t="s">
        <v>37</v>
      </c>
      <c r="D11" s="98" t="s">
        <v>38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260">
        <f t="shared" si="0"/>
        <v>0</v>
      </c>
      <c r="S11" s="220"/>
      <c r="T11" s="220"/>
      <c r="U11" s="220"/>
      <c r="V11" s="220"/>
    </row>
    <row r="12" spans="1:25" x14ac:dyDescent="0.3">
      <c r="A12" s="90">
        <v>6</v>
      </c>
      <c r="B12" s="93" t="s">
        <v>39</v>
      </c>
      <c r="C12" s="287" t="s">
        <v>446</v>
      </c>
      <c r="D12" s="93" t="s">
        <v>41</v>
      </c>
      <c r="E12" s="90"/>
      <c r="F12" s="90">
        <v>10</v>
      </c>
      <c r="G12" s="90">
        <v>10</v>
      </c>
      <c r="H12" s="90">
        <v>10</v>
      </c>
      <c r="I12" s="90">
        <v>10</v>
      </c>
      <c r="J12" s="90">
        <v>10</v>
      </c>
      <c r="K12" s="90">
        <v>10</v>
      </c>
      <c r="L12" s="90">
        <v>10</v>
      </c>
      <c r="M12" s="90">
        <v>10</v>
      </c>
      <c r="N12" s="90">
        <v>10</v>
      </c>
      <c r="O12" s="90">
        <v>10</v>
      </c>
      <c r="P12" s="90">
        <v>10</v>
      </c>
      <c r="Q12" s="90">
        <v>10</v>
      </c>
      <c r="R12" s="265">
        <f t="shared" si="0"/>
        <v>120</v>
      </c>
      <c r="S12" s="288" t="s">
        <v>574</v>
      </c>
      <c r="T12" s="288"/>
      <c r="U12" s="288"/>
      <c r="V12" s="96"/>
    </row>
    <row r="13" spans="1:25" x14ac:dyDescent="0.3">
      <c r="A13" s="97">
        <v>7</v>
      </c>
      <c r="B13" s="98" t="s">
        <v>43</v>
      </c>
      <c r="C13" s="101" t="s">
        <v>44</v>
      </c>
      <c r="D13" s="98" t="s">
        <v>428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260">
        <f t="shared" si="0"/>
        <v>0</v>
      </c>
      <c r="S13" s="219"/>
      <c r="T13" s="102"/>
      <c r="U13" s="102"/>
      <c r="V13" s="220"/>
    </row>
    <row r="14" spans="1:25" x14ac:dyDescent="0.3">
      <c r="A14" s="97">
        <v>8</v>
      </c>
      <c r="B14" s="98" t="s">
        <v>46</v>
      </c>
      <c r="C14" s="267" t="s">
        <v>491</v>
      </c>
      <c r="D14" s="98" t="s">
        <v>48</v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260">
        <f t="shared" si="0"/>
        <v>0</v>
      </c>
      <c r="S14" s="103"/>
      <c r="T14" s="102"/>
      <c r="U14" s="102"/>
      <c r="V14" s="102"/>
      <c r="W14" s="8"/>
      <c r="X14" s="8"/>
      <c r="Y14" s="8"/>
    </row>
    <row r="15" spans="1:25" x14ac:dyDescent="0.3">
      <c r="A15" s="97">
        <v>9</v>
      </c>
      <c r="B15" s="98" t="s">
        <v>49</v>
      </c>
      <c r="C15" s="101" t="s">
        <v>50</v>
      </c>
      <c r="D15" s="98" t="s">
        <v>51</v>
      </c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260">
        <f t="shared" si="0"/>
        <v>0</v>
      </c>
      <c r="S15" s="220"/>
      <c r="T15" s="220"/>
      <c r="U15" s="220"/>
      <c r="V15" s="220"/>
    </row>
    <row r="16" spans="1:25" x14ac:dyDescent="0.3">
      <c r="A16" s="97">
        <v>10</v>
      </c>
      <c r="B16" s="98" t="s">
        <v>52</v>
      </c>
      <c r="C16" s="267" t="s">
        <v>493</v>
      </c>
      <c r="D16" s="98" t="s">
        <v>54</v>
      </c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260">
        <f t="shared" si="0"/>
        <v>0</v>
      </c>
      <c r="S16" s="102"/>
      <c r="T16" s="102"/>
      <c r="U16" s="102"/>
      <c r="V16" s="220"/>
    </row>
    <row r="17" spans="1:22" x14ac:dyDescent="0.3">
      <c r="A17" s="97">
        <v>11</v>
      </c>
      <c r="B17" s="98" t="s">
        <v>55</v>
      </c>
      <c r="C17" s="257" t="s">
        <v>56</v>
      </c>
      <c r="D17" s="98" t="s">
        <v>57</v>
      </c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260">
        <f t="shared" si="0"/>
        <v>0</v>
      </c>
      <c r="S17" s="220"/>
      <c r="T17" s="220"/>
      <c r="U17" s="220"/>
      <c r="V17" s="220"/>
    </row>
    <row r="18" spans="1:22" x14ac:dyDescent="0.3">
      <c r="A18" s="97">
        <v>12</v>
      </c>
      <c r="B18" s="98" t="s">
        <v>58</v>
      </c>
      <c r="C18" s="257" t="s">
        <v>59</v>
      </c>
      <c r="D18" s="98" t="s">
        <v>60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260">
        <f t="shared" si="0"/>
        <v>0</v>
      </c>
      <c r="S18" s="220"/>
      <c r="T18" s="220"/>
      <c r="U18" s="220"/>
      <c r="V18" s="220"/>
    </row>
    <row r="19" spans="1:22" x14ac:dyDescent="0.3">
      <c r="A19" s="97">
        <v>13</v>
      </c>
      <c r="B19" s="98" t="s">
        <v>61</v>
      </c>
      <c r="C19" s="101" t="s">
        <v>62</v>
      </c>
      <c r="D19" s="98" t="s">
        <v>63</v>
      </c>
      <c r="E19" s="97"/>
      <c r="F19" s="258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60">
        <f t="shared" si="0"/>
        <v>0</v>
      </c>
      <c r="S19" s="219"/>
      <c r="T19" s="103"/>
      <c r="U19" s="102"/>
      <c r="V19" s="220"/>
    </row>
    <row r="20" spans="1:22" x14ac:dyDescent="0.3">
      <c r="A20" s="90">
        <v>14</v>
      </c>
      <c r="B20" s="93" t="s">
        <v>65</v>
      </c>
      <c r="C20" s="196" t="s">
        <v>66</v>
      </c>
      <c r="D20" s="93" t="s">
        <v>67</v>
      </c>
      <c r="E20" s="90"/>
      <c r="F20" s="90">
        <v>10</v>
      </c>
      <c r="G20" s="90">
        <v>10</v>
      </c>
      <c r="H20" s="90">
        <v>10</v>
      </c>
      <c r="I20" s="90">
        <v>10</v>
      </c>
      <c r="J20" s="90">
        <v>10</v>
      </c>
      <c r="K20" s="90">
        <v>10</v>
      </c>
      <c r="L20" s="90">
        <v>10</v>
      </c>
      <c r="M20" s="90">
        <v>10</v>
      </c>
      <c r="N20" s="90">
        <v>10</v>
      </c>
      <c r="O20" s="90">
        <v>10</v>
      </c>
      <c r="P20" s="90">
        <v>10</v>
      </c>
      <c r="Q20" s="90">
        <v>10</v>
      </c>
      <c r="R20" s="265">
        <f t="shared" si="0"/>
        <v>120</v>
      </c>
      <c r="S20" s="266" t="s">
        <v>575</v>
      </c>
      <c r="T20" s="266"/>
      <c r="U20" s="102"/>
      <c r="V20" s="220"/>
    </row>
    <row r="21" spans="1:22" ht="15.75" customHeight="1" x14ac:dyDescent="0.3">
      <c r="A21" s="90">
        <v>15</v>
      </c>
      <c r="B21" s="93" t="s">
        <v>68</v>
      </c>
      <c r="C21" s="271" t="s">
        <v>495</v>
      </c>
      <c r="D21" s="93" t="s">
        <v>70</v>
      </c>
      <c r="E21" s="90"/>
      <c r="F21" s="90">
        <v>10</v>
      </c>
      <c r="G21" s="90">
        <v>10</v>
      </c>
      <c r="H21" s="90">
        <v>10</v>
      </c>
      <c r="I21" s="90">
        <v>10</v>
      </c>
      <c r="J21" s="90">
        <v>10</v>
      </c>
      <c r="K21" s="90">
        <v>10</v>
      </c>
      <c r="L21" s="90">
        <v>10</v>
      </c>
      <c r="M21" s="90">
        <v>10</v>
      </c>
      <c r="N21" s="90">
        <v>10</v>
      </c>
      <c r="O21" s="90">
        <v>10</v>
      </c>
      <c r="P21" s="90">
        <v>10</v>
      </c>
      <c r="Q21" s="90">
        <v>10</v>
      </c>
      <c r="R21" s="265">
        <f t="shared" si="0"/>
        <v>120</v>
      </c>
      <c r="S21" s="288" t="s">
        <v>576</v>
      </c>
      <c r="T21" s="288"/>
      <c r="U21" s="102"/>
      <c r="V21" s="220"/>
    </row>
    <row r="22" spans="1:22" ht="15.75" customHeight="1" x14ac:dyDescent="0.3">
      <c r="A22" s="97">
        <v>16</v>
      </c>
      <c r="B22" s="98" t="s">
        <v>71</v>
      </c>
      <c r="C22" s="257" t="s">
        <v>72</v>
      </c>
      <c r="D22" s="98" t="s">
        <v>73</v>
      </c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260">
        <f t="shared" si="0"/>
        <v>0</v>
      </c>
      <c r="S22" s="220"/>
      <c r="T22" s="220"/>
      <c r="U22" s="220"/>
      <c r="V22" s="220"/>
    </row>
    <row r="23" spans="1:22" ht="15.75" customHeight="1" x14ac:dyDescent="0.3">
      <c r="A23" s="97">
        <v>17</v>
      </c>
      <c r="B23" s="98" t="s">
        <v>74</v>
      </c>
      <c r="C23" s="267" t="s">
        <v>497</v>
      </c>
      <c r="D23" s="98" t="s">
        <v>76</v>
      </c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260">
        <f t="shared" si="0"/>
        <v>0</v>
      </c>
      <c r="S23" s="220"/>
      <c r="T23" s="220"/>
      <c r="U23" s="220"/>
      <c r="V23" s="220"/>
    </row>
    <row r="24" spans="1:22" ht="15.75" customHeight="1" x14ac:dyDescent="0.3">
      <c r="A24" s="90">
        <v>18</v>
      </c>
      <c r="B24" s="93" t="s">
        <v>77</v>
      </c>
      <c r="C24" s="289" t="s">
        <v>498</v>
      </c>
      <c r="D24" s="93" t="s">
        <v>79</v>
      </c>
      <c r="E24" s="90"/>
      <c r="F24" s="90">
        <v>10</v>
      </c>
      <c r="G24" s="90">
        <v>10</v>
      </c>
      <c r="H24" s="90">
        <v>10</v>
      </c>
      <c r="I24" s="90">
        <v>10</v>
      </c>
      <c r="J24" s="90">
        <v>10</v>
      </c>
      <c r="K24" s="90">
        <v>10</v>
      </c>
      <c r="L24" s="90">
        <v>10</v>
      </c>
      <c r="M24" s="90">
        <v>10</v>
      </c>
      <c r="N24" s="90">
        <v>10</v>
      </c>
      <c r="O24" s="90">
        <v>10</v>
      </c>
      <c r="P24" s="90">
        <v>10</v>
      </c>
      <c r="Q24" s="90">
        <v>10</v>
      </c>
      <c r="R24" s="265">
        <f t="shared" si="0"/>
        <v>120</v>
      </c>
      <c r="S24" s="95" t="s">
        <v>577</v>
      </c>
      <c r="T24" s="270"/>
      <c r="U24" s="95"/>
      <c r="V24" s="220"/>
    </row>
    <row r="25" spans="1:22" ht="15.75" customHeight="1" x14ac:dyDescent="0.3">
      <c r="A25" s="97">
        <v>19</v>
      </c>
      <c r="B25" s="98" t="s">
        <v>80</v>
      </c>
      <c r="C25" s="101" t="s">
        <v>81</v>
      </c>
      <c r="D25" s="98" t="s">
        <v>82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260">
        <f t="shared" si="0"/>
        <v>0</v>
      </c>
      <c r="S25" s="220"/>
      <c r="T25" s="219"/>
      <c r="U25" s="220"/>
      <c r="V25" s="220"/>
    </row>
    <row r="26" spans="1:22" ht="15.75" customHeight="1" x14ac:dyDescent="0.3">
      <c r="A26" s="90">
        <v>20</v>
      </c>
      <c r="B26" s="93" t="s">
        <v>83</v>
      </c>
      <c r="C26" s="196" t="s">
        <v>84</v>
      </c>
      <c r="D26" s="93" t="s">
        <v>85</v>
      </c>
      <c r="E26" s="90"/>
      <c r="F26" s="268">
        <v>10</v>
      </c>
      <c r="G26" s="269">
        <v>10</v>
      </c>
      <c r="H26" s="269">
        <v>10</v>
      </c>
      <c r="I26" s="269">
        <v>10</v>
      </c>
      <c r="J26" s="269">
        <v>10</v>
      </c>
      <c r="K26" s="269">
        <v>10</v>
      </c>
      <c r="L26" s="269">
        <v>10</v>
      </c>
      <c r="M26" s="269">
        <v>10</v>
      </c>
      <c r="N26" s="269">
        <v>10</v>
      </c>
      <c r="O26" s="269">
        <v>10</v>
      </c>
      <c r="P26" s="269">
        <v>10</v>
      </c>
      <c r="Q26" s="269">
        <v>10</v>
      </c>
      <c r="R26" s="265">
        <f t="shared" si="0"/>
        <v>120</v>
      </c>
      <c r="S26" s="270" t="s">
        <v>578</v>
      </c>
      <c r="T26" s="102"/>
      <c r="U26" s="102"/>
      <c r="V26" s="220"/>
    </row>
    <row r="27" spans="1:22" ht="15.75" customHeight="1" x14ac:dyDescent="0.3">
      <c r="A27" s="97">
        <v>21</v>
      </c>
      <c r="B27" s="98" t="s">
        <v>86</v>
      </c>
      <c r="C27" s="257" t="s">
        <v>87</v>
      </c>
      <c r="D27" s="98" t="s">
        <v>88</v>
      </c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260">
        <f t="shared" si="0"/>
        <v>0</v>
      </c>
      <c r="S27" s="220"/>
      <c r="T27" s="220"/>
      <c r="U27" s="220"/>
      <c r="V27" s="220"/>
    </row>
    <row r="28" spans="1:22" ht="15.75" customHeight="1" x14ac:dyDescent="0.3">
      <c r="A28" s="97">
        <v>22</v>
      </c>
      <c r="B28" s="98" t="s">
        <v>89</v>
      </c>
      <c r="C28" s="267" t="s">
        <v>502</v>
      </c>
      <c r="D28" s="98" t="s">
        <v>91</v>
      </c>
      <c r="E28" s="97"/>
      <c r="F28" s="258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60">
        <f t="shared" si="0"/>
        <v>0</v>
      </c>
      <c r="S28" s="102"/>
      <c r="T28" s="102"/>
      <c r="U28" s="102"/>
      <c r="V28" s="220"/>
    </row>
    <row r="29" spans="1:22" ht="15.75" customHeight="1" x14ac:dyDescent="0.3">
      <c r="A29" s="90">
        <v>23</v>
      </c>
      <c r="B29" s="93" t="s">
        <v>92</v>
      </c>
      <c r="C29" s="196" t="s">
        <v>93</v>
      </c>
      <c r="D29" s="93" t="s">
        <v>94</v>
      </c>
      <c r="E29" s="90"/>
      <c r="F29" s="268">
        <v>10</v>
      </c>
      <c r="G29" s="269">
        <v>10</v>
      </c>
      <c r="H29" s="269">
        <v>10</v>
      </c>
      <c r="I29" s="269">
        <v>10</v>
      </c>
      <c r="J29" s="269">
        <v>10</v>
      </c>
      <c r="K29" s="269">
        <v>10</v>
      </c>
      <c r="L29" s="269">
        <v>10</v>
      </c>
      <c r="M29" s="269">
        <v>10</v>
      </c>
      <c r="N29" s="269">
        <v>10</v>
      </c>
      <c r="O29" s="269">
        <v>10</v>
      </c>
      <c r="P29" s="269">
        <v>10</v>
      </c>
      <c r="Q29" s="269">
        <v>10</v>
      </c>
      <c r="R29" s="265">
        <f t="shared" si="0"/>
        <v>120</v>
      </c>
      <c r="S29" s="270" t="s">
        <v>578</v>
      </c>
      <c r="T29" s="103"/>
      <c r="U29" s="220"/>
      <c r="V29" s="220"/>
    </row>
    <row r="30" spans="1:22" ht="15.75" customHeight="1" x14ac:dyDescent="0.3">
      <c r="A30" s="97">
        <v>24</v>
      </c>
      <c r="B30" s="98" t="s">
        <v>95</v>
      </c>
      <c r="C30" s="101" t="s">
        <v>453</v>
      </c>
      <c r="D30" s="98" t="s">
        <v>97</v>
      </c>
      <c r="E30" s="97"/>
      <c r="F30" s="258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60">
        <f t="shared" si="0"/>
        <v>0</v>
      </c>
      <c r="S30" s="103"/>
      <c r="T30" s="103"/>
      <c r="U30" s="103"/>
      <c r="V30" s="220"/>
    </row>
    <row r="31" spans="1:22" ht="15.75" customHeight="1" x14ac:dyDescent="0.3">
      <c r="A31" s="90">
        <v>25</v>
      </c>
      <c r="B31" s="93" t="s">
        <v>98</v>
      </c>
      <c r="C31" s="91" t="s">
        <v>99</v>
      </c>
      <c r="D31" s="93" t="s">
        <v>100</v>
      </c>
      <c r="E31" s="90"/>
      <c r="F31" s="268">
        <v>10</v>
      </c>
      <c r="G31" s="269">
        <v>10</v>
      </c>
      <c r="H31" s="269">
        <v>10</v>
      </c>
      <c r="I31" s="269">
        <v>10</v>
      </c>
      <c r="J31" s="269">
        <v>10</v>
      </c>
      <c r="K31" s="269">
        <v>10</v>
      </c>
      <c r="L31" s="269">
        <v>10</v>
      </c>
      <c r="M31" s="269">
        <v>10</v>
      </c>
      <c r="N31" s="269">
        <v>10</v>
      </c>
      <c r="O31" s="269">
        <v>10</v>
      </c>
      <c r="P31" s="269">
        <v>10</v>
      </c>
      <c r="Q31" s="269">
        <v>10</v>
      </c>
      <c r="R31" s="265">
        <f t="shared" si="0"/>
        <v>120</v>
      </c>
      <c r="S31" s="266" t="s">
        <v>578</v>
      </c>
      <c r="T31" s="102"/>
      <c r="U31" s="102"/>
      <c r="V31" s="220"/>
    </row>
    <row r="32" spans="1:22" ht="15.75" customHeight="1" x14ac:dyDescent="0.3">
      <c r="A32" s="97">
        <v>26</v>
      </c>
      <c r="B32" s="98" t="s">
        <v>101</v>
      </c>
      <c r="C32" s="101" t="s">
        <v>102</v>
      </c>
      <c r="D32" s="98" t="s">
        <v>103</v>
      </c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260">
        <f t="shared" si="0"/>
        <v>0</v>
      </c>
      <c r="S32" s="220"/>
      <c r="T32" s="220"/>
      <c r="U32" s="220"/>
      <c r="V32" s="220"/>
    </row>
    <row r="33" spans="1:25" ht="15.75" customHeight="1" x14ac:dyDescent="0.3">
      <c r="A33" s="97">
        <v>27</v>
      </c>
      <c r="B33" s="98" t="s">
        <v>104</v>
      </c>
      <c r="C33" s="101" t="s">
        <v>105</v>
      </c>
      <c r="D33" s="98" t="s">
        <v>106</v>
      </c>
      <c r="E33" s="97"/>
      <c r="F33" s="258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0">
        <f t="shared" si="0"/>
        <v>0</v>
      </c>
      <c r="S33" s="103"/>
      <c r="T33" s="103"/>
      <c r="U33" s="103"/>
      <c r="V33" s="220"/>
    </row>
    <row r="34" spans="1:25" ht="15.75" customHeight="1" x14ac:dyDescent="0.3">
      <c r="A34" s="90">
        <v>28</v>
      </c>
      <c r="B34" s="93" t="s">
        <v>107</v>
      </c>
      <c r="C34" s="91" t="s">
        <v>108</v>
      </c>
      <c r="D34" s="93" t="s">
        <v>109</v>
      </c>
      <c r="E34" s="90"/>
      <c r="F34" s="268">
        <v>10</v>
      </c>
      <c r="G34" s="269">
        <v>10</v>
      </c>
      <c r="H34" s="269">
        <v>10</v>
      </c>
      <c r="I34" s="269">
        <v>10</v>
      </c>
      <c r="J34" s="269">
        <v>10</v>
      </c>
      <c r="K34" s="269">
        <v>10</v>
      </c>
      <c r="L34" s="269">
        <v>10</v>
      </c>
      <c r="M34" s="269">
        <v>10</v>
      </c>
      <c r="N34" s="269">
        <v>10</v>
      </c>
      <c r="O34" s="269">
        <v>10</v>
      </c>
      <c r="P34" s="269">
        <v>10</v>
      </c>
      <c r="Q34" s="269">
        <v>10</v>
      </c>
      <c r="R34" s="265">
        <f t="shared" si="0"/>
        <v>120</v>
      </c>
      <c r="S34" s="266" t="s">
        <v>579</v>
      </c>
      <c r="T34" s="266"/>
      <c r="U34" s="103"/>
      <c r="V34" s="102"/>
    </row>
    <row r="35" spans="1:25" ht="15.75" customHeight="1" x14ac:dyDescent="0.3">
      <c r="A35" s="97">
        <v>29</v>
      </c>
      <c r="B35" s="98" t="s">
        <v>110</v>
      </c>
      <c r="C35" s="257" t="s">
        <v>111</v>
      </c>
      <c r="D35" s="98" t="s">
        <v>112</v>
      </c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260">
        <f t="shared" si="0"/>
        <v>0</v>
      </c>
      <c r="S35" s="220"/>
      <c r="T35" s="220"/>
      <c r="U35" s="220"/>
      <c r="V35" s="220"/>
    </row>
    <row r="36" spans="1:25" ht="15.75" customHeight="1" x14ac:dyDescent="0.3">
      <c r="A36" s="97">
        <v>30</v>
      </c>
      <c r="B36" s="98" t="s">
        <v>113</v>
      </c>
      <c r="C36" s="101" t="s">
        <v>114</v>
      </c>
      <c r="D36" s="98" t="s">
        <v>115</v>
      </c>
      <c r="E36" s="97"/>
      <c r="F36" s="258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60">
        <f t="shared" si="0"/>
        <v>0</v>
      </c>
      <c r="S36" s="103"/>
      <c r="T36" s="103"/>
      <c r="U36" s="102"/>
      <c r="V36" s="220"/>
    </row>
    <row r="37" spans="1:25" ht="15.75" customHeight="1" x14ac:dyDescent="0.3">
      <c r="A37" s="97">
        <v>31</v>
      </c>
      <c r="B37" s="98" t="s">
        <v>116</v>
      </c>
      <c r="C37" s="257" t="s">
        <v>117</v>
      </c>
      <c r="D37" s="98" t="s">
        <v>118</v>
      </c>
      <c r="E37" s="97"/>
      <c r="F37" s="258"/>
      <c r="G37" s="259"/>
      <c r="H37" s="259"/>
      <c r="I37" s="259"/>
      <c r="J37" s="259"/>
      <c r="K37" s="259"/>
      <c r="L37" s="259"/>
      <c r="M37" s="259"/>
      <c r="N37" s="259"/>
      <c r="O37" s="259"/>
      <c r="P37" s="259"/>
      <c r="Q37" s="259"/>
      <c r="R37" s="260">
        <f t="shared" si="0"/>
        <v>0</v>
      </c>
      <c r="S37" s="102"/>
      <c r="T37" s="102"/>
      <c r="U37" s="102"/>
      <c r="V37" s="220"/>
    </row>
    <row r="38" spans="1:25" ht="15.75" customHeight="1" x14ac:dyDescent="0.3">
      <c r="A38" s="97">
        <v>32</v>
      </c>
      <c r="B38" s="98" t="s">
        <v>119</v>
      </c>
      <c r="C38" s="290" t="s">
        <v>507</v>
      </c>
      <c r="D38" s="98" t="s">
        <v>121</v>
      </c>
      <c r="E38" s="97"/>
      <c r="F38" s="258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60">
        <f t="shared" si="0"/>
        <v>0</v>
      </c>
      <c r="S38" s="103"/>
      <c r="T38" s="103"/>
      <c r="U38" s="103"/>
      <c r="V38" s="220"/>
    </row>
    <row r="39" spans="1:25" ht="15.75" customHeight="1" x14ac:dyDescent="0.3">
      <c r="A39" s="97">
        <v>33</v>
      </c>
      <c r="B39" s="98" t="s">
        <v>122</v>
      </c>
      <c r="C39" s="101" t="s">
        <v>123</v>
      </c>
      <c r="D39" s="98" t="s">
        <v>124</v>
      </c>
      <c r="E39" s="97"/>
      <c r="F39" s="258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59"/>
      <c r="R39" s="260">
        <f t="shared" si="0"/>
        <v>0</v>
      </c>
      <c r="S39" s="103"/>
      <c r="T39" s="103"/>
      <c r="U39" s="103"/>
      <c r="V39" s="220"/>
    </row>
    <row r="40" spans="1:25" ht="15.75" customHeight="1" x14ac:dyDescent="0.3">
      <c r="A40" s="97">
        <v>34</v>
      </c>
      <c r="B40" s="98" t="s">
        <v>125</v>
      </c>
      <c r="C40" s="284" t="s">
        <v>510</v>
      </c>
      <c r="D40" s="98" t="s">
        <v>127</v>
      </c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260">
        <f t="shared" si="0"/>
        <v>0</v>
      </c>
      <c r="S40" s="103"/>
      <c r="T40" s="220"/>
      <c r="U40" s="220"/>
      <c r="V40" s="220"/>
    </row>
    <row r="41" spans="1:25" ht="15.75" customHeight="1" x14ac:dyDescent="0.3">
      <c r="A41" s="90">
        <v>35</v>
      </c>
      <c r="B41" s="93" t="s">
        <v>128</v>
      </c>
      <c r="C41" s="264" t="s">
        <v>512</v>
      </c>
      <c r="D41" s="93" t="s">
        <v>130</v>
      </c>
      <c r="E41" s="90"/>
      <c r="F41" s="90">
        <v>10</v>
      </c>
      <c r="G41" s="90">
        <v>10</v>
      </c>
      <c r="H41" s="90">
        <v>10</v>
      </c>
      <c r="I41" s="90">
        <v>10</v>
      </c>
      <c r="J41" s="90">
        <v>10</v>
      </c>
      <c r="K41" s="90">
        <v>10</v>
      </c>
      <c r="L41" s="90">
        <v>10</v>
      </c>
      <c r="M41" s="90">
        <v>10</v>
      </c>
      <c r="N41" s="90">
        <v>10</v>
      </c>
      <c r="O41" s="90">
        <v>10</v>
      </c>
      <c r="P41" s="90">
        <v>10</v>
      </c>
      <c r="Q41" s="90">
        <v>10</v>
      </c>
      <c r="R41" s="265">
        <f t="shared" si="0"/>
        <v>120</v>
      </c>
      <c r="S41" s="266" t="s">
        <v>579</v>
      </c>
      <c r="T41" s="95"/>
      <c r="U41" s="102"/>
      <c r="V41" s="220"/>
    </row>
    <row r="42" spans="1:25" ht="15.75" customHeight="1" x14ac:dyDescent="0.3">
      <c r="A42" s="97">
        <v>36</v>
      </c>
      <c r="B42" s="98" t="s">
        <v>131</v>
      </c>
      <c r="C42" s="257" t="s">
        <v>132</v>
      </c>
      <c r="D42" s="98" t="s">
        <v>133</v>
      </c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260">
        <f t="shared" si="0"/>
        <v>0</v>
      </c>
      <c r="S42" s="220"/>
      <c r="T42" s="220"/>
      <c r="U42" s="220"/>
      <c r="V42" s="220"/>
    </row>
    <row r="43" spans="1:25" ht="15.75" customHeight="1" x14ac:dyDescent="0.3">
      <c r="A43" s="97">
        <v>37</v>
      </c>
      <c r="B43" s="98" t="s">
        <v>135</v>
      </c>
      <c r="C43" s="257" t="s">
        <v>136</v>
      </c>
      <c r="D43" s="98" t="s">
        <v>137</v>
      </c>
      <c r="E43" s="97"/>
      <c r="F43" s="258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60">
        <f t="shared" si="0"/>
        <v>0</v>
      </c>
      <c r="S43" s="103"/>
      <c r="T43" s="103"/>
      <c r="U43" s="102"/>
      <c r="V43" s="102"/>
    </row>
    <row r="44" spans="1:25" ht="15.75" customHeight="1" x14ac:dyDescent="0.3">
      <c r="A44" s="97">
        <v>38</v>
      </c>
      <c r="B44" s="98" t="s">
        <v>138</v>
      </c>
      <c r="C44" s="257" t="s">
        <v>139</v>
      </c>
      <c r="D44" s="98" t="s">
        <v>140</v>
      </c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260">
        <f t="shared" si="0"/>
        <v>0</v>
      </c>
      <c r="S44" s="102"/>
      <c r="T44" s="102"/>
      <c r="U44" s="102"/>
      <c r="V44" s="220"/>
    </row>
    <row r="45" spans="1:25" ht="15.75" customHeight="1" x14ac:dyDescent="0.3">
      <c r="A45" s="97">
        <v>39</v>
      </c>
      <c r="B45" s="98" t="s">
        <v>141</v>
      </c>
      <c r="C45" s="257" t="s">
        <v>142</v>
      </c>
      <c r="D45" s="98" t="s">
        <v>143</v>
      </c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260">
        <f t="shared" si="0"/>
        <v>0</v>
      </c>
      <c r="S45" s="102"/>
      <c r="T45" s="102"/>
      <c r="U45" s="102"/>
      <c r="V45" s="220"/>
    </row>
    <row r="46" spans="1:25" ht="15.75" customHeight="1" x14ac:dyDescent="0.3">
      <c r="A46" s="97">
        <v>40</v>
      </c>
      <c r="B46" s="98" t="s">
        <v>144</v>
      </c>
      <c r="C46" s="257" t="s">
        <v>145</v>
      </c>
      <c r="D46" s="98" t="s">
        <v>146</v>
      </c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260">
        <f t="shared" si="0"/>
        <v>0</v>
      </c>
      <c r="S46" s="103"/>
      <c r="T46" s="102"/>
      <c r="U46" s="102"/>
      <c r="V46" s="102"/>
      <c r="W46" s="8"/>
      <c r="X46" s="8"/>
      <c r="Y46" s="8"/>
    </row>
    <row r="47" spans="1:25" ht="15.75" customHeight="1" x14ac:dyDescent="0.3">
      <c r="A47" s="90">
        <v>41</v>
      </c>
      <c r="B47" s="93" t="s">
        <v>147</v>
      </c>
      <c r="C47" s="91" t="s">
        <v>458</v>
      </c>
      <c r="D47" s="93" t="s">
        <v>149</v>
      </c>
      <c r="E47" s="90"/>
      <c r="F47" s="90">
        <v>10</v>
      </c>
      <c r="G47" s="90">
        <v>10</v>
      </c>
      <c r="H47" s="90">
        <v>10</v>
      </c>
      <c r="I47" s="90">
        <v>10</v>
      </c>
      <c r="J47" s="90">
        <v>10</v>
      </c>
      <c r="K47" s="90">
        <v>10</v>
      </c>
      <c r="L47" s="90">
        <v>10</v>
      </c>
      <c r="M47" s="90">
        <v>10</v>
      </c>
      <c r="N47" s="90">
        <v>10</v>
      </c>
      <c r="O47" s="90">
        <v>10</v>
      </c>
      <c r="P47" s="90">
        <v>10</v>
      </c>
      <c r="Q47" s="90">
        <v>10</v>
      </c>
      <c r="R47" s="265">
        <f t="shared" si="0"/>
        <v>120</v>
      </c>
      <c r="S47" s="95" t="s">
        <v>578</v>
      </c>
      <c r="T47" s="102"/>
      <c r="U47" s="102"/>
      <c r="V47" s="220"/>
    </row>
    <row r="48" spans="1:25" ht="15.75" customHeight="1" x14ac:dyDescent="0.3">
      <c r="A48" s="90">
        <v>42</v>
      </c>
      <c r="B48" s="93" t="s">
        <v>150</v>
      </c>
      <c r="C48" s="291" t="s">
        <v>517</v>
      </c>
      <c r="D48" s="93" t="s">
        <v>152</v>
      </c>
      <c r="E48" s="90"/>
      <c r="F48" s="268">
        <v>10</v>
      </c>
      <c r="G48" s="269">
        <v>10</v>
      </c>
      <c r="H48" s="269">
        <v>10</v>
      </c>
      <c r="I48" s="269">
        <v>10</v>
      </c>
      <c r="J48" s="269">
        <v>10</v>
      </c>
      <c r="K48" s="269">
        <v>10</v>
      </c>
      <c r="L48" s="269">
        <v>10</v>
      </c>
      <c r="M48" s="269">
        <v>10</v>
      </c>
      <c r="N48" s="269">
        <v>10</v>
      </c>
      <c r="O48" s="269">
        <v>10</v>
      </c>
      <c r="P48" s="269">
        <v>10</v>
      </c>
      <c r="Q48" s="269">
        <v>10</v>
      </c>
      <c r="R48" s="265">
        <f t="shared" si="0"/>
        <v>120</v>
      </c>
      <c r="S48" s="270" t="s">
        <v>578</v>
      </c>
      <c r="T48" s="103"/>
      <c r="U48" s="277"/>
      <c r="V48" s="220"/>
    </row>
    <row r="49" spans="1:25" ht="15.75" customHeight="1" x14ac:dyDescent="0.3">
      <c r="A49" s="97">
        <v>43</v>
      </c>
      <c r="B49" s="98" t="s">
        <v>153</v>
      </c>
      <c r="C49" s="101" t="s">
        <v>518</v>
      </c>
      <c r="D49" s="98" t="s">
        <v>155</v>
      </c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260">
        <f t="shared" si="0"/>
        <v>0</v>
      </c>
      <c r="S49" s="278"/>
      <c r="T49" s="277"/>
      <c r="U49" s="102"/>
      <c r="V49" s="277"/>
    </row>
    <row r="50" spans="1:25" ht="15.75" customHeight="1" x14ac:dyDescent="0.3">
      <c r="A50" s="97">
        <v>44</v>
      </c>
      <c r="B50" s="98" t="s">
        <v>156</v>
      </c>
      <c r="C50" s="101" t="s">
        <v>157</v>
      </c>
      <c r="D50" s="98" t="s">
        <v>158</v>
      </c>
      <c r="E50" s="97"/>
      <c r="F50" s="258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60">
        <f t="shared" si="0"/>
        <v>0</v>
      </c>
      <c r="S50" s="102"/>
      <c r="T50" s="102"/>
      <c r="U50" s="102"/>
      <c r="V50" s="220"/>
    </row>
    <row r="51" spans="1:25" ht="15.75" customHeight="1" x14ac:dyDescent="0.3">
      <c r="A51" s="97">
        <v>45</v>
      </c>
      <c r="B51" s="98" t="s">
        <v>159</v>
      </c>
      <c r="C51" s="99" t="s">
        <v>160</v>
      </c>
      <c r="D51" s="98" t="s">
        <v>161</v>
      </c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260">
        <f t="shared" si="0"/>
        <v>0</v>
      </c>
      <c r="S51" s="220"/>
      <c r="T51" s="220"/>
      <c r="U51" s="220"/>
      <c r="V51" s="220"/>
    </row>
    <row r="52" spans="1:25" ht="15.75" customHeight="1" x14ac:dyDescent="0.3">
      <c r="A52" s="90">
        <v>46</v>
      </c>
      <c r="B52" s="93" t="s">
        <v>162</v>
      </c>
      <c r="C52" s="91" t="s">
        <v>163</v>
      </c>
      <c r="D52" s="93" t="s">
        <v>164</v>
      </c>
      <c r="E52" s="90"/>
      <c r="F52" s="268">
        <v>10</v>
      </c>
      <c r="G52" s="269">
        <v>10</v>
      </c>
      <c r="H52" s="269">
        <v>10</v>
      </c>
      <c r="I52" s="269">
        <v>10</v>
      </c>
      <c r="J52" s="269">
        <v>10</v>
      </c>
      <c r="K52" s="269">
        <v>10</v>
      </c>
      <c r="L52" s="269">
        <v>10</v>
      </c>
      <c r="M52" s="269">
        <v>10</v>
      </c>
      <c r="N52" s="269">
        <v>10</v>
      </c>
      <c r="O52" s="269">
        <v>10</v>
      </c>
      <c r="P52" s="269">
        <v>10</v>
      </c>
      <c r="Q52" s="269">
        <v>10</v>
      </c>
      <c r="R52" s="265">
        <f t="shared" si="0"/>
        <v>120</v>
      </c>
      <c r="S52" s="266" t="s">
        <v>580</v>
      </c>
      <c r="T52" s="266"/>
      <c r="U52" s="103"/>
      <c r="V52" s="220"/>
    </row>
    <row r="53" spans="1:25" ht="15.75" customHeight="1" x14ac:dyDescent="0.3">
      <c r="A53" s="97">
        <v>47</v>
      </c>
      <c r="B53" s="98" t="s">
        <v>165</v>
      </c>
      <c r="C53" s="99" t="s">
        <v>166</v>
      </c>
      <c r="D53" s="98" t="s">
        <v>167</v>
      </c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260">
        <f t="shared" si="0"/>
        <v>0</v>
      </c>
      <c r="S53" s="220"/>
      <c r="T53" s="220"/>
      <c r="U53" s="220"/>
      <c r="V53" s="220"/>
    </row>
    <row r="54" spans="1:25" ht="15.75" customHeight="1" x14ac:dyDescent="0.3">
      <c r="A54" s="90">
        <v>48</v>
      </c>
      <c r="B54" s="93" t="s">
        <v>168</v>
      </c>
      <c r="C54" s="196" t="s">
        <v>169</v>
      </c>
      <c r="D54" s="93" t="s">
        <v>170</v>
      </c>
      <c r="E54" s="90"/>
      <c r="F54" s="268">
        <v>10</v>
      </c>
      <c r="G54" s="269">
        <v>10</v>
      </c>
      <c r="H54" s="269">
        <v>10</v>
      </c>
      <c r="I54" s="269">
        <v>10</v>
      </c>
      <c r="J54" s="269">
        <v>10</v>
      </c>
      <c r="K54" s="269">
        <v>10</v>
      </c>
      <c r="L54" s="269">
        <v>10</v>
      </c>
      <c r="M54" s="269">
        <v>10</v>
      </c>
      <c r="N54" s="269">
        <v>10</v>
      </c>
      <c r="O54" s="269">
        <v>10</v>
      </c>
      <c r="P54" s="269">
        <v>10</v>
      </c>
      <c r="Q54" s="269">
        <v>10</v>
      </c>
      <c r="R54" s="265">
        <f t="shared" si="0"/>
        <v>120</v>
      </c>
      <c r="S54" s="270" t="s">
        <v>578</v>
      </c>
      <c r="T54" s="103"/>
      <c r="U54" s="103"/>
      <c r="V54" s="220"/>
    </row>
    <row r="55" spans="1:25" ht="15.75" customHeight="1" x14ac:dyDescent="0.3">
      <c r="A55" s="97">
        <v>49</v>
      </c>
      <c r="B55" s="98" t="s">
        <v>171</v>
      </c>
      <c r="C55" s="257" t="s">
        <v>172</v>
      </c>
      <c r="D55" s="98" t="s">
        <v>173</v>
      </c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260">
        <f t="shared" si="0"/>
        <v>0</v>
      </c>
      <c r="S55" s="102"/>
      <c r="T55" s="102"/>
      <c r="U55" s="102"/>
      <c r="V55" s="102"/>
      <c r="W55" s="8"/>
      <c r="X55" s="8"/>
      <c r="Y55" s="8"/>
    </row>
    <row r="56" spans="1:25" ht="15.75" customHeight="1" x14ac:dyDescent="0.3">
      <c r="A56" s="97">
        <v>50</v>
      </c>
      <c r="B56" s="98" t="s">
        <v>174</v>
      </c>
      <c r="C56" s="99" t="s">
        <v>175</v>
      </c>
      <c r="D56" s="98" t="s">
        <v>176</v>
      </c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260">
        <f t="shared" si="0"/>
        <v>0</v>
      </c>
      <c r="S56" s="102"/>
      <c r="T56" s="102"/>
      <c r="U56" s="102"/>
      <c r="V56" s="102"/>
      <c r="W56" s="8"/>
      <c r="X56" s="8"/>
      <c r="Y56" s="8"/>
    </row>
    <row r="57" spans="1:25" ht="15.75" customHeight="1" x14ac:dyDescent="0.3">
      <c r="A57" s="106">
        <v>51</v>
      </c>
      <c r="B57" s="107" t="s">
        <v>177</v>
      </c>
      <c r="C57" s="110" t="s">
        <v>178</v>
      </c>
      <c r="D57" s="107" t="s">
        <v>179</v>
      </c>
      <c r="E57" s="106"/>
      <c r="F57" s="292">
        <v>10</v>
      </c>
      <c r="G57" s="293">
        <v>10</v>
      </c>
      <c r="H57" s="293">
        <v>10</v>
      </c>
      <c r="I57" s="293">
        <v>10</v>
      </c>
      <c r="J57" s="293">
        <v>10</v>
      </c>
      <c r="K57" s="293">
        <v>10</v>
      </c>
      <c r="L57" s="293">
        <v>10</v>
      </c>
      <c r="M57" s="293">
        <v>10</v>
      </c>
      <c r="N57" s="293">
        <v>10</v>
      </c>
      <c r="O57" s="293">
        <v>10</v>
      </c>
      <c r="P57" s="293">
        <v>10</v>
      </c>
      <c r="Q57" s="293">
        <v>10</v>
      </c>
      <c r="R57" s="262">
        <f t="shared" si="0"/>
        <v>120</v>
      </c>
      <c r="S57" s="273" t="s">
        <v>581</v>
      </c>
      <c r="T57" s="263"/>
      <c r="U57" s="294"/>
      <c r="V57" s="173"/>
      <c r="W57" s="8"/>
      <c r="X57" s="8"/>
      <c r="Y57" s="8"/>
    </row>
    <row r="58" spans="1:25" ht="15.75" customHeight="1" x14ac:dyDescent="0.3">
      <c r="A58" s="97">
        <v>52</v>
      </c>
      <c r="B58" s="98" t="s">
        <v>180</v>
      </c>
      <c r="C58" s="257" t="s">
        <v>181</v>
      </c>
      <c r="D58" s="98" t="s">
        <v>182</v>
      </c>
      <c r="E58" s="97"/>
      <c r="F58" s="258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60">
        <f t="shared" si="0"/>
        <v>0</v>
      </c>
      <c r="S58" s="219"/>
      <c r="T58" s="102"/>
      <c r="U58" s="102"/>
      <c r="V58" s="102"/>
      <c r="W58" s="8"/>
      <c r="X58" s="8"/>
      <c r="Y58" s="8"/>
    </row>
    <row r="59" spans="1:25" ht="15.75" customHeight="1" x14ac:dyDescent="0.3">
      <c r="A59" s="97">
        <v>53</v>
      </c>
      <c r="B59" s="98" t="s">
        <v>183</v>
      </c>
      <c r="C59" s="257" t="s">
        <v>184</v>
      </c>
      <c r="D59" s="98" t="s">
        <v>185</v>
      </c>
      <c r="E59" s="97"/>
      <c r="F59" s="258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60">
        <f t="shared" si="0"/>
        <v>0</v>
      </c>
      <c r="S59" s="219"/>
      <c r="T59" s="102"/>
      <c r="U59" s="102"/>
      <c r="V59" s="102"/>
      <c r="W59" s="8"/>
      <c r="X59" s="8"/>
      <c r="Y59" s="8"/>
    </row>
    <row r="60" spans="1:25" ht="15.75" customHeight="1" x14ac:dyDescent="0.3">
      <c r="A60" s="97">
        <v>54</v>
      </c>
      <c r="B60" s="98" t="s">
        <v>186</v>
      </c>
      <c r="C60" s="101" t="s">
        <v>422</v>
      </c>
      <c r="D60" s="98" t="s">
        <v>188</v>
      </c>
      <c r="E60" s="97"/>
      <c r="F60" s="258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60">
        <f t="shared" si="0"/>
        <v>0</v>
      </c>
      <c r="S60" s="219"/>
      <c r="T60" s="103"/>
      <c r="U60" s="277"/>
      <c r="V60" s="102"/>
      <c r="W60" s="8"/>
      <c r="X60" s="8"/>
      <c r="Y60" s="8"/>
    </row>
    <row r="61" spans="1:25" ht="15.75" customHeight="1" x14ac:dyDescent="0.3">
      <c r="A61" s="97">
        <v>55</v>
      </c>
      <c r="B61" s="98" t="s">
        <v>190</v>
      </c>
      <c r="C61" s="267" t="s">
        <v>526</v>
      </c>
      <c r="D61" s="98" t="s">
        <v>192</v>
      </c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260">
        <f t="shared" si="0"/>
        <v>0</v>
      </c>
      <c r="S61" s="102"/>
      <c r="T61" s="102"/>
      <c r="U61" s="102"/>
      <c r="V61" s="102"/>
      <c r="W61" s="8"/>
      <c r="X61" s="8"/>
      <c r="Y61" s="8"/>
    </row>
    <row r="62" spans="1:25" ht="15.75" customHeight="1" x14ac:dyDescent="0.3">
      <c r="A62" s="97">
        <v>56</v>
      </c>
      <c r="B62" s="98" t="s">
        <v>193</v>
      </c>
      <c r="C62" s="267" t="s">
        <v>527</v>
      </c>
      <c r="D62" s="98" t="s">
        <v>195</v>
      </c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260">
        <f t="shared" si="0"/>
        <v>0</v>
      </c>
      <c r="S62" s="102"/>
      <c r="T62" s="102"/>
      <c r="U62" s="102"/>
      <c r="V62" s="102"/>
      <c r="W62" s="8"/>
      <c r="X62" s="8"/>
      <c r="Y62" s="8"/>
    </row>
    <row r="63" spans="1:25" ht="15.75" customHeight="1" x14ac:dyDescent="0.3">
      <c r="A63" s="97">
        <v>57</v>
      </c>
      <c r="B63" s="98" t="s">
        <v>198</v>
      </c>
      <c r="C63" s="257" t="s">
        <v>199</v>
      </c>
      <c r="D63" s="98" t="s">
        <v>200</v>
      </c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260">
        <f t="shared" si="0"/>
        <v>0</v>
      </c>
      <c r="S63" s="219"/>
      <c r="T63" s="102"/>
      <c r="U63" s="102"/>
      <c r="V63" s="102"/>
      <c r="W63" s="8"/>
      <c r="X63" s="8"/>
      <c r="Y63" s="8"/>
    </row>
    <row r="64" spans="1:25" ht="15.75" customHeight="1" x14ac:dyDescent="0.3">
      <c r="A64" s="97">
        <v>58</v>
      </c>
      <c r="B64" s="98" t="s">
        <v>202</v>
      </c>
      <c r="C64" s="99" t="s">
        <v>203</v>
      </c>
      <c r="D64" s="98" t="s">
        <v>204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260">
        <f t="shared" si="0"/>
        <v>0</v>
      </c>
      <c r="S64" s="102"/>
      <c r="T64" s="102"/>
      <c r="U64" s="102"/>
      <c r="V64" s="102"/>
      <c r="W64" s="8"/>
      <c r="X64" s="8"/>
      <c r="Y64" s="8"/>
    </row>
    <row r="65" spans="1:25" ht="15.75" customHeight="1" x14ac:dyDescent="0.3">
      <c r="A65" s="97">
        <v>59</v>
      </c>
      <c r="B65" s="98" t="s">
        <v>205</v>
      </c>
      <c r="C65" s="99" t="s">
        <v>206</v>
      </c>
      <c r="D65" s="98" t="s">
        <v>207</v>
      </c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260">
        <f t="shared" si="0"/>
        <v>0</v>
      </c>
      <c r="S65" s="102"/>
      <c r="T65" s="102"/>
      <c r="U65" s="102"/>
      <c r="V65" s="102"/>
      <c r="W65" s="8"/>
      <c r="X65" s="8"/>
      <c r="Y65" s="8"/>
    </row>
    <row r="66" spans="1:25" ht="15.75" customHeight="1" x14ac:dyDescent="0.3">
      <c r="A66" s="97">
        <v>60</v>
      </c>
      <c r="B66" s="98" t="s">
        <v>208</v>
      </c>
      <c r="C66" s="99" t="s">
        <v>209</v>
      </c>
      <c r="D66" s="98" t="s">
        <v>210</v>
      </c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260">
        <f t="shared" si="0"/>
        <v>0</v>
      </c>
      <c r="S66" s="102"/>
      <c r="T66" s="102"/>
      <c r="U66" s="102"/>
      <c r="V66" s="102"/>
      <c r="W66" s="8"/>
      <c r="X66" s="8"/>
      <c r="Y66" s="8"/>
    </row>
    <row r="67" spans="1:25" ht="15.75" customHeight="1" x14ac:dyDescent="0.3">
      <c r="A67" s="97">
        <v>61</v>
      </c>
      <c r="B67" s="98" t="s">
        <v>211</v>
      </c>
      <c r="C67" s="101" t="s">
        <v>212</v>
      </c>
      <c r="D67" s="98" t="s">
        <v>213</v>
      </c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260">
        <f t="shared" si="0"/>
        <v>0</v>
      </c>
      <c r="S67" s="102"/>
      <c r="T67" s="102"/>
      <c r="U67" s="102"/>
      <c r="V67" s="102"/>
      <c r="W67" s="8"/>
      <c r="X67" s="8"/>
      <c r="Y67" s="8"/>
    </row>
    <row r="68" spans="1:25" ht="15.75" customHeight="1" x14ac:dyDescent="0.3">
      <c r="A68" s="97">
        <v>62</v>
      </c>
      <c r="B68" s="98" t="s">
        <v>214</v>
      </c>
      <c r="C68" s="285" t="s">
        <v>528</v>
      </c>
      <c r="D68" s="98" t="s">
        <v>216</v>
      </c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260">
        <f t="shared" si="0"/>
        <v>0</v>
      </c>
      <c r="S68" s="102"/>
      <c r="T68" s="102"/>
      <c r="U68" s="102"/>
      <c r="V68" s="102"/>
      <c r="W68" s="8"/>
      <c r="X68" s="8"/>
      <c r="Y68" s="8"/>
    </row>
    <row r="69" spans="1:25" ht="15.75" customHeight="1" x14ac:dyDescent="0.3">
      <c r="A69" s="97">
        <v>63</v>
      </c>
      <c r="B69" s="98" t="s">
        <v>217</v>
      </c>
      <c r="C69" s="99" t="s">
        <v>218</v>
      </c>
      <c r="D69" s="98" t="s">
        <v>219</v>
      </c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260">
        <f t="shared" si="0"/>
        <v>0</v>
      </c>
      <c r="S69" s="102"/>
      <c r="T69" s="102"/>
      <c r="U69" s="102"/>
      <c r="V69" s="102"/>
      <c r="W69" s="8"/>
      <c r="X69" s="8"/>
      <c r="Y69" s="8"/>
    </row>
    <row r="70" spans="1:25" ht="15.75" customHeight="1" x14ac:dyDescent="0.3">
      <c r="A70" s="97">
        <v>64</v>
      </c>
      <c r="B70" s="98" t="s">
        <v>220</v>
      </c>
      <c r="C70" s="101" t="s">
        <v>221</v>
      </c>
      <c r="D70" s="98" t="s">
        <v>222</v>
      </c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260">
        <f t="shared" si="0"/>
        <v>0</v>
      </c>
      <c r="S70" s="102"/>
      <c r="T70" s="102"/>
      <c r="U70" s="102"/>
      <c r="V70" s="102"/>
      <c r="W70" s="8"/>
      <c r="X70" s="8"/>
      <c r="Y70" s="8"/>
    </row>
    <row r="71" spans="1:25" ht="15.75" customHeight="1" x14ac:dyDescent="0.3">
      <c r="A71" s="97">
        <v>65</v>
      </c>
      <c r="B71" s="98" t="s">
        <v>223</v>
      </c>
      <c r="C71" s="257" t="s">
        <v>530</v>
      </c>
      <c r="D71" s="98" t="s">
        <v>225</v>
      </c>
      <c r="E71" s="97"/>
      <c r="F71" s="258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60">
        <f t="shared" si="0"/>
        <v>0</v>
      </c>
      <c r="S71" s="102"/>
      <c r="T71" s="102"/>
      <c r="U71" s="102"/>
      <c r="V71" s="102"/>
      <c r="W71" s="8"/>
      <c r="X71" s="8"/>
      <c r="Y71" s="8"/>
    </row>
    <row r="72" spans="1:25" ht="15.75" customHeight="1" x14ac:dyDescent="0.3">
      <c r="A72" s="97">
        <v>66</v>
      </c>
      <c r="B72" s="98" t="s">
        <v>226</v>
      </c>
      <c r="C72" s="101" t="s">
        <v>468</v>
      </c>
      <c r="D72" s="98" t="s">
        <v>228</v>
      </c>
      <c r="E72" s="97"/>
      <c r="F72" s="258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60">
        <f t="shared" ref="R72:R90" si="1">SUM(F72:Q72)</f>
        <v>0</v>
      </c>
      <c r="S72" s="102"/>
      <c r="T72" s="102"/>
      <c r="U72" s="102"/>
      <c r="V72" s="220"/>
    </row>
    <row r="73" spans="1:25" ht="15.75" customHeight="1" x14ac:dyDescent="0.3">
      <c r="A73" s="97">
        <v>67</v>
      </c>
      <c r="B73" s="98" t="s">
        <v>230</v>
      </c>
      <c r="C73" s="285" t="s">
        <v>531</v>
      </c>
      <c r="D73" s="98" t="s">
        <v>232</v>
      </c>
      <c r="E73" s="97"/>
      <c r="F73" s="258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60">
        <f t="shared" si="1"/>
        <v>0</v>
      </c>
      <c r="S73" s="219"/>
      <c r="T73" s="103"/>
      <c r="U73" s="277"/>
      <c r="V73" s="220"/>
    </row>
    <row r="74" spans="1:25" ht="15.75" customHeight="1" x14ac:dyDescent="0.3">
      <c r="A74" s="97">
        <v>68</v>
      </c>
      <c r="B74" s="98" t="s">
        <v>233</v>
      </c>
      <c r="C74" s="101" t="s">
        <v>469</v>
      </c>
      <c r="D74" s="98" t="s">
        <v>235</v>
      </c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260">
        <f t="shared" si="1"/>
        <v>0</v>
      </c>
      <c r="S74" s="102"/>
      <c r="T74" s="102"/>
      <c r="U74" s="102"/>
      <c r="V74" s="220"/>
    </row>
    <row r="75" spans="1:25" ht="15.75" customHeight="1" x14ac:dyDescent="0.3">
      <c r="A75" s="97">
        <v>69</v>
      </c>
      <c r="B75" s="98" t="s">
        <v>236</v>
      </c>
      <c r="C75" s="99" t="s">
        <v>532</v>
      </c>
      <c r="D75" s="98" t="s">
        <v>238</v>
      </c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260">
        <f t="shared" si="1"/>
        <v>0</v>
      </c>
      <c r="S75" s="220"/>
      <c r="T75" s="220"/>
      <c r="U75" s="220"/>
      <c r="V75" s="220"/>
    </row>
    <row r="76" spans="1:25" ht="15.75" customHeight="1" x14ac:dyDescent="0.3">
      <c r="A76" s="97">
        <v>70</v>
      </c>
      <c r="B76" s="98" t="s">
        <v>239</v>
      </c>
      <c r="C76" s="99" t="s">
        <v>240</v>
      </c>
      <c r="D76" s="98" t="s">
        <v>241</v>
      </c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260">
        <f t="shared" si="1"/>
        <v>0</v>
      </c>
      <c r="S76" s="220"/>
      <c r="T76" s="220"/>
      <c r="U76" s="220"/>
      <c r="V76" s="220"/>
    </row>
    <row r="77" spans="1:25" ht="15.75" customHeight="1" x14ac:dyDescent="0.3">
      <c r="A77" s="97">
        <v>71</v>
      </c>
      <c r="B77" s="98" t="s">
        <v>242</v>
      </c>
      <c r="C77" s="101" t="s">
        <v>243</v>
      </c>
      <c r="D77" s="98" t="s">
        <v>244</v>
      </c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260">
        <f t="shared" si="1"/>
        <v>0</v>
      </c>
      <c r="S77" s="220"/>
      <c r="T77" s="220"/>
      <c r="U77" s="220"/>
      <c r="V77" s="220"/>
    </row>
    <row r="78" spans="1:25" ht="15.75" customHeight="1" x14ac:dyDescent="0.3">
      <c r="A78" s="90">
        <v>72</v>
      </c>
      <c r="B78" s="93" t="s">
        <v>245</v>
      </c>
      <c r="C78" s="91" t="s">
        <v>246</v>
      </c>
      <c r="D78" s="93" t="s">
        <v>247</v>
      </c>
      <c r="E78" s="90"/>
      <c r="F78" s="90">
        <v>10</v>
      </c>
      <c r="G78" s="90">
        <v>10</v>
      </c>
      <c r="H78" s="90">
        <v>10</v>
      </c>
      <c r="I78" s="90">
        <v>10</v>
      </c>
      <c r="J78" s="90">
        <v>10</v>
      </c>
      <c r="K78" s="90">
        <v>10</v>
      </c>
      <c r="L78" s="90">
        <v>10</v>
      </c>
      <c r="M78" s="90">
        <v>10</v>
      </c>
      <c r="N78" s="90">
        <v>10</v>
      </c>
      <c r="O78" s="90">
        <v>10</v>
      </c>
      <c r="P78" s="90">
        <v>10</v>
      </c>
      <c r="Q78" s="90">
        <v>10</v>
      </c>
      <c r="R78" s="265">
        <f t="shared" si="1"/>
        <v>120</v>
      </c>
      <c r="S78" s="173" t="s">
        <v>582</v>
      </c>
      <c r="T78" s="173"/>
      <c r="U78" s="158"/>
      <c r="V78" s="220"/>
    </row>
    <row r="79" spans="1:25" ht="15.75" customHeight="1" x14ac:dyDescent="0.3">
      <c r="A79" s="97">
        <v>73</v>
      </c>
      <c r="B79" s="98" t="s">
        <v>248</v>
      </c>
      <c r="C79" s="101" t="s">
        <v>249</v>
      </c>
      <c r="D79" s="98" t="s">
        <v>250</v>
      </c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260">
        <f t="shared" si="1"/>
        <v>0</v>
      </c>
      <c r="S79" s="219"/>
      <c r="T79" s="102"/>
      <c r="U79" s="102"/>
      <c r="V79" s="220"/>
    </row>
    <row r="80" spans="1:25" ht="15.75" customHeight="1" x14ac:dyDescent="0.3">
      <c r="A80" s="97">
        <v>74</v>
      </c>
      <c r="B80" s="98" t="s">
        <v>251</v>
      </c>
      <c r="C80" s="101" t="s">
        <v>252</v>
      </c>
      <c r="D80" s="98" t="s">
        <v>253</v>
      </c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260">
        <f t="shared" si="1"/>
        <v>0</v>
      </c>
      <c r="S80" s="220"/>
      <c r="T80" s="220"/>
      <c r="U80" s="220"/>
      <c r="V80" s="220"/>
    </row>
    <row r="81" spans="1:22" ht="15.75" customHeight="1" x14ac:dyDescent="0.3">
      <c r="A81" s="90">
        <v>75</v>
      </c>
      <c r="B81" s="93" t="s">
        <v>254</v>
      </c>
      <c r="C81" s="91" t="s">
        <v>255</v>
      </c>
      <c r="D81" s="93" t="s">
        <v>256</v>
      </c>
      <c r="E81" s="90"/>
      <c r="F81" s="90">
        <v>10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265">
        <f t="shared" si="1"/>
        <v>10</v>
      </c>
      <c r="S81" s="270" t="s">
        <v>583</v>
      </c>
      <c r="T81" s="96"/>
      <c r="U81" s="96"/>
      <c r="V81" s="96"/>
    </row>
    <row r="82" spans="1:22" ht="15.75" customHeight="1" x14ac:dyDescent="0.3">
      <c r="A82" s="97">
        <v>76</v>
      </c>
      <c r="B82" s="98" t="s">
        <v>257</v>
      </c>
      <c r="C82" s="101" t="s">
        <v>258</v>
      </c>
      <c r="D82" s="98" t="s">
        <v>259</v>
      </c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260">
        <f t="shared" si="1"/>
        <v>0</v>
      </c>
      <c r="S82" s="220"/>
      <c r="T82" s="220"/>
      <c r="U82" s="220"/>
      <c r="V82" s="220"/>
    </row>
    <row r="83" spans="1:22" ht="15.75" customHeight="1" x14ac:dyDescent="0.3">
      <c r="A83" s="97">
        <v>77</v>
      </c>
      <c r="B83" s="98" t="s">
        <v>260</v>
      </c>
      <c r="C83" s="257" t="s">
        <v>261</v>
      </c>
      <c r="D83" s="98" t="s">
        <v>262</v>
      </c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260">
        <f t="shared" si="1"/>
        <v>0</v>
      </c>
      <c r="S83" s="220"/>
      <c r="T83" s="220"/>
      <c r="U83" s="220"/>
      <c r="V83" s="220"/>
    </row>
    <row r="84" spans="1:22" ht="15.75" customHeight="1" x14ac:dyDescent="0.3">
      <c r="A84" s="97">
        <v>78</v>
      </c>
      <c r="B84" s="98" t="s">
        <v>263</v>
      </c>
      <c r="C84" s="101" t="s">
        <v>264</v>
      </c>
      <c r="D84" s="98" t="s">
        <v>265</v>
      </c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260">
        <f t="shared" si="1"/>
        <v>0</v>
      </c>
      <c r="S84" s="220"/>
      <c r="T84" s="220"/>
      <c r="U84" s="220"/>
      <c r="V84" s="220"/>
    </row>
    <row r="85" spans="1:22" ht="15.75" customHeight="1" x14ac:dyDescent="0.3">
      <c r="A85" s="97">
        <v>79</v>
      </c>
      <c r="B85" s="98" t="s">
        <v>266</v>
      </c>
      <c r="C85" s="99" t="s">
        <v>267</v>
      </c>
      <c r="D85" s="98" t="s">
        <v>45</v>
      </c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260">
        <f t="shared" si="1"/>
        <v>0</v>
      </c>
      <c r="S85" s="220"/>
      <c r="T85" s="220"/>
      <c r="U85" s="220"/>
      <c r="V85" s="220"/>
    </row>
    <row r="86" spans="1:22" ht="15.75" customHeight="1" x14ac:dyDescent="0.3">
      <c r="A86" s="97">
        <v>80</v>
      </c>
      <c r="B86" s="98" t="s">
        <v>268</v>
      </c>
      <c r="C86" s="267" t="s">
        <v>534</v>
      </c>
      <c r="D86" s="98" t="s">
        <v>270</v>
      </c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260">
        <f t="shared" si="1"/>
        <v>0</v>
      </c>
      <c r="S86" s="220"/>
      <c r="T86" s="220"/>
      <c r="U86" s="220"/>
      <c r="V86" s="220"/>
    </row>
    <row r="87" spans="1:22" ht="15.75" customHeight="1" x14ac:dyDescent="0.3">
      <c r="A87" s="97">
        <v>81</v>
      </c>
      <c r="B87" s="98" t="s">
        <v>272</v>
      </c>
      <c r="C87" s="101" t="s">
        <v>381</v>
      </c>
      <c r="D87" s="98" t="s">
        <v>382</v>
      </c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260">
        <f t="shared" si="1"/>
        <v>0</v>
      </c>
      <c r="S87" s="220"/>
      <c r="T87" s="220"/>
      <c r="U87" s="220"/>
      <c r="V87" s="220"/>
    </row>
    <row r="88" spans="1:22" ht="15.75" customHeight="1" x14ac:dyDescent="0.3">
      <c r="A88" s="97">
        <v>82</v>
      </c>
      <c r="B88" s="98" t="s">
        <v>273</v>
      </c>
      <c r="C88" s="101" t="s">
        <v>383</v>
      </c>
      <c r="D88" s="98" t="s">
        <v>384</v>
      </c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260">
        <f t="shared" si="1"/>
        <v>0</v>
      </c>
      <c r="S88" s="220"/>
      <c r="T88" s="220"/>
      <c r="U88" s="220"/>
      <c r="V88" s="220"/>
    </row>
    <row r="89" spans="1:22" ht="15.75" customHeight="1" x14ac:dyDescent="0.3">
      <c r="A89" s="97">
        <v>83</v>
      </c>
      <c r="B89" s="98" t="s">
        <v>274</v>
      </c>
      <c r="C89" s="257" t="s">
        <v>275</v>
      </c>
      <c r="D89" s="98" t="s">
        <v>276</v>
      </c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60">
        <f t="shared" si="1"/>
        <v>0</v>
      </c>
      <c r="S89" s="103"/>
      <c r="T89" s="103"/>
      <c r="U89" s="102"/>
      <c r="V89" s="220"/>
    </row>
    <row r="90" spans="1:22" ht="15.75" customHeight="1" x14ac:dyDescent="0.3">
      <c r="A90" s="97">
        <v>84</v>
      </c>
      <c r="B90" s="98" t="s">
        <v>277</v>
      </c>
      <c r="C90" s="99" t="s">
        <v>385</v>
      </c>
      <c r="D90" s="280" t="s">
        <v>386</v>
      </c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60">
        <f t="shared" si="1"/>
        <v>0</v>
      </c>
      <c r="S90" s="220"/>
      <c r="T90" s="220"/>
      <c r="U90" s="220"/>
      <c r="V90" s="220"/>
    </row>
    <row r="91" spans="1:22" ht="15.75" customHeight="1" x14ac:dyDescent="0.3">
      <c r="A91" s="97">
        <v>85</v>
      </c>
      <c r="B91" s="98" t="s">
        <v>278</v>
      </c>
      <c r="C91" s="101" t="s">
        <v>566</v>
      </c>
      <c r="D91" s="98" t="s">
        <v>210</v>
      </c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97">
        <f>SUM(E91:Q91)</f>
        <v>0</v>
      </c>
      <c r="S91" s="219"/>
      <c r="T91" s="220"/>
      <c r="U91" s="220"/>
      <c r="V91" s="220"/>
    </row>
    <row r="92" spans="1:22" ht="15.75" customHeight="1" x14ac:dyDescent="0.3">
      <c r="A92" s="97">
        <v>86</v>
      </c>
      <c r="B92" s="98" t="s">
        <v>279</v>
      </c>
      <c r="C92" s="99" t="s">
        <v>389</v>
      </c>
      <c r="D92" s="98" t="s">
        <v>390</v>
      </c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>
        <f>SUM(F92:Q92)</f>
        <v>0</v>
      </c>
      <c r="S92" s="220"/>
      <c r="T92" s="220"/>
      <c r="U92" s="220"/>
      <c r="V92" s="220"/>
    </row>
    <row r="93" spans="1:22" ht="15.75" customHeight="1" x14ac:dyDescent="0.3">
      <c r="A93" s="97">
        <v>87</v>
      </c>
      <c r="B93" s="98" t="s">
        <v>280</v>
      </c>
      <c r="C93" s="101" t="s">
        <v>568</v>
      </c>
      <c r="D93" s="98" t="s">
        <v>569</v>
      </c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>
        <f>SUM(E93:Q93)</f>
        <v>0</v>
      </c>
      <c r="S93" s="219"/>
      <c r="T93" s="220"/>
      <c r="U93" s="220"/>
      <c r="V93" s="220"/>
    </row>
    <row r="94" spans="1:22" ht="15.75" customHeight="1" x14ac:dyDescent="0.3">
      <c r="A94" s="90">
        <v>88</v>
      </c>
      <c r="B94" s="93" t="s">
        <v>281</v>
      </c>
      <c r="C94" s="196" t="s">
        <v>282</v>
      </c>
      <c r="D94" s="93" t="s">
        <v>283</v>
      </c>
      <c r="E94" s="90"/>
      <c r="F94" s="90">
        <v>10</v>
      </c>
      <c r="G94" s="90">
        <v>10</v>
      </c>
      <c r="H94" s="90">
        <v>10</v>
      </c>
      <c r="I94" s="90">
        <v>10</v>
      </c>
      <c r="J94" s="90">
        <v>10</v>
      </c>
      <c r="K94" s="90">
        <v>10</v>
      </c>
      <c r="L94" s="90">
        <v>10</v>
      </c>
      <c r="M94" s="90">
        <v>10</v>
      </c>
      <c r="N94" s="90">
        <v>10</v>
      </c>
      <c r="O94" s="90">
        <v>10</v>
      </c>
      <c r="P94" s="90">
        <v>10</v>
      </c>
      <c r="Q94" s="90">
        <v>10</v>
      </c>
      <c r="R94" s="90">
        <f>SUM(F94:Q94)</f>
        <v>120</v>
      </c>
      <c r="S94" s="96" t="s">
        <v>444</v>
      </c>
      <c r="T94" s="96"/>
      <c r="U94" s="220"/>
      <c r="V94" s="220"/>
    </row>
    <row r="95" spans="1:22" ht="15.75" customHeight="1" x14ac:dyDescent="0.3">
      <c r="A95" s="90">
        <v>89</v>
      </c>
      <c r="B95" s="93" t="s">
        <v>284</v>
      </c>
      <c r="C95" s="91" t="s">
        <v>571</v>
      </c>
      <c r="D95" s="93" t="s">
        <v>484</v>
      </c>
      <c r="E95" s="90"/>
      <c r="F95" s="90">
        <v>10</v>
      </c>
      <c r="G95" s="90">
        <v>10</v>
      </c>
      <c r="H95" s="90">
        <v>10</v>
      </c>
      <c r="I95" s="90">
        <v>10</v>
      </c>
      <c r="J95" s="90">
        <v>10</v>
      </c>
      <c r="K95" s="90">
        <v>10</v>
      </c>
      <c r="L95" s="90">
        <v>10</v>
      </c>
      <c r="M95" s="90">
        <v>10</v>
      </c>
      <c r="N95" s="90">
        <v>10</v>
      </c>
      <c r="O95" s="90">
        <v>10</v>
      </c>
      <c r="P95" s="90">
        <v>10</v>
      </c>
      <c r="Q95" s="90">
        <v>10</v>
      </c>
      <c r="R95" s="90">
        <f>SUM(E95:Q95)</f>
        <v>120</v>
      </c>
      <c r="S95" s="270" t="s">
        <v>578</v>
      </c>
      <c r="T95" s="220"/>
      <c r="U95" s="220"/>
      <c r="V95" s="220"/>
    </row>
    <row r="96" spans="1:22" ht="15.75" customHeight="1" x14ac:dyDescent="0.3">
      <c r="A96" s="90">
        <v>90</v>
      </c>
      <c r="B96" s="93" t="s">
        <v>285</v>
      </c>
      <c r="C96" s="91" t="s">
        <v>584</v>
      </c>
      <c r="D96" s="93" t="s">
        <v>82</v>
      </c>
      <c r="E96" s="90">
        <v>20</v>
      </c>
      <c r="F96" s="90">
        <v>10</v>
      </c>
      <c r="G96" s="90">
        <v>10</v>
      </c>
      <c r="H96" s="90">
        <v>10</v>
      </c>
      <c r="I96" s="90">
        <v>10</v>
      </c>
      <c r="J96" s="90">
        <v>10</v>
      </c>
      <c r="K96" s="90">
        <v>10</v>
      </c>
      <c r="L96" s="90">
        <v>10</v>
      </c>
      <c r="M96" s="90">
        <v>10</v>
      </c>
      <c r="N96" s="90">
        <v>10</v>
      </c>
      <c r="O96" s="90">
        <v>10</v>
      </c>
      <c r="P96" s="90">
        <v>10</v>
      </c>
      <c r="Q96" s="90">
        <v>10</v>
      </c>
      <c r="R96" s="90">
        <f>SUM(E96:Q96)</f>
        <v>140</v>
      </c>
      <c r="S96" s="96" t="s">
        <v>585</v>
      </c>
      <c r="T96" s="95"/>
      <c r="U96" s="95"/>
      <c r="V96" s="220"/>
    </row>
    <row r="97" spans="1:22" ht="15.75" customHeight="1" x14ac:dyDescent="0.3">
      <c r="A97" s="97">
        <v>91</v>
      </c>
      <c r="B97" s="98" t="s">
        <v>286</v>
      </c>
      <c r="C97" s="101"/>
      <c r="D97" s="98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220"/>
      <c r="T97" s="102"/>
      <c r="U97" s="102"/>
      <c r="V97" s="220"/>
    </row>
    <row r="98" spans="1:22" ht="15.75" customHeight="1" x14ac:dyDescent="0.3">
      <c r="A98" s="97">
        <v>92</v>
      </c>
      <c r="B98" s="98" t="s">
        <v>287</v>
      </c>
      <c r="C98" s="101"/>
      <c r="D98" s="98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220"/>
      <c r="T98" s="220"/>
      <c r="U98" s="220"/>
      <c r="V98" s="220"/>
    </row>
    <row r="99" spans="1:22" ht="15.75" customHeight="1" x14ac:dyDescent="0.3">
      <c r="A99" s="97">
        <v>93</v>
      </c>
      <c r="B99" s="98" t="s">
        <v>288</v>
      </c>
      <c r="C99" s="101"/>
      <c r="D99" s="98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220"/>
      <c r="T99" s="220"/>
      <c r="U99" s="220"/>
      <c r="V99" s="220"/>
    </row>
    <row r="100" spans="1:22" ht="15.75" customHeight="1" x14ac:dyDescent="0.3">
      <c r="A100" s="97">
        <v>94</v>
      </c>
      <c r="B100" s="98" t="s">
        <v>289</v>
      </c>
      <c r="C100" s="101"/>
      <c r="D100" s="98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220"/>
      <c r="T100" s="220"/>
      <c r="U100" s="220"/>
      <c r="V100" s="220"/>
    </row>
    <row r="101" spans="1:22" ht="15.75" customHeight="1" x14ac:dyDescent="0.3">
      <c r="A101" s="97">
        <v>95</v>
      </c>
      <c r="B101" s="98" t="s">
        <v>290</v>
      </c>
      <c r="C101" s="101"/>
      <c r="D101" s="98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220"/>
      <c r="T101" s="220"/>
      <c r="U101" s="220"/>
      <c r="V101" s="220"/>
    </row>
    <row r="102" spans="1:22" ht="15.75" customHeight="1" x14ac:dyDescent="0.3">
      <c r="A102" s="97">
        <v>96</v>
      </c>
      <c r="B102" s="98" t="s">
        <v>291</v>
      </c>
      <c r="C102" s="101"/>
      <c r="D102" s="98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220"/>
      <c r="T102" s="220"/>
      <c r="U102" s="220"/>
      <c r="V102" s="220"/>
    </row>
    <row r="103" spans="1:22" ht="15.75" customHeight="1" x14ac:dyDescent="0.3">
      <c r="A103" s="97">
        <v>97</v>
      </c>
      <c r="B103" s="98" t="s">
        <v>292</v>
      </c>
      <c r="C103" s="101"/>
      <c r="D103" s="98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220"/>
      <c r="T103" s="220"/>
      <c r="U103" s="220"/>
      <c r="V103" s="220"/>
    </row>
    <row r="104" spans="1:22" ht="15.75" customHeight="1" x14ac:dyDescent="0.3">
      <c r="A104" s="97">
        <v>98</v>
      </c>
      <c r="B104" s="98" t="s">
        <v>293</v>
      </c>
      <c r="C104" s="101"/>
      <c r="D104" s="98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220"/>
      <c r="T104" s="220"/>
      <c r="U104" s="220"/>
      <c r="V104" s="220"/>
    </row>
    <row r="105" spans="1:22" ht="15.75" customHeight="1" x14ac:dyDescent="0.3">
      <c r="A105" s="97">
        <v>99</v>
      </c>
      <c r="B105" s="98" t="s">
        <v>294</v>
      </c>
      <c r="C105" s="101"/>
      <c r="D105" s="98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220"/>
      <c r="T105" s="220"/>
      <c r="U105" s="220"/>
      <c r="V105" s="220"/>
    </row>
    <row r="106" spans="1:22" ht="15.75" customHeight="1" x14ac:dyDescent="0.3">
      <c r="A106" s="97">
        <v>100</v>
      </c>
      <c r="B106" s="98" t="s">
        <v>295</v>
      </c>
      <c r="C106" s="101"/>
      <c r="D106" s="98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220"/>
      <c r="T106" s="220"/>
      <c r="U106" s="220"/>
      <c r="V106" s="220"/>
    </row>
    <row r="107" spans="1:22" ht="15.75" customHeight="1" x14ac:dyDescent="0.3">
      <c r="A107" s="97">
        <v>101</v>
      </c>
      <c r="B107" s="98" t="s">
        <v>296</v>
      </c>
      <c r="C107" s="101"/>
      <c r="D107" s="98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220"/>
      <c r="T107" s="220"/>
      <c r="U107" s="220"/>
      <c r="V107" s="220"/>
    </row>
    <row r="108" spans="1:22" ht="15.75" customHeight="1" x14ac:dyDescent="0.3">
      <c r="A108" s="97">
        <v>102</v>
      </c>
      <c r="B108" s="98" t="s">
        <v>297</v>
      </c>
      <c r="C108" s="101"/>
      <c r="D108" s="98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220"/>
      <c r="T108" s="220"/>
      <c r="U108" s="220"/>
      <c r="V108" s="220"/>
    </row>
    <row r="109" spans="1:22" ht="15.75" customHeight="1" x14ac:dyDescent="0.3">
      <c r="A109" s="97">
        <v>103</v>
      </c>
      <c r="B109" s="98" t="s">
        <v>298</v>
      </c>
      <c r="C109" s="101"/>
      <c r="D109" s="98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220"/>
      <c r="T109" s="220"/>
      <c r="U109" s="220"/>
      <c r="V109" s="220"/>
    </row>
    <row r="110" spans="1:22" ht="15.75" customHeight="1" x14ac:dyDescent="0.3">
      <c r="A110" s="97">
        <v>104</v>
      </c>
      <c r="B110" s="98" t="s">
        <v>299</v>
      </c>
      <c r="C110" s="101"/>
      <c r="D110" s="98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220"/>
      <c r="T110" s="220"/>
      <c r="U110" s="220"/>
      <c r="V110" s="220"/>
    </row>
    <row r="111" spans="1:22" ht="15.75" customHeight="1" x14ac:dyDescent="0.3">
      <c r="A111" s="97">
        <v>105</v>
      </c>
      <c r="B111" s="98" t="s">
        <v>300</v>
      </c>
      <c r="C111" s="101" t="s">
        <v>301</v>
      </c>
      <c r="D111" s="98" t="s">
        <v>302</v>
      </c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>
        <f>SUM(F111:Q111)</f>
        <v>0</v>
      </c>
      <c r="S111" s="102"/>
      <c r="T111" s="102"/>
      <c r="U111" s="220"/>
      <c r="V111" s="220"/>
    </row>
    <row r="112" spans="1:22" ht="15.75" customHeight="1" x14ac:dyDescent="0.3">
      <c r="A112" s="97">
        <v>106</v>
      </c>
      <c r="B112" s="98" t="s">
        <v>303</v>
      </c>
      <c r="C112" s="101"/>
      <c r="D112" s="98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220"/>
      <c r="T112" s="220"/>
      <c r="U112" s="220"/>
      <c r="V112" s="220"/>
    </row>
    <row r="113" spans="1:22" ht="15.75" customHeight="1" x14ac:dyDescent="0.3">
      <c r="A113" s="97">
        <v>107</v>
      </c>
      <c r="B113" s="98" t="s">
        <v>304</v>
      </c>
      <c r="C113" s="101"/>
      <c r="D113" s="98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220"/>
      <c r="T113" s="220"/>
      <c r="U113" s="220"/>
      <c r="V113" s="220"/>
    </row>
    <row r="114" spans="1:22" ht="15.75" customHeight="1" x14ac:dyDescent="0.3">
      <c r="A114" s="97">
        <v>108</v>
      </c>
      <c r="B114" s="98" t="s">
        <v>305</v>
      </c>
      <c r="C114" s="101"/>
      <c r="D114" s="98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220"/>
      <c r="T114" s="220"/>
      <c r="U114" s="220"/>
      <c r="V114" s="220"/>
    </row>
    <row r="115" spans="1:22" ht="15.75" customHeight="1" x14ac:dyDescent="0.3">
      <c r="A115" s="97">
        <v>109</v>
      </c>
      <c r="B115" s="98" t="s">
        <v>306</v>
      </c>
      <c r="C115" s="101"/>
      <c r="D115" s="98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220"/>
      <c r="T115" s="220"/>
      <c r="U115" s="220"/>
      <c r="V115" s="220"/>
    </row>
    <row r="116" spans="1:22" ht="15.75" customHeight="1" x14ac:dyDescent="0.3">
      <c r="A116" s="97">
        <v>110</v>
      </c>
      <c r="B116" s="98" t="s">
        <v>307</v>
      </c>
      <c r="C116" s="101"/>
      <c r="D116" s="98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220"/>
      <c r="T116" s="220"/>
      <c r="U116" s="220"/>
      <c r="V116" s="220"/>
    </row>
    <row r="117" spans="1:22" ht="15.75" customHeight="1" x14ac:dyDescent="0.3">
      <c r="A117" s="97">
        <v>111</v>
      </c>
      <c r="B117" s="98" t="s">
        <v>308</v>
      </c>
      <c r="C117" s="257" t="s">
        <v>309</v>
      </c>
      <c r="D117" s="98" t="s">
        <v>310</v>
      </c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>
        <f t="shared" ref="R117:R118" si="2">SUM(F117:Q117)</f>
        <v>0</v>
      </c>
      <c r="S117" s="297"/>
      <c r="T117" s="102"/>
      <c r="U117" s="102"/>
      <c r="V117" s="220"/>
    </row>
    <row r="118" spans="1:22" ht="15.75" customHeight="1" x14ac:dyDescent="0.3">
      <c r="A118" s="106">
        <v>112</v>
      </c>
      <c r="B118" s="107" t="s">
        <v>311</v>
      </c>
      <c r="C118" s="110" t="s">
        <v>475</v>
      </c>
      <c r="D118" s="107" t="s">
        <v>476</v>
      </c>
      <c r="E118" s="106"/>
      <c r="F118" s="292">
        <v>10</v>
      </c>
      <c r="G118" s="293">
        <v>10</v>
      </c>
      <c r="H118" s="293">
        <v>10</v>
      </c>
      <c r="I118" s="293">
        <v>10</v>
      </c>
      <c r="J118" s="293">
        <v>10</v>
      </c>
      <c r="K118" s="293">
        <v>10</v>
      </c>
      <c r="L118" s="293">
        <v>10</v>
      </c>
      <c r="M118" s="293">
        <v>10</v>
      </c>
      <c r="N118" s="293">
        <v>10</v>
      </c>
      <c r="O118" s="293">
        <v>10</v>
      </c>
      <c r="P118" s="293">
        <v>10</v>
      </c>
      <c r="Q118" s="293">
        <v>10</v>
      </c>
      <c r="R118" s="106">
        <f t="shared" si="2"/>
        <v>120</v>
      </c>
      <c r="S118" s="298" t="s">
        <v>586</v>
      </c>
      <c r="T118" s="263"/>
      <c r="U118" s="111"/>
      <c r="V118" s="220"/>
    </row>
    <row r="119" spans="1:22" ht="15.75" customHeight="1" x14ac:dyDescent="0.3">
      <c r="A119" s="97">
        <v>113</v>
      </c>
      <c r="B119" s="98" t="s">
        <v>312</v>
      </c>
      <c r="C119" s="101"/>
      <c r="D119" s="98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220"/>
      <c r="T119" s="220"/>
      <c r="U119" s="220"/>
      <c r="V119" s="220"/>
    </row>
    <row r="120" spans="1:22" ht="15.75" customHeight="1" x14ac:dyDescent="0.3">
      <c r="A120" s="97">
        <v>114</v>
      </c>
      <c r="B120" s="98" t="s">
        <v>313</v>
      </c>
      <c r="C120" s="101"/>
      <c r="D120" s="98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220"/>
      <c r="T120" s="220"/>
      <c r="U120" s="220"/>
      <c r="V120" s="220"/>
    </row>
    <row r="121" spans="1:22" ht="15.75" customHeight="1" x14ac:dyDescent="0.3">
      <c r="A121" s="97">
        <v>115</v>
      </c>
      <c r="B121" s="98" t="s">
        <v>314</v>
      </c>
      <c r="C121" s="101"/>
      <c r="D121" s="98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220"/>
      <c r="T121" s="220"/>
      <c r="U121" s="220"/>
      <c r="V121" s="220"/>
    </row>
    <row r="122" spans="1:22" ht="15.75" customHeight="1" x14ac:dyDescent="0.3">
      <c r="A122" s="97">
        <v>116</v>
      </c>
      <c r="B122" s="98" t="s">
        <v>315</v>
      </c>
      <c r="C122" s="101"/>
      <c r="D122" s="98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220"/>
      <c r="T122" s="220"/>
      <c r="U122" s="220"/>
      <c r="V122" s="220"/>
    </row>
    <row r="123" spans="1:22" ht="15.75" customHeight="1" x14ac:dyDescent="0.3">
      <c r="A123" s="97">
        <v>117</v>
      </c>
      <c r="B123" s="98" t="s">
        <v>316</v>
      </c>
      <c r="C123" s="101"/>
      <c r="D123" s="98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220"/>
      <c r="T123" s="220"/>
      <c r="U123" s="220"/>
      <c r="V123" s="220"/>
    </row>
    <row r="124" spans="1:22" ht="15.75" customHeight="1" x14ac:dyDescent="0.3">
      <c r="A124" s="97">
        <v>118</v>
      </c>
      <c r="B124" s="98" t="s">
        <v>317</v>
      </c>
      <c r="C124" s="101"/>
      <c r="D124" s="98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220"/>
      <c r="T124" s="220"/>
      <c r="U124" s="220"/>
      <c r="V124" s="220"/>
    </row>
    <row r="125" spans="1:22" ht="15.75" customHeight="1" x14ac:dyDescent="0.3">
      <c r="A125" s="97">
        <v>119</v>
      </c>
      <c r="B125" s="98" t="s">
        <v>318</v>
      </c>
      <c r="C125" s="101"/>
      <c r="D125" s="98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220"/>
      <c r="T125" s="220"/>
      <c r="U125" s="220"/>
      <c r="V125" s="220"/>
    </row>
    <row r="126" spans="1:22" ht="15.75" customHeight="1" x14ac:dyDescent="0.3">
      <c r="A126" s="97">
        <v>120</v>
      </c>
      <c r="B126" s="98" t="s">
        <v>319</v>
      </c>
      <c r="C126" s="284" t="s">
        <v>537</v>
      </c>
      <c r="D126" s="98" t="s">
        <v>538</v>
      </c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>
        <f>SUM(F126:Q126)</f>
        <v>0</v>
      </c>
      <c r="S126" s="103"/>
      <c r="T126" s="103"/>
      <c r="U126" s="102"/>
      <c r="V126" s="220"/>
    </row>
    <row r="127" spans="1:22" ht="15.75" customHeight="1" x14ac:dyDescent="0.3">
      <c r="A127" s="97">
        <v>121</v>
      </c>
      <c r="B127" s="98" t="s">
        <v>320</v>
      </c>
      <c r="C127" s="101" t="s">
        <v>321</v>
      </c>
      <c r="D127" s="98" t="s">
        <v>322</v>
      </c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>
        <f>SUM(F127:Q127)</f>
        <v>0</v>
      </c>
      <c r="S127" s="220"/>
      <c r="T127" s="220"/>
      <c r="U127" s="220"/>
      <c r="V127" s="220"/>
    </row>
    <row r="128" spans="1:22" ht="15.75" customHeight="1" x14ac:dyDescent="0.3">
      <c r="A128" s="97">
        <v>122</v>
      </c>
      <c r="B128" s="98" t="s">
        <v>323</v>
      </c>
      <c r="C128" s="101"/>
      <c r="D128" s="98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220"/>
      <c r="T128" s="220"/>
      <c r="U128" s="220"/>
      <c r="V128" s="220"/>
    </row>
    <row r="129" spans="1:25" ht="15.75" customHeight="1" x14ac:dyDescent="0.3">
      <c r="A129" s="97">
        <v>123</v>
      </c>
      <c r="B129" s="98" t="s">
        <v>324</v>
      </c>
      <c r="C129" s="257" t="s">
        <v>325</v>
      </c>
      <c r="D129" s="98" t="s">
        <v>326</v>
      </c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>
        <f>SUM(F129:Q129)</f>
        <v>0</v>
      </c>
      <c r="S129" s="297"/>
      <c r="T129" s="219"/>
      <c r="U129" s="220"/>
      <c r="V129" s="220"/>
    </row>
    <row r="130" spans="1:25" ht="15.75" customHeight="1" x14ac:dyDescent="0.3">
      <c r="A130" s="97">
        <v>124</v>
      </c>
      <c r="B130" s="98" t="s">
        <v>327</v>
      </c>
      <c r="C130" s="101"/>
      <c r="D130" s="98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220"/>
      <c r="T130" s="220"/>
      <c r="U130" s="220"/>
      <c r="V130" s="220"/>
    </row>
    <row r="131" spans="1:25" ht="15.75" customHeight="1" x14ac:dyDescent="0.3">
      <c r="A131" s="97">
        <v>125</v>
      </c>
      <c r="B131" s="98" t="s">
        <v>328</v>
      </c>
      <c r="C131" s="267" t="s">
        <v>542</v>
      </c>
      <c r="D131" s="98" t="s">
        <v>330</v>
      </c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>
        <f t="shared" ref="R131:R141" si="3">SUM(F131:Q131)</f>
        <v>0</v>
      </c>
      <c r="S131" s="102"/>
      <c r="T131" s="102"/>
      <c r="U131" s="102"/>
      <c r="V131" s="220"/>
    </row>
    <row r="132" spans="1:25" ht="15.75" customHeight="1" x14ac:dyDescent="0.3">
      <c r="A132" s="97">
        <v>126</v>
      </c>
      <c r="B132" s="98" t="s">
        <v>331</v>
      </c>
      <c r="C132" s="257" t="s">
        <v>332</v>
      </c>
      <c r="D132" s="98" t="s">
        <v>333</v>
      </c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>
        <f t="shared" si="3"/>
        <v>0</v>
      </c>
      <c r="S132" s="220"/>
      <c r="T132" s="220"/>
      <c r="U132" s="220"/>
      <c r="V132" s="220"/>
    </row>
    <row r="133" spans="1:25" ht="15.75" customHeight="1" x14ac:dyDescent="0.3">
      <c r="A133" s="97">
        <v>127</v>
      </c>
      <c r="B133" s="98" t="s">
        <v>334</v>
      </c>
      <c r="C133" s="257" t="s">
        <v>335</v>
      </c>
      <c r="D133" s="98" t="s">
        <v>336</v>
      </c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>
        <f t="shared" si="3"/>
        <v>0</v>
      </c>
      <c r="S133" s="220"/>
      <c r="T133" s="220"/>
      <c r="U133" s="220"/>
      <c r="V133" s="220"/>
    </row>
    <row r="134" spans="1:25" ht="15.75" customHeight="1" x14ac:dyDescent="0.3">
      <c r="A134" s="97">
        <v>128</v>
      </c>
      <c r="B134" s="98" t="s">
        <v>338</v>
      </c>
      <c r="C134" s="99" t="s">
        <v>478</v>
      </c>
      <c r="D134" s="98" t="s">
        <v>479</v>
      </c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>
        <f t="shared" si="3"/>
        <v>0</v>
      </c>
      <c r="S134" s="103"/>
      <c r="T134" s="103"/>
      <c r="U134" s="220"/>
      <c r="V134" s="220"/>
    </row>
    <row r="135" spans="1:25" ht="15.75" customHeight="1" x14ac:dyDescent="0.3">
      <c r="A135" s="97">
        <v>129</v>
      </c>
      <c r="B135" s="98" t="s">
        <v>342</v>
      </c>
      <c r="C135" s="101" t="s">
        <v>343</v>
      </c>
      <c r="D135" s="98" t="s">
        <v>344</v>
      </c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>
        <f t="shared" si="3"/>
        <v>0</v>
      </c>
      <c r="S135" s="220"/>
      <c r="T135" s="220"/>
      <c r="U135" s="220"/>
      <c r="V135" s="220"/>
    </row>
    <row r="136" spans="1:25" ht="15.75" customHeight="1" x14ac:dyDescent="0.3">
      <c r="A136" s="97">
        <v>130</v>
      </c>
      <c r="B136" s="98" t="s">
        <v>345</v>
      </c>
      <c r="C136" s="101" t="s">
        <v>346</v>
      </c>
      <c r="D136" s="98"/>
      <c r="E136" s="97"/>
      <c r="F136" s="258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97">
        <f t="shared" si="3"/>
        <v>0</v>
      </c>
      <c r="S136" s="219"/>
      <c r="T136" s="103"/>
      <c r="U136" s="220"/>
      <c r="V136" s="220"/>
    </row>
    <row r="137" spans="1:25" ht="15.75" customHeight="1" x14ac:dyDescent="0.3">
      <c r="A137" s="97">
        <v>131</v>
      </c>
      <c r="B137" s="98" t="s">
        <v>347</v>
      </c>
      <c r="C137" s="99" t="s">
        <v>348</v>
      </c>
      <c r="D137" s="98" t="s">
        <v>349</v>
      </c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>
        <f t="shared" si="3"/>
        <v>0</v>
      </c>
      <c r="S137" s="220"/>
      <c r="T137" s="220"/>
      <c r="U137" s="220"/>
      <c r="V137" s="220"/>
    </row>
    <row r="138" spans="1:25" ht="15.75" customHeight="1" x14ac:dyDescent="0.3">
      <c r="A138" s="97">
        <v>132</v>
      </c>
      <c r="B138" s="98" t="s">
        <v>350</v>
      </c>
      <c r="C138" s="99" t="s">
        <v>397</v>
      </c>
      <c r="D138" s="98" t="s">
        <v>82</v>
      </c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>
        <f t="shared" si="3"/>
        <v>0</v>
      </c>
      <c r="S138" s="102"/>
      <c r="T138" s="102"/>
      <c r="U138" s="102"/>
      <c r="V138" s="102"/>
      <c r="W138" s="8"/>
      <c r="X138" s="8"/>
      <c r="Y138" s="8"/>
    </row>
    <row r="139" spans="1:25" ht="15.75" customHeight="1" x14ac:dyDescent="0.3">
      <c r="A139" s="90">
        <v>133</v>
      </c>
      <c r="B139" s="93" t="s">
        <v>352</v>
      </c>
      <c r="C139" s="214" t="s">
        <v>545</v>
      </c>
      <c r="D139" s="93" t="s">
        <v>354</v>
      </c>
      <c r="E139" s="90"/>
      <c r="F139" s="90">
        <v>10</v>
      </c>
      <c r="G139" s="90">
        <v>10</v>
      </c>
      <c r="H139" s="90">
        <v>10</v>
      </c>
      <c r="I139" s="90">
        <v>10</v>
      </c>
      <c r="J139" s="90">
        <v>10</v>
      </c>
      <c r="K139" s="90">
        <v>10</v>
      </c>
      <c r="L139" s="90">
        <v>10</v>
      </c>
      <c r="M139" s="90">
        <v>10</v>
      </c>
      <c r="N139" s="90">
        <v>10</v>
      </c>
      <c r="O139" s="90">
        <v>10</v>
      </c>
      <c r="P139" s="90">
        <v>10</v>
      </c>
      <c r="Q139" s="90">
        <v>10</v>
      </c>
      <c r="R139" s="90">
        <f t="shared" si="3"/>
        <v>120</v>
      </c>
      <c r="S139" s="95" t="s">
        <v>578</v>
      </c>
      <c r="T139" s="102"/>
      <c r="U139" s="102"/>
      <c r="V139" s="102"/>
      <c r="W139" s="8"/>
      <c r="X139" s="8"/>
      <c r="Y139" s="8"/>
    </row>
    <row r="140" spans="1:25" ht="15.75" customHeight="1" x14ac:dyDescent="0.3">
      <c r="A140" s="97">
        <v>134</v>
      </c>
      <c r="B140" s="98" t="s">
        <v>355</v>
      </c>
      <c r="C140" s="99" t="s">
        <v>356</v>
      </c>
      <c r="D140" s="98" t="s">
        <v>357</v>
      </c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>
        <f t="shared" si="3"/>
        <v>0</v>
      </c>
      <c r="S140" s="102"/>
      <c r="T140" s="102"/>
      <c r="U140" s="102"/>
      <c r="V140" s="102"/>
      <c r="W140" s="8"/>
      <c r="X140" s="8"/>
      <c r="Y140" s="8"/>
    </row>
    <row r="141" spans="1:25" ht="15.75" customHeight="1" x14ac:dyDescent="0.3">
      <c r="A141" s="97">
        <v>135</v>
      </c>
      <c r="B141" s="98" t="s">
        <v>482</v>
      </c>
      <c r="C141" s="257" t="s">
        <v>483</v>
      </c>
      <c r="D141" s="98" t="s">
        <v>484</v>
      </c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>
        <f t="shared" si="3"/>
        <v>0</v>
      </c>
      <c r="S141" s="286"/>
      <c r="T141" s="286"/>
      <c r="U141" s="8"/>
      <c r="V141" s="8"/>
    </row>
    <row r="142" spans="1:25" ht="15.75" customHeight="1" x14ac:dyDescent="0.3">
      <c r="A142" s="299"/>
      <c r="B142" s="300"/>
      <c r="C142" s="301"/>
      <c r="D142" s="300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20"/>
      <c r="T142" s="220"/>
    </row>
    <row r="143" spans="1:25" ht="15.75" customHeight="1" x14ac:dyDescent="0.3">
      <c r="A143" s="302"/>
      <c r="B143" s="300"/>
      <c r="C143" s="220"/>
      <c r="D143" s="300" t="s">
        <v>358</v>
      </c>
      <c r="E143" s="299">
        <f>SUM(E7:E141)</f>
        <v>20</v>
      </c>
      <c r="F143" s="299">
        <f t="shared" ref="F143:Q143" si="4">SUM(F7:F141)</f>
        <v>210</v>
      </c>
      <c r="G143" s="299">
        <f t="shared" si="4"/>
        <v>200</v>
      </c>
      <c r="H143" s="299">
        <f t="shared" si="4"/>
        <v>200</v>
      </c>
      <c r="I143" s="299">
        <f t="shared" si="4"/>
        <v>200</v>
      </c>
      <c r="J143" s="299">
        <f t="shared" si="4"/>
        <v>200</v>
      </c>
      <c r="K143" s="299">
        <f t="shared" si="4"/>
        <v>200</v>
      </c>
      <c r="L143" s="299">
        <f t="shared" si="4"/>
        <v>200</v>
      </c>
      <c r="M143" s="299">
        <f t="shared" si="4"/>
        <v>200</v>
      </c>
      <c r="N143" s="299">
        <f t="shared" si="4"/>
        <v>200</v>
      </c>
      <c r="O143" s="299">
        <f t="shared" si="4"/>
        <v>200</v>
      </c>
      <c r="P143" s="299">
        <f t="shared" si="4"/>
        <v>200</v>
      </c>
      <c r="Q143" s="299">
        <f t="shared" si="4"/>
        <v>200</v>
      </c>
      <c r="R143" s="299">
        <f>SUM(R7:R141)</f>
        <v>2430</v>
      </c>
      <c r="S143" s="102"/>
      <c r="T143" s="102"/>
    </row>
    <row r="144" spans="1:25" ht="15.75" customHeight="1" x14ac:dyDescent="0.3">
      <c r="A144" s="302"/>
      <c r="B144" s="300"/>
      <c r="C144" s="220"/>
      <c r="D144" s="300"/>
      <c r="E144" s="299">
        <f>E143/20</f>
        <v>1</v>
      </c>
      <c r="F144" s="302"/>
      <c r="G144" s="302"/>
      <c r="H144" s="302"/>
      <c r="I144" s="302"/>
      <c r="J144" s="302"/>
      <c r="K144" s="302"/>
      <c r="L144" s="302"/>
      <c r="M144" s="302"/>
      <c r="N144" s="302"/>
      <c r="O144" s="302"/>
      <c r="P144" s="302"/>
      <c r="Q144" s="302"/>
      <c r="R144" s="302"/>
      <c r="S144" s="220"/>
      <c r="T144" s="220"/>
    </row>
    <row r="145" spans="1:20" ht="15.75" customHeight="1" x14ac:dyDescent="0.3">
      <c r="A145" s="302"/>
      <c r="B145" s="300"/>
      <c r="C145" s="220"/>
      <c r="D145" s="300"/>
      <c r="E145" s="302"/>
      <c r="F145" s="302"/>
      <c r="G145" s="302"/>
      <c r="H145" s="302"/>
      <c r="I145" s="302"/>
      <c r="J145" s="302"/>
      <c r="K145" s="302"/>
      <c r="L145" s="302"/>
      <c r="M145" s="302"/>
      <c r="N145" s="302"/>
      <c r="O145" s="302"/>
      <c r="P145" s="302"/>
      <c r="Q145" s="302"/>
      <c r="R145" s="302"/>
      <c r="S145" s="220"/>
      <c r="T145" s="220"/>
    </row>
    <row r="146" spans="1:20" ht="15.75" customHeight="1" x14ac:dyDescent="0.3">
      <c r="B146" s="42"/>
      <c r="D146" s="42"/>
    </row>
    <row r="147" spans="1:20" ht="15.75" customHeight="1" x14ac:dyDescent="0.3">
      <c r="B147" s="42"/>
      <c r="D147" s="42"/>
    </row>
    <row r="148" spans="1:20" ht="15.75" customHeight="1" x14ac:dyDescent="0.3">
      <c r="B148" s="42"/>
      <c r="D148" s="42"/>
    </row>
    <row r="149" spans="1:20" ht="15.75" customHeight="1" x14ac:dyDescent="0.3">
      <c r="B149" s="42"/>
      <c r="D149" s="42"/>
    </row>
    <row r="150" spans="1:20" ht="15.75" customHeight="1" x14ac:dyDescent="0.3">
      <c r="B150" s="42"/>
      <c r="D150" s="42"/>
    </row>
    <row r="151" spans="1:20" ht="15.75" customHeight="1" x14ac:dyDescent="0.3">
      <c r="B151" s="42"/>
      <c r="D151" s="42"/>
    </row>
    <row r="152" spans="1:20" ht="15.75" customHeight="1" x14ac:dyDescent="0.3">
      <c r="B152" s="42"/>
      <c r="D152" s="42"/>
    </row>
    <row r="153" spans="1:20" ht="15.75" customHeight="1" x14ac:dyDescent="0.3">
      <c r="B153" s="42"/>
      <c r="D153" s="42"/>
    </row>
    <row r="154" spans="1:20" ht="15.75" customHeight="1" x14ac:dyDescent="0.3">
      <c r="B154" s="42"/>
      <c r="D154" s="42"/>
    </row>
    <row r="155" spans="1:20" ht="15.75" customHeight="1" x14ac:dyDescent="0.3">
      <c r="B155" s="42"/>
      <c r="D155" s="42"/>
    </row>
    <row r="156" spans="1:20" ht="15.75" customHeight="1" x14ac:dyDescent="0.3">
      <c r="B156" s="42"/>
      <c r="D156" s="42"/>
    </row>
    <row r="157" spans="1:20" ht="15.75" customHeight="1" x14ac:dyDescent="0.3">
      <c r="B157" s="42"/>
      <c r="D157" s="42"/>
    </row>
    <row r="158" spans="1:20" ht="15.75" customHeight="1" x14ac:dyDescent="0.3">
      <c r="B158" s="42"/>
      <c r="D158" s="42"/>
    </row>
    <row r="159" spans="1:20" ht="15.75" customHeight="1" x14ac:dyDescent="0.3">
      <c r="B159" s="42"/>
      <c r="D159" s="42"/>
    </row>
    <row r="160" spans="1:20" ht="15.75" customHeight="1" x14ac:dyDescent="0.3">
      <c r="B160" s="42"/>
      <c r="D160" s="42"/>
    </row>
    <row r="161" spans="2:4" ht="15.75" customHeight="1" x14ac:dyDescent="0.3">
      <c r="B161" s="42"/>
      <c r="D161" s="42"/>
    </row>
    <row r="162" spans="2:4" ht="15.75" customHeight="1" x14ac:dyDescent="0.3">
      <c r="B162" s="42"/>
      <c r="D162" s="42"/>
    </row>
    <row r="163" spans="2:4" ht="15.75" customHeight="1" x14ac:dyDescent="0.3">
      <c r="B163" s="42"/>
      <c r="D163" s="42"/>
    </row>
    <row r="164" spans="2:4" ht="15.75" customHeight="1" x14ac:dyDescent="0.3">
      <c r="B164" s="42"/>
      <c r="D164" s="42"/>
    </row>
    <row r="165" spans="2:4" ht="15.75" customHeight="1" x14ac:dyDescent="0.3">
      <c r="B165" s="42"/>
      <c r="D165" s="42"/>
    </row>
    <row r="166" spans="2:4" ht="15.75" customHeight="1" x14ac:dyDescent="0.3">
      <c r="B166" s="42"/>
      <c r="D166" s="42"/>
    </row>
    <row r="167" spans="2:4" ht="15.75" customHeight="1" x14ac:dyDescent="0.3">
      <c r="B167" s="42"/>
      <c r="D167" s="42"/>
    </row>
    <row r="168" spans="2:4" ht="15.75" customHeight="1" x14ac:dyDescent="0.3">
      <c r="B168" s="42"/>
      <c r="D168" s="42"/>
    </row>
    <row r="169" spans="2:4" ht="15.75" customHeight="1" x14ac:dyDescent="0.3">
      <c r="B169" s="42"/>
      <c r="D169" s="42"/>
    </row>
    <row r="170" spans="2:4" ht="15.75" customHeight="1" x14ac:dyDescent="0.3">
      <c r="B170" s="42"/>
      <c r="D170" s="42"/>
    </row>
    <row r="171" spans="2:4" ht="15.75" customHeight="1" x14ac:dyDescent="0.3">
      <c r="B171" s="42"/>
      <c r="D171" s="42"/>
    </row>
    <row r="172" spans="2:4" ht="15.75" customHeight="1" x14ac:dyDescent="0.3">
      <c r="B172" s="42"/>
      <c r="D172" s="42"/>
    </row>
    <row r="173" spans="2:4" ht="15.75" customHeight="1" x14ac:dyDescent="0.3">
      <c r="B173" s="42"/>
      <c r="D173" s="42"/>
    </row>
    <row r="174" spans="2:4" ht="15.75" customHeight="1" x14ac:dyDescent="0.3">
      <c r="B174" s="42"/>
      <c r="D174" s="42"/>
    </row>
    <row r="175" spans="2:4" ht="15.75" customHeight="1" x14ac:dyDescent="0.3">
      <c r="B175" s="42"/>
      <c r="D175" s="42"/>
    </row>
    <row r="176" spans="2:4" ht="15.75" customHeight="1" x14ac:dyDescent="0.3">
      <c r="B176" s="42"/>
      <c r="D176" s="42"/>
    </row>
    <row r="177" spans="2:4" ht="15.75" customHeight="1" x14ac:dyDescent="0.3">
      <c r="B177" s="42"/>
      <c r="D177" s="42"/>
    </row>
    <row r="178" spans="2:4" ht="15.75" customHeight="1" x14ac:dyDescent="0.3">
      <c r="B178" s="42"/>
      <c r="D178" s="42"/>
    </row>
    <row r="179" spans="2:4" ht="15.75" customHeight="1" x14ac:dyDescent="0.3">
      <c r="B179" s="42"/>
      <c r="D179" s="42"/>
    </row>
    <row r="180" spans="2:4" ht="15.75" customHeight="1" x14ac:dyDescent="0.3">
      <c r="B180" s="42"/>
      <c r="D180" s="42"/>
    </row>
    <row r="181" spans="2:4" ht="15.75" customHeight="1" x14ac:dyDescent="0.3">
      <c r="B181" s="42"/>
      <c r="D181" s="42"/>
    </row>
    <row r="182" spans="2:4" ht="15.75" customHeight="1" x14ac:dyDescent="0.3">
      <c r="B182" s="42"/>
      <c r="D182" s="42"/>
    </row>
    <row r="183" spans="2:4" ht="15.75" customHeight="1" x14ac:dyDescent="0.3">
      <c r="B183" s="42"/>
      <c r="D183" s="42"/>
    </row>
    <row r="184" spans="2:4" ht="15.75" customHeight="1" x14ac:dyDescent="0.3">
      <c r="B184" s="42"/>
      <c r="D184" s="42"/>
    </row>
    <row r="185" spans="2:4" ht="15.75" customHeight="1" x14ac:dyDescent="0.3">
      <c r="B185" s="42"/>
      <c r="D185" s="42"/>
    </row>
    <row r="186" spans="2:4" ht="15.75" customHeight="1" x14ac:dyDescent="0.3">
      <c r="B186" s="42"/>
      <c r="D186" s="42"/>
    </row>
    <row r="187" spans="2:4" ht="15.75" customHeight="1" x14ac:dyDescent="0.3">
      <c r="B187" s="42"/>
      <c r="D187" s="42"/>
    </row>
    <row r="188" spans="2:4" ht="15.75" customHeight="1" x14ac:dyDescent="0.3"/>
    <row r="189" spans="2:4" ht="15.75" customHeight="1" x14ac:dyDescent="0.3"/>
    <row r="190" spans="2:4" ht="15.75" customHeight="1" x14ac:dyDescent="0.3"/>
    <row r="191" spans="2:4" ht="15.75" customHeight="1" x14ac:dyDescent="0.3"/>
    <row r="192" spans="2:4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S141:T141"/>
    <mergeCell ref="A2:R2"/>
    <mergeCell ref="A3:B3"/>
    <mergeCell ref="A5:A6"/>
    <mergeCell ref="B5:B6"/>
    <mergeCell ref="C5:C6"/>
    <mergeCell ref="D5:D6"/>
    <mergeCell ref="E5:E6"/>
    <mergeCell ref="F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MARWELIES BIN MOHD YUSOFF</dc:creator>
  <cp:lastModifiedBy>MARWELIES BIN MOHD YUSOFF</cp:lastModifiedBy>
  <dcterms:created xsi:type="dcterms:W3CDTF">2024-05-16T14:13:04Z</dcterms:created>
  <dcterms:modified xsi:type="dcterms:W3CDTF">2024-05-16T14:41:52Z</dcterms:modified>
</cp:coreProperties>
</file>